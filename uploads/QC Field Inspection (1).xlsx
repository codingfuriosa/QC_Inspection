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7" sheetId="1" r:id="rId5"/>
    <sheet state="visible" name="CONFIG" sheetId="2" r:id="rId6"/>
    <sheet state="visible" name="Setup &amp; Sync Guide" sheetId="3" r:id="rId7"/>
    <sheet state="visible" name="Console" sheetId="4" r:id="rId8"/>
    <sheet state="visible" name="Master Checklist" sheetId="5" r:id="rId9"/>
    <sheet state="visible" name="Inspection Log" sheetId="6" r:id="rId10"/>
    <sheet state="visible" name="RCC Work" sheetId="7" r:id="rId11"/>
    <sheet state="visible" name="Masonry Work" sheetId="8" r:id="rId12"/>
    <sheet state="visible" name="Excavation &amp; Earthwork" sheetId="9" r:id="rId13"/>
    <sheet state="visible" name="Plaster &amp; Waterproofing" sheetId="10" r:id="rId14"/>
    <sheet state="visible" name="Tile Work" sheetId="11" r:id="rId15"/>
    <sheet state="visible" name="Putty Work" sheetId="12" r:id="rId16"/>
    <sheet state="visible" name="Electrical Work" sheetId="13" r:id="rId17"/>
    <sheet state="visible" name="Plumbing Work" sheetId="14" r:id="rId18"/>
    <sheet state="visible" name="False Ceiling Work" sheetId="15" r:id="rId19"/>
    <sheet state="visible" name="Paint Work" sheetId="16" r:id="rId20"/>
    <sheet state="visible" name="Landscape Development" sheetId="17" r:id="rId21"/>
    <sheet state="visible" name="Fire Fighting Work" sheetId="18" r:id="rId22"/>
    <sheet state="visible" name="Training Library" sheetId="19" r:id="rId23"/>
  </sheets>
  <definedNames>
    <definedName hidden="1" localSheetId="4" name="_xlnm._FilterDatabase">'Master Checklist'!$A$1:$T$312</definedName>
    <definedName hidden="1" localSheetId="5" name="_xlnm._FilterDatabase">'Inspection Log'!$A$1:$N$5000</definedName>
    <definedName hidden="1" localSheetId="6" name="_xlnm._FilterDatabase">'RCC Work'!$A$1:$S$48</definedName>
    <definedName hidden="1" localSheetId="7" name="_xlnm._FilterDatabase">'Masonry Work'!$A$1:$S$17</definedName>
    <definedName hidden="1" localSheetId="8" name="_xlnm._FilterDatabase">'Excavation &amp; Earthwork'!$A$1:$S$12</definedName>
    <definedName hidden="1" localSheetId="9" name="_xlnm._FilterDatabase">'Plaster &amp; Waterproofing'!$A$1:$S$24</definedName>
    <definedName hidden="1" localSheetId="10" name="_xlnm._FilterDatabase">'Tile Work'!$A$1:$S$23</definedName>
    <definedName hidden="1" localSheetId="11" name="_xlnm._FilterDatabase">'Putty Work'!$A$1:$S$17</definedName>
    <definedName hidden="1" localSheetId="12" name="_xlnm._FilterDatabase">'Electrical Work'!$A$1:$S$33</definedName>
    <definedName hidden="1" localSheetId="13" name="_xlnm._FilterDatabase">'Plumbing Work'!$A$1:$S$32</definedName>
    <definedName hidden="1" localSheetId="14" name="_xlnm._FilterDatabase">'False Ceiling Work'!$A$1:$S$22</definedName>
    <definedName hidden="1" localSheetId="15" name="_xlnm._FilterDatabase">'Paint Work'!$A$1:$S$36</definedName>
    <definedName hidden="1" localSheetId="16" name="_xlnm._FilterDatabase">'Landscape Development'!$A$1:$S$25</definedName>
    <definedName hidden="1" localSheetId="17" name="_xlnm._FilterDatabase">'Fire Fighting Work'!$A$1:$S$34</definedName>
    <definedName hidden="1" localSheetId="18" name="_xlnm._FilterDatabase">'Training Library'!$A$4:$G$57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S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  <comment authorId="0" ref="M3">
      <text>
        <t xml:space="preserve">All training links for this check:
https://youtu.be/r8k0q1BYDqs
https://youtu.be/gMuHKefbx1E</t>
      </text>
    </comment>
    <comment authorId="0" ref="M4">
      <text>
        <t xml:space="preserve">All training links for this check:
https://youtu.be/r8k0q1BYDqs
https://youtu.be/gMuHKefbx1E</t>
      </text>
    </comment>
    <comment authorId="0" ref="M5">
      <text>
        <t xml:space="preserve">All training links for this check:
https://youtu.be/r8k0q1BYDqs
https://youtu.be/gMuHKefbx1E</t>
      </text>
    </comment>
    <comment authorId="0" ref="M6">
      <text>
        <t xml:space="preserve">All training links for this check:
https://youtu.be/r8k0q1BYDqs
https://youtu.be/gMuHKefbx1E</t>
      </text>
    </comment>
    <comment authorId="0" ref="M7">
      <text>
        <t xml:space="preserve">All training links for this check:
https://youtu.be/r8k0q1BYDqs
https://youtu.be/gMuHKefbx1E</t>
      </text>
    </comment>
    <comment authorId="0" ref="M8">
      <text>
        <t xml:space="preserve">All training links for this check:
https://youtu.be/r8k0q1BYDqs
https://youtu.be/gMuHKefbx1E</t>
      </text>
    </comment>
    <comment authorId="0" ref="M9">
      <text>
        <t xml:space="preserve">All training links for this check:
https://youtu.be/r8k0q1BYDqs
https://youtu.be/gMuHKefbx1E</t>
      </text>
    </comment>
    <comment authorId="0" ref="M10">
      <text>
        <t xml:space="preserve">All training links for this check:
https://youtu.be/r8k0q1BYDqs
https://youtu.be/gMuHKefbx1E</t>
      </text>
    </comment>
    <comment authorId="0" ref="M14">
      <text>
        <t xml:space="preserve">All training links for this check:
https://youtu.be/r8k0q1BYDqs
https://youtu.be/gMuHKefbx1E</t>
      </text>
    </comment>
    <comment authorId="0" ref="M21">
      <text>
        <t xml:space="preserve">All training links for this check:
https://www.youtube.com/watch?v=pTsLuaXOJWY
https://youtu.be/Ln1R1TdBLeQ</t>
      </text>
    </comment>
    <comment authorId="0" ref="M22">
      <text>
        <t xml:space="preserve">All training links for this check:
https://youtu.be/r8k0q1BYDqs
https://youtu.be/gMuHKefbx1E
https://youtu.be/kjaSZqrC_d0</t>
      </text>
    </comment>
    <comment authorId="0" ref="M26">
      <text>
        <t xml:space="preserve">All training links for this check:
https://youtu.be/r8k0q1BYDqs
https://youtu.be/gMuHKefbx1E
https://youtu.be/kjaSZqrC_d0</t>
      </text>
    </comment>
    <comment authorId="0" ref="M28">
      <text>
        <t xml:space="preserve">All training links for this check:
https://youtu.be/r8k0q1BYDqs
https://youtu.be/gMuHKefbx1E</t>
      </text>
    </comment>
    <comment authorId="0" ref="M29">
      <text>
        <t xml:space="preserve">All training links for this check:
https://youtu.be/r8k0q1BYDqs
https://youtu.be/gMuHKefbx1E</t>
      </text>
    </comment>
    <comment authorId="0" ref="M30">
      <text>
        <t xml:space="preserve">All training links for this check:
https://youtu.be/r8k0q1BYDqs
https://youtu.be/gMuHKefbx1E</t>
      </text>
    </comment>
    <comment authorId="0" ref="M31">
      <text>
        <t xml:space="preserve">All training links for this check:
https://youtu.be/r8k0q1BYDqs
https://youtu.be/gMuHKefbx1E</t>
      </text>
    </comment>
    <comment authorId="0" ref="M32">
      <text>
        <t xml:space="preserve">All training links for this check:
https://youtu.be/r8k0q1BYDqs
https://youtu.be/gMuHKefbx1E</t>
      </text>
    </comment>
    <comment authorId="0" ref="M33">
      <text>
        <t xml:space="preserve">All training links for this check:
https://youtu.be/r8k0q1BYDqs
https://youtu.be/gMuHKefbx1E</t>
      </text>
    </comment>
    <comment authorId="0" ref="M34">
      <text>
        <t xml:space="preserve">All training links for this check:
https://youtu.be/r8k0q1BYDqs
https://youtu.be/gMuHKefbx1E</t>
      </text>
    </comment>
    <comment authorId="0" ref="M35">
      <text>
        <t xml:space="preserve">All training links for this check:
https://youtu.be/r8k0q1BYDqs
https://youtu.be/gMuHKefbx1E</t>
      </text>
    </comment>
    <comment authorId="0" ref="M36">
      <text>
        <t xml:space="preserve">All training links for this check:
https://youtu.be/r8k0q1BYDqs
https://youtu.be/gMuHKefbx1E</t>
      </text>
    </comment>
    <comment authorId="0" ref="M37">
      <text>
        <t xml:space="preserve">All training links for this check:
https://youtu.be/r8k0q1BYDqs
https://youtu.be/gMuHKefbx1E</t>
      </text>
    </comment>
    <comment authorId="0" ref="M49">
      <text>
        <t xml:space="preserve">All training links for this check:
https://youtu.be/-fSMuccx1cg
https://youtu.be/cHX40vZKHxc
https://youtu.be/57sIg9NnEzE</t>
      </text>
    </comment>
    <comment authorId="0" ref="M50">
      <text>
        <t xml:space="preserve">All training links for this check:
https://youtu.be/-fSMuccx1cg
https://youtu.be/cHX40vZKHxc
https://youtu.be/57sIg9NnEzE</t>
      </text>
    </comment>
    <comment authorId="0" ref="M51">
      <text>
        <t xml:space="preserve">All training links for this check:
https://youtu.be/-fSMuccx1cg
https://youtu.be/cHX40vZKHxc
https://youtu.be/57sIg9NnEzE</t>
      </text>
    </comment>
    <comment authorId="0" ref="M52">
      <text>
        <t xml:space="preserve">All training links for this check:
https://youtu.be/-fSMuccx1cg
https://youtu.be/cHX40vZKHxc
https://youtu.be/57sIg9NnEzE</t>
      </text>
    </comment>
    <comment authorId="0" ref="M53">
      <text>
        <t xml:space="preserve">All training links for this check:
https://youtu.be/-fSMuccx1cg
https://youtu.be/cHX40vZKHxc
https://youtu.be/57sIg9NnEzE</t>
      </text>
    </comment>
    <comment authorId="0" ref="M54">
      <text>
        <t xml:space="preserve">All training links for this check:
https://youtu.be/-fSMuccx1cg
https://youtu.be/cHX40vZKHxc
https://youtu.be/57sIg9NnEzE</t>
      </text>
    </comment>
    <comment authorId="0" ref="M55">
      <text>
        <t xml:space="preserve">All training links for this check:
https://youtu.be/-fSMuccx1cg
https://youtu.be/cHX40vZKHxc
https://youtu.be/57sIg9NnEzE</t>
      </text>
    </comment>
    <comment authorId="0" ref="M56">
      <text>
        <t xml:space="preserve">All training links for this check:
https://youtu.be/-fSMuccx1cg
https://youtu.be/cHX40vZKHxc
https://youtu.be/57sIg9NnEzE</t>
      </text>
    </comment>
    <comment authorId="0" ref="M57">
      <text>
        <t xml:space="preserve">All training links for this check:
https://youtu.be/-fSMuccx1cg
https://youtu.be/cHX40vZKHxc
https://youtu.be/57sIg9NnEzE</t>
      </text>
    </comment>
    <comment authorId="0" ref="M58">
      <text>
        <t xml:space="preserve">All training links for this check:
https://youtu.be/-fSMuccx1cg
https://youtu.be/cHX40vZKHxc
https://youtu.be/57sIg9NnEzE</t>
      </text>
    </comment>
    <comment authorId="0" ref="M59">
      <text>
        <t xml:space="preserve">All training links for this check:
https://youtu.be/-fSMuccx1cg
https://youtu.be/cHX40vZKHxc
https://youtu.be/57sIg9NnEzE</t>
      </text>
    </comment>
    <comment authorId="0" ref="M60">
      <text>
        <t xml:space="preserve">All training links for this check:
https://youtu.be/-fSMuccx1cg
https://youtu.be/cHX40vZKHxc
https://youtu.be/57sIg9NnEzE</t>
      </text>
    </comment>
    <comment authorId="0" ref="M61">
      <text>
        <t xml:space="preserve">All training links for this check:
https://youtu.be/-fSMuccx1cg
https://youtu.be/cHX40vZKHxc
https://youtu.be/57sIg9NnEzE</t>
      </text>
    </comment>
    <comment authorId="0" ref="M62">
      <text>
        <t xml:space="preserve">All training links for this check:
https://youtu.be/-fSMuccx1cg
https://youtu.be/cHX40vZKHxc
https://youtu.be/57sIg9NnEzE</t>
      </text>
    </comment>
    <comment authorId="0" ref="M63">
      <text>
        <t xml:space="preserve">All training links for this check:
https://youtu.be/-fSMuccx1cg
https://youtu.be/cHX40vZKHxc
https://youtu.be/57sIg9NnEzE</t>
      </text>
    </comment>
    <comment authorId="0" ref="M64">
      <text>
        <t xml:space="preserve">All training links for this check:
https://youtu.be/-fSMuccx1cg
https://youtu.be/cHX40vZKHxc
https://youtu.be/57sIg9NnEzE</t>
      </text>
    </comment>
    <comment authorId="0" ref="M76">
      <text>
        <t xml:space="preserve">All training links for this check:
https://www.youtube.com/watch?v=1HGK4SFyCXU
https://youtu.be/mHCPf-w-3qY
https://youtu.be/pGvtph6YTno</t>
      </text>
    </comment>
    <comment authorId="0" ref="M77">
      <text>
        <t xml:space="preserve">All training links for this check:
https://www.youtube.com/watch?v=1HGK4SFyCXU
https://youtu.be/mHCPf-w-3qY
https://youtu.be/pGvtph6YTno</t>
      </text>
    </comment>
    <comment authorId="0" ref="M78">
      <text>
        <t xml:space="preserve">All training links for this check:
https://www.youtube.com/watch?v=1HGK4SFyCXU
https://youtu.be/mHCPf-w-3qY
https://youtu.be/pGvtph6YTno</t>
      </text>
    </comment>
    <comment authorId="0" ref="M79">
      <text>
        <t xml:space="preserve">All training links for this check:
https://www.youtube.com/watch?v=1HGK4SFyCXU
https://youtu.be/mHCPf-w-3qY
https://youtu.be/pGvtph6YTno</t>
      </text>
    </comment>
    <comment authorId="0" ref="M80">
      <text>
        <t xml:space="preserve">All training links for this check:
https://www.youtube.com/watch?v=1HGK4SFyCXU
https://youtu.be/mHCPf-w-3qY
https://youtu.be/pGvtph6YTno</t>
      </text>
    </comment>
    <comment authorId="0" ref="M81">
      <text>
        <t xml:space="preserve">All training links for this check:
https://www.youtube.com/watch?v=1HGK4SFyCXU
https://youtu.be/mHCPf-w-3qY
https://youtu.be/pGvtph6YTno</t>
      </text>
    </comment>
    <comment authorId="0" ref="M82">
      <text>
        <t xml:space="preserve">All training links for this check:
https://youtu.be/BlMeWgEM2Ng
https://www.youtube.com/watch?v=1HGK4SFyCXU
https://youtu.be/mHCPf-w-3qY</t>
      </text>
    </comment>
    <comment authorId="0" ref="M83">
      <text>
        <t xml:space="preserve">All training links for this check:
https://youtu.be/_vVzJ773Bxs
https://youtu.be/o-4AFE4Avlc
https://www.youtube.com/watch?v=1HGK4SFyCXU</t>
      </text>
    </comment>
    <comment authorId="0" ref="M84">
      <text>
        <t xml:space="preserve">All training links for this check:
https://www.youtube.com/watch?v=1HGK4SFyCXU
https://youtu.be/mHCPf-w-3qY
https://youtu.be/pGvtph6YTno</t>
      </text>
    </comment>
    <comment authorId="0" ref="M85">
      <text>
        <t xml:space="preserve">All training links for this check:
https://www.youtube.com/watch?v=1HGK4SFyCXU
https://youtu.be/mHCPf-w-3qY
https://youtu.be/pGvtph6YTno</t>
      </text>
    </comment>
    <comment authorId="0" ref="M86">
      <text>
        <t xml:space="preserve">All training links for this check:
https://www.youtube.com/watch?v=1HGK4SFyCXU
https://youtu.be/mHCPf-w-3qY
https://youtu.be/pGvtph6YTno</t>
      </text>
    </comment>
    <comment authorId="0" ref="M87">
      <text>
        <t xml:space="preserve">All training links for this check:
https://www.youtube.com/watch?v=1HGK4SFyCXU
https://youtu.be/mHCPf-w-3qY
https://youtu.be/pGvtph6YTno</t>
      </text>
    </comment>
    <comment authorId="0" ref="M88">
      <text>
        <t xml:space="preserve">All training links for this check:
https://www.youtube.com/watch?v=1HGK4SFyCXU
https://youtu.be/mHCPf-w-3qY
https://youtu.be/pGvtph6YTno</t>
      </text>
    </comment>
    <comment authorId="0" ref="M89">
      <text>
        <t xml:space="preserve">All training links for this check:
https://www.youtube.com/watch?v=1HGK4SFyCXU
https://youtu.be/mHCPf-w-3qY
https://youtu.be/pGvtph6YTno</t>
      </text>
    </comment>
    <comment authorId="0" ref="M90">
      <text>
        <t xml:space="preserve">All training links for this check:
https://www.youtube.com/watch?v=1HGK4SFyCXU
https://youtu.be/mHCPf-w-3qY
https://youtu.be/pGvtph6YTno</t>
      </text>
    </comment>
    <comment authorId="0" ref="M91">
      <text>
        <t xml:space="preserve">All training links for this check:
https://www.youtube.com/watch?v=1HGK4SFyCXU
https://youtu.be/mHCPf-w-3qY
https://youtu.be/pGvtph6YTno</t>
      </text>
    </comment>
    <comment authorId="0" ref="M92">
      <text>
        <t xml:space="preserve">All training links for this check:
https://www.youtube.com/watch?v=1HGK4SFyCXU
https://youtu.be/mHCPf-w-3qY
https://youtu.be/pGvtph6YTno</t>
      </text>
    </comment>
    <comment authorId="0" ref="M93">
      <text>
        <t xml:space="preserve">All training links for this check:
https://www.youtube.com/watch?v=1HGK4SFyCXU
https://youtu.be/mHCPf-w-3qY
https://youtu.be/pGvtph6YTno</t>
      </text>
    </comment>
    <comment authorId="0" ref="M94">
      <text>
        <t xml:space="preserve">All training links for this check:
https://www.youtube.com/watch?v=1HGK4SFyCXU
https://youtu.be/mHCPf-w-3qY
https://youtu.be/pGvtph6YTno</t>
      </text>
    </comment>
    <comment authorId="0" ref="M95">
      <text>
        <t xml:space="preserve">All training links for this check:
https://www.youtube.com/watch?v=1HGK4SFyCXU
https://youtu.be/mHCPf-w-3qY
https://youtu.be/pGvtph6YTno</t>
      </text>
    </comment>
    <comment authorId="0" ref="M96">
      <text>
        <t xml:space="preserve">All training links for this check:
https://www.youtube.com/watch?v=1HGK4SFyCXU
https://youtu.be/mHCPf-w-3qY
https://youtu.be/pGvtph6YTno</t>
      </text>
    </comment>
    <comment authorId="0" ref="M97">
      <text>
        <t xml:space="preserve">All training links for this check:
https://www.youtube.com/watch?v=1HGK4SFyCXU
https://youtu.be/mHCPf-w-3qY
https://youtu.be/pGvtph6YTno</t>
      </text>
    </comment>
    <comment authorId="0" ref="M98">
      <text>
        <t xml:space="preserve">All training links for this check:
https://www.youtube.com/watch?v=1HGK4SFyCXU
https://youtu.be/mHCPf-w-3qY
https://youtu.be/pGvtph6YTno</t>
      </text>
    </comment>
    <comment authorId="0" ref="M100">
      <text>
        <t xml:space="preserve">All training links for this check:
https://www.youtube.com/watch?v=1HGK4SFyCXU
https://youtu.be/pGvtph6YTno
https://youtu.be/ctJphfaaE1M</t>
      </text>
    </comment>
    <comment authorId="0" ref="M105">
      <text>
        <t xml:space="preserve">All training links for this check:
https://youtu.be/BlMeWgEM2Ng
https://www.youtube.com/watch?v=1HGK4SFyCXU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  <comment authorId="0" ref="M3">
      <text>
        <t xml:space="preserve">All training links for this check:
https://youtu.be/r8k0q1BYDqs
https://youtu.be/gMuHKefbx1E</t>
      </text>
    </comment>
    <comment authorId="0" ref="M4">
      <text>
        <t xml:space="preserve">All training links for this check:
https://youtu.be/r8k0q1BYDqs
https://youtu.be/gMuHKefbx1E</t>
      </text>
    </comment>
    <comment authorId="0" ref="M5">
      <text>
        <t xml:space="preserve">All training links for this check:
https://youtu.be/r8k0q1BYDqs
https://youtu.be/gMuHKefbx1E</t>
      </text>
    </comment>
    <comment authorId="0" ref="M6">
      <text>
        <t xml:space="preserve">All training links for this check:
https://youtu.be/r8k0q1BYDqs
https://youtu.be/gMuHKefbx1E</t>
      </text>
    </comment>
    <comment authorId="0" ref="M7">
      <text>
        <t xml:space="preserve">All training links for this check:
https://youtu.be/r8k0q1BYDqs
https://youtu.be/gMuHKefbx1E</t>
      </text>
    </comment>
    <comment authorId="0" ref="M8">
      <text>
        <t xml:space="preserve">All training links for this check:
https://youtu.be/r8k0q1BYDqs
https://youtu.be/gMuHKefbx1E</t>
      </text>
    </comment>
    <comment authorId="0" ref="M9">
      <text>
        <t xml:space="preserve">All training links for this check:
https://youtu.be/r8k0q1BYDqs
https://youtu.be/gMuHKefbx1E</t>
      </text>
    </comment>
    <comment authorId="0" ref="M10">
      <text>
        <t xml:space="preserve">All training links for this check:
https://youtu.be/r8k0q1BYDqs
https://youtu.be/gMuHKefbx1E</t>
      </text>
    </comment>
    <comment authorId="0" ref="M14">
      <text>
        <t xml:space="preserve">All training links for this check:
https://youtu.be/r8k0q1BYDqs
https://youtu.be/gMuHKefbx1E</t>
      </text>
    </comment>
    <comment authorId="0" ref="M21">
      <text>
        <t xml:space="preserve">All training links for this check:
https://www.youtube.com/watch?v=pTsLuaXOJWY
https://youtu.be/Ln1R1TdBLeQ</t>
      </text>
    </comment>
    <comment authorId="0" ref="M22">
      <text>
        <t xml:space="preserve">All training links for this check:
https://youtu.be/r8k0q1BYDqs
https://youtu.be/gMuHKefbx1E
https://youtu.be/kjaSZqrC_d0</t>
      </text>
    </comment>
    <comment authorId="0" ref="M26">
      <text>
        <t xml:space="preserve">All training links for this check:
https://youtu.be/r8k0q1BYDqs
https://youtu.be/gMuHKefbx1E
https://youtu.be/kjaSZqrC_d0</t>
      </text>
    </comment>
    <comment authorId="0" ref="M28">
      <text>
        <t xml:space="preserve">All training links for this check:
https://youtu.be/r8k0q1BYDqs
https://youtu.be/gMuHKefbx1E</t>
      </text>
    </comment>
    <comment authorId="0" ref="M29">
      <text>
        <t xml:space="preserve">All training links for this check:
https://youtu.be/r8k0q1BYDqs
https://youtu.be/gMuHKefbx1E</t>
      </text>
    </comment>
    <comment authorId="0" ref="M30">
      <text>
        <t xml:space="preserve">All training links for this check:
https://youtu.be/r8k0q1BYDqs
https://youtu.be/gMuHKefbx1E</t>
      </text>
    </comment>
    <comment authorId="0" ref="M31">
      <text>
        <t xml:space="preserve">All training links for this check:
https://youtu.be/r8k0q1BYDqs
https://youtu.be/gMuHKefbx1E</t>
      </text>
    </comment>
    <comment authorId="0" ref="M32">
      <text>
        <t xml:space="preserve">All training links for this check:
https://youtu.be/r8k0q1BYDqs
https://youtu.be/gMuHKefbx1E</t>
      </text>
    </comment>
    <comment authorId="0" ref="M33">
      <text>
        <t xml:space="preserve">All training links for this check:
https://youtu.be/r8k0q1BYDqs
https://youtu.be/gMuHKefbx1E</t>
      </text>
    </comment>
    <comment authorId="0" ref="M34">
      <text>
        <t xml:space="preserve">All training links for this check:
https://youtu.be/r8k0q1BYDqs
https://youtu.be/gMuHKefbx1E</t>
      </text>
    </comment>
    <comment authorId="0" ref="M35">
      <text>
        <t xml:space="preserve">All training links for this check:
https://youtu.be/r8k0q1BYDqs
https://youtu.be/gMuHKefbx1E</t>
      </text>
    </comment>
    <comment authorId="0" ref="M36">
      <text>
        <t xml:space="preserve">All training links for this check:
https://youtu.be/r8k0q1BYDqs
https://youtu.be/gMuHKefbx1E</t>
      </text>
    </comment>
    <comment authorId="0" ref="M37">
      <text>
        <t xml:space="preserve">All training links for this check:
https://youtu.be/r8k0q1BYDqs
https://youtu.be/gMuHKefbx1E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  <comment authorId="0" ref="M2">
      <text>
        <t xml:space="preserve">All training links for this check:
https://youtu.be/-fSMuccx1cg
https://youtu.be/cHX40vZKHxc
https://youtu.be/57sIg9NnEzE</t>
      </text>
    </comment>
    <comment authorId="0" ref="M3">
      <text>
        <t xml:space="preserve">All training links for this check:
https://youtu.be/-fSMuccx1cg
https://youtu.be/cHX40vZKHxc
https://youtu.be/57sIg9NnEzE</t>
      </text>
    </comment>
    <comment authorId="0" ref="M4">
      <text>
        <t xml:space="preserve">All training links for this check:
https://youtu.be/-fSMuccx1cg
https://youtu.be/cHX40vZKHxc
https://youtu.be/57sIg9NnEzE</t>
      </text>
    </comment>
    <comment authorId="0" ref="M5">
      <text>
        <t xml:space="preserve">All training links for this check:
https://youtu.be/-fSMuccx1cg
https://youtu.be/cHX40vZKHxc
https://youtu.be/57sIg9NnEzE</t>
      </text>
    </comment>
    <comment authorId="0" ref="M6">
      <text>
        <t xml:space="preserve">All training links for this check:
https://youtu.be/-fSMuccx1cg
https://youtu.be/cHX40vZKHxc
https://youtu.be/57sIg9NnEzE</t>
      </text>
    </comment>
    <comment authorId="0" ref="M7">
      <text>
        <t xml:space="preserve">All training links for this check:
https://youtu.be/-fSMuccx1cg
https://youtu.be/cHX40vZKHxc
https://youtu.be/57sIg9NnEzE</t>
      </text>
    </comment>
    <comment authorId="0" ref="M8">
      <text>
        <t xml:space="preserve">All training links for this check:
https://youtu.be/-fSMuccx1cg
https://youtu.be/cHX40vZKHxc
https://youtu.be/57sIg9NnEzE</t>
      </text>
    </comment>
    <comment authorId="0" ref="M9">
      <text>
        <t xml:space="preserve">All training links for this check:
https://youtu.be/-fSMuccx1cg
https://youtu.be/cHX40vZKHxc
https://youtu.be/57sIg9NnEzE</t>
      </text>
    </comment>
    <comment authorId="0" ref="M10">
      <text>
        <t xml:space="preserve">All training links for this check:
https://youtu.be/-fSMuccx1cg
https://youtu.be/cHX40vZKHxc
https://youtu.be/57sIg9NnEzE</t>
      </text>
    </comment>
    <comment authorId="0" ref="M11">
      <text>
        <t xml:space="preserve">All training links for this check:
https://youtu.be/-fSMuccx1cg
https://youtu.be/cHX40vZKHxc
https://youtu.be/57sIg9NnEzE</t>
      </text>
    </comment>
    <comment authorId="0" ref="M12">
      <text>
        <t xml:space="preserve">All training links for this check:
https://youtu.be/-fSMuccx1cg
https://youtu.be/cHX40vZKHxc
https://youtu.be/57sIg9NnEzE</t>
      </text>
    </comment>
    <comment authorId="0" ref="M13">
      <text>
        <t xml:space="preserve">All training links for this check:
https://youtu.be/-fSMuccx1cg
https://youtu.be/cHX40vZKHxc
https://youtu.be/57sIg9NnEzE</t>
      </text>
    </comment>
    <comment authorId="0" ref="M14">
      <text>
        <t xml:space="preserve">All training links for this check:
https://youtu.be/-fSMuccx1cg
https://youtu.be/cHX40vZKHxc
https://youtu.be/57sIg9NnEzE</t>
      </text>
    </comment>
    <comment authorId="0" ref="M15">
      <text>
        <t xml:space="preserve">All training links for this check:
https://youtu.be/-fSMuccx1cg
https://youtu.be/cHX40vZKHxc
https://youtu.be/57sIg9NnEzE</t>
      </text>
    </comment>
    <comment authorId="0" ref="M16">
      <text>
        <t xml:space="preserve">All training links for this check:
https://youtu.be/-fSMuccx1cg
https://youtu.be/cHX40vZKHxc
https://youtu.be/57sIg9NnEzE</t>
      </text>
    </comment>
    <comment authorId="0" ref="M17">
      <text>
        <t xml:space="preserve">All training links for this check:
https://youtu.be/-fSMuccx1cg
https://youtu.be/cHX40vZKHxc
https://youtu.be/57sIg9NnEzE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  <comment authorId="0" ref="M2">
      <text>
        <t xml:space="preserve">All training links for this check:
https://www.youtube.com/watch?v=1HGK4SFyCXU
https://youtu.be/mHCPf-w-3qY
https://youtu.be/pGvtph6YTno</t>
      </text>
    </comment>
    <comment authorId="0" ref="M3">
      <text>
        <t xml:space="preserve">All training links for this check:
https://www.youtube.com/watch?v=1HGK4SFyCXU
https://youtu.be/mHCPf-w-3qY
https://youtu.be/pGvtph6YTno</t>
      </text>
    </comment>
    <comment authorId="0" ref="M4">
      <text>
        <t xml:space="preserve">All training links for this check:
https://www.youtube.com/watch?v=1HGK4SFyCXU
https://youtu.be/mHCPf-w-3qY
https://youtu.be/pGvtph6YTno</t>
      </text>
    </comment>
    <comment authorId="0" ref="M5">
      <text>
        <t xml:space="preserve">All training links for this check:
https://www.youtube.com/watch?v=1HGK4SFyCXU
https://youtu.be/mHCPf-w-3qY
https://youtu.be/pGvtph6YTno</t>
      </text>
    </comment>
    <comment authorId="0" ref="M6">
      <text>
        <t xml:space="preserve">All training links for this check:
https://www.youtube.com/watch?v=1HGK4SFyCXU
https://youtu.be/mHCPf-w-3qY
https://youtu.be/pGvtph6YTno</t>
      </text>
    </comment>
    <comment authorId="0" ref="M7">
      <text>
        <t xml:space="preserve">All training links for this check:
https://www.youtube.com/watch?v=1HGK4SFyCXU
https://youtu.be/mHCPf-w-3qY
https://youtu.be/pGvtph6YTno</t>
      </text>
    </comment>
    <comment authorId="0" ref="M8">
      <text>
        <t xml:space="preserve">All training links for this check:
https://youtu.be/BlMeWgEM2Ng
https://www.youtube.com/watch?v=1HGK4SFyCXU
https://youtu.be/mHCPf-w-3qY</t>
      </text>
    </comment>
    <comment authorId="0" ref="M9">
      <text>
        <t xml:space="preserve">All training links for this check:
https://youtu.be/_vVzJ773Bxs
https://youtu.be/o-4AFE4Avlc
https://www.youtube.com/watch?v=1HGK4SFyCXU</t>
      </text>
    </comment>
    <comment authorId="0" ref="M10">
      <text>
        <t xml:space="preserve">All training links for this check:
https://www.youtube.com/watch?v=1HGK4SFyCXU
https://youtu.be/mHCPf-w-3qY
https://youtu.be/pGvtph6YTno</t>
      </text>
    </comment>
    <comment authorId="0" ref="M11">
      <text>
        <t xml:space="preserve">All training links for this check:
https://www.youtube.com/watch?v=1HGK4SFyCXU
https://youtu.be/mHCPf-w-3qY
https://youtu.be/pGvtph6YTno</t>
      </text>
    </comment>
    <comment authorId="0" ref="M12">
      <text>
        <t xml:space="preserve">All training links for this check:
https://www.youtube.com/watch?v=1HGK4SFyCXU
https://youtu.be/mHCPf-w-3qY
https://youtu.be/pGvtph6YTno</t>
      </text>
    </comment>
    <comment authorId="0" ref="M13">
      <text>
        <t xml:space="preserve">All training links for this check:
https://www.youtube.com/watch?v=1HGK4SFyCXU
https://youtu.be/mHCPf-w-3qY
https://youtu.be/pGvtph6YTno</t>
      </text>
    </comment>
    <comment authorId="0" ref="M14">
      <text>
        <t xml:space="preserve">All training links for this check:
https://www.youtube.com/watch?v=1HGK4SFyCXU
https://youtu.be/mHCPf-w-3qY
https://youtu.be/pGvtph6YTno</t>
      </text>
    </comment>
    <comment authorId="0" ref="M15">
      <text>
        <t xml:space="preserve">All training links for this check:
https://www.youtube.com/watch?v=1HGK4SFyCXU
https://youtu.be/mHCPf-w-3qY
https://youtu.be/pGvtph6YTno</t>
      </text>
    </comment>
    <comment authorId="0" ref="M16">
      <text>
        <t xml:space="preserve">All training links for this check:
https://www.youtube.com/watch?v=1HGK4SFyCXU
https://youtu.be/mHCPf-w-3qY
https://youtu.be/pGvtph6YTno</t>
      </text>
    </comment>
    <comment authorId="0" ref="M17">
      <text>
        <t xml:space="preserve">All training links for this check:
https://www.youtube.com/watch?v=1HGK4SFyCXU
https://youtu.be/mHCPf-w-3qY
https://youtu.be/pGvtph6YTno</t>
      </text>
    </comment>
    <comment authorId="0" ref="M18">
      <text>
        <t xml:space="preserve">All training links for this check:
https://www.youtube.com/watch?v=1HGK4SFyCXU
https://youtu.be/mHCPf-w-3qY
https://youtu.be/pGvtph6YTno</t>
      </text>
    </comment>
    <comment authorId="0" ref="M19">
      <text>
        <t xml:space="preserve">All training links for this check:
https://www.youtube.com/watch?v=1HGK4SFyCXU
https://youtu.be/mHCPf-w-3qY
https://youtu.be/pGvtph6YTno</t>
      </text>
    </comment>
    <comment authorId="0" ref="M20">
      <text>
        <t xml:space="preserve">All training links for this check:
https://www.youtube.com/watch?v=1HGK4SFyCXU
https://youtu.be/mHCPf-w-3qY
https://youtu.be/pGvtph6YTno</t>
      </text>
    </comment>
    <comment authorId="0" ref="M21">
      <text>
        <t xml:space="preserve">All training links for this check:
https://www.youtube.com/watch?v=1HGK4SFyCXU
https://youtu.be/mHCPf-w-3qY
https://youtu.be/pGvtph6YTno</t>
      </text>
    </comment>
    <comment authorId="0" ref="M22">
      <text>
        <t xml:space="preserve">All training links for this check:
https://www.youtube.com/watch?v=1HGK4SFyCXU
https://youtu.be/mHCPf-w-3qY
https://youtu.be/pGvtph6YTno</t>
      </text>
    </comment>
    <comment authorId="0" ref="M23">
      <text>
        <t xml:space="preserve">All training links for this check:
https://www.youtube.com/watch?v=1HGK4SFyCXU
https://youtu.be/mHCPf-w-3qY
https://youtu.be/pGvtph6YTno</t>
      </text>
    </comment>
    <comment authorId="0" ref="M24">
      <text>
        <t xml:space="preserve">All training links for this check:
https://www.youtube.com/watch?v=1HGK4SFyCXU
https://youtu.be/mHCPf-w-3qY
https://youtu.be/pGvtph6YTno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  <comment authorId="0" ref="M3">
      <text>
        <t xml:space="preserve">All training links for this check:
https://www.youtube.com/watch?v=1HGK4SFyCXU
https://youtu.be/pGvtph6YTno
https://youtu.be/ctJphfaaE1M</t>
      </text>
    </comment>
    <comment authorId="0" ref="M8">
      <text>
        <t xml:space="preserve">All training links for this check:
https://youtu.be/BlMeWgEM2Ng
https://www.youtube.com/watch?v=1HGK4SFyCXU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ADD A DEFECT PHOTO (works in Excel &amp; Google Sheets):
1) BOTH APPS - show photo from a link: type  =IMAGE("https://direct-image-url")  in this cell.
   (Google Drive: share photo as 'Anyone with link', use  https://drive.google.com/uc?export=view&amp;id=FILE_ID )
2) EXCEL only - embed image: click cell -&gt; Insert -&gt; Pictures -&gt; 'Place in Cell'.
3) BOTH APPS - simple link: paste the share link to make a clickable link.</t>
      </text>
    </comment>
    <comment authorId="0" ref="R1">
      <text>
        <t xml:space="preserve">ADD THE 'AFTER' PHOTO once fixed (works in Excel &amp; Google Sheets):
Same as Defect Photo - use  =IMAGE("url")  (both apps), Insert-&gt;Pictures-&gt;Place in Cell (Excel), or paste a clickable share link.</t>
      </text>
    </comment>
  </commentList>
</comments>
</file>

<file path=xl/sharedStrings.xml><?xml version="1.0" encoding="utf-8"?>
<sst xmlns="http://schemas.openxmlformats.org/spreadsheetml/2006/main" count="8270" uniqueCount="1573">
  <si>
    <t>Timestamp</t>
  </si>
  <si>
    <t>Inspector Name</t>
  </si>
  <si>
    <t>Block</t>
  </si>
  <si>
    <t>Floor</t>
  </si>
  <si>
    <t>Flat</t>
  </si>
  <si>
    <t>Work Category</t>
  </si>
  <si>
    <t>RCC Work || Checklist [RCC-001 — Dimensions: length, breadth, depth as per drawing.]</t>
  </si>
  <si>
    <t>RCC Work || Checklist [RCC-002 — Check is the bar bending schedule is prepared and approved by the site Engineer.]</t>
  </si>
  <si>
    <t>RCC Work || Checklist [RCC-003 — Check for correct cutting &amp; bending of bars as per approved BBS.]</t>
  </si>
  <si>
    <t>RCC Work || Checklist [RCC-004 — Check bar diameter, shapes of bar, dimension of bars &amp; number of bars as per BBS.]</t>
  </si>
  <si>
    <t>RCC Work || Checklist [RCC-005 — Check identification tags is attached.]</t>
  </si>
  <si>
    <t>RCC Work || Checklist [RCC-006 — Check for cleanliness of bars from any oil, grease, soil &amp; rust.]</t>
  </si>
  <si>
    <t>RCC Work || Checklist [RCC-007 — Check for satisfactory tying of reinforcement with binding wire.]</t>
  </si>
  <si>
    <t>RCC Work || Checklist [RCC-008 — Check for location of service conduits.]</t>
  </si>
  <si>
    <t>RCC Work || Checklist [RCC-009 — Check for readiness of reinforcement for release for concreting.]</t>
  </si>
  <si>
    <t>RCC Work || Checklist [RCC-010 — Slump test at pour location.]</t>
  </si>
  <si>
    <t>RCC Work || Checklist [RCC-011 — Is continuous flow of concrete ensured.]</t>
  </si>
  <si>
    <t>RCC Work || Checklist [RCC-012 — Check for transportation &amp; placement of concrete. Is it ok?]</t>
  </si>
  <si>
    <t>RCC Work || Checklist [RCC-013 — Check whether vibration being done till concrete packs tightly against all surface, reinforcement and embed...]</t>
  </si>
  <si>
    <t>RCC Work || Checklist [RCC-014 — Is blending of concrete poured in separated layers being ensured?]</t>
  </si>
  <si>
    <t>RCC Work || Checklist [RCC-015 — Is concrete consumed within initial setting time of cement.]</t>
  </si>
  <si>
    <t>RCC Work || Checklist [RCC-016 — Check for positions of construction joint. Is it ok?]</t>
  </si>
  <si>
    <t>RCC Work || Checklist [RCC-017 — Check for leveling and finishing of concrete surface.]</t>
  </si>
  <si>
    <t>RCC Work || Checklist [RCC-018 — Check the quantity of concrete of poured match with theoretical qty.]</t>
  </si>
  <si>
    <t>RCC Work || Checklist [RCC-019 — Check the start time and end time of concreting.]</t>
  </si>
  <si>
    <t>RCC Work || Checklist [RCC-020 — Cube samples cast (6 numbers / 50 m³).]</t>
  </si>
  <si>
    <t>RCC Work || Checklist [RCC-021 — Shuttering material (ply / steel) condition.]</t>
  </si>
  <si>
    <t>RCC Work || Checklist [RCC-022 — Line, level &amp; plumb of formwork.]</t>
  </si>
  <si>
    <t>RCC Work || Checklist [RCC-023 — Props, bracing &amp; supports adequacy.]</t>
  </si>
  <si>
    <t>RCC Work || Checklist [RCC-024 — Cleaning of formwork (no debris, dust, water).]</t>
  </si>
  <si>
    <t>RCC Work || Checklist [RCC-025 — Shuttering oil / release agent application.]</t>
  </si>
  <si>
    <t>RCC Work || Checklist [RCC-026 — Joints sealed (no slurry leakage points).]</t>
  </si>
  <si>
    <t>RCC Work || Checklist [RCC-027 — Steel grade &amp; make verification (TMT Fe-500/550D).]</t>
  </si>
  <si>
    <t>RCC Work || Checklist [RCC-028 — Bar diameter, number &amp; spacing as per BBS.]</t>
  </si>
  <si>
    <t>RCC Work || Checklist [RCC-029 — Lap length &amp; lap location.]</t>
  </si>
  <si>
    <t>RCC Work || Checklist [RCC-030 — Cover blocks (cement / PVC) — type, size, spacing.]</t>
  </si>
  <si>
    <t>RCC Work || Checklist [RCC-031 — Clear cover provided.]</t>
  </si>
  <si>
    <t>RCC Work || Checklist [RCC-032 — Hooks, bends, stirrups &amp; ties.]</t>
  </si>
  <si>
    <t>RCC Work || Checklist [RCC-033 — Chair bars in two-way reinforcement.]</t>
  </si>
  <si>
    <t>RCC Work || Checklist [RCC-034 — Binding wire — coverage &amp; tightness.]</t>
  </si>
  <si>
    <t>RCC Work || Checklist [RCC-035 — Free of oil, mud, loose rust, paint.]</t>
  </si>
  <si>
    <t>RCC Work || Checklist [RCC-036 — Electrical / plumbing conduits &amp; sleeves in place.]</t>
  </si>
  <si>
    <t>RCC Work || Checklist [RCC-037 — Box-outs, pockets, inserts for fixtures.]</t>
  </si>
  <si>
    <t>RCC Work || Checklist [RCC-038 — Construction joint preparation (laitance removed).]</t>
  </si>
  <si>
    <t>RCC Work || Checklist [RCC-039 — Concrete grade &amp; mix verification.]</t>
  </si>
  <si>
    <t>RCC Work || Checklist [RCC-040 — Pour sequence &amp; layering thickness.]</t>
  </si>
  <si>
    <t>RCC Work || Checklist [RCC-041 — Vibration — needle / external.]</t>
  </si>
  <si>
    <t>RCC Work || Checklist [RCC-042 — Free fall height of concrete.]</t>
  </si>
  <si>
    <t>RCC Work || Checklist [RCC-043 — Top finishing — level, screeding, floating.]</t>
  </si>
  <si>
    <t>RCC Work || Checklist [RCC-044 — Weather conditions monitored (temp/rain).]</t>
  </si>
  <si>
    <t>RCC Work || Checklist [RCC-045 — Curing started within 6–12 hrs.]</t>
  </si>
  <si>
    <t>RCC Work || Checklist [RCC-046 — Shuttering striking time observed.]</t>
  </si>
  <si>
    <t>RCC Work || Checklist [RCC-047 — Surface inspection — honeycomb, voids, cracks.]</t>
  </si>
  <si>
    <t>Section Remarks  [RCC Work]</t>
  </si>
  <si>
    <t>Masonry Work || Checklist [MAS-001 — Check is the Drawing, Specification &amp; method statement approved by the consultant.]</t>
  </si>
  <si>
    <t>Masonry Work || Checklist [MAS-002 — Check whether type and material for Masonry work has been decided.]</t>
  </si>
  <si>
    <t>Masonry Work || Checklist [MAS-003 — Check for availability of material as per the daily requirement.]</t>
  </si>
  <si>
    <t>Masonry Work || Checklist [MAS-004 — Check is the area clean of loose material and concrete.]</t>
  </si>
  <si>
    <t>Masonry Work || Checklist [MAS-005 — Check for proper staking of bricks / AAC block.]</t>
  </si>
  <si>
    <t>Masonry Work || Checklist [MAS-006 — Check for quality of brick, cement &amp; Sand.]</t>
  </si>
  <si>
    <t>Masonry Work || Checklist [MAS-007 — Check for wetting of bricks.]</t>
  </si>
  <si>
    <t>Masonry Work || Checklist [MAS-008 — Check for the proportion of mortar mixing ratio.]</t>
  </si>
  <si>
    <t>Masonry Work || Checklist [MAS-009 — Check for size of doors and window opening.]</t>
  </si>
  <si>
    <t>Masonry Work || Checklist [MAS-010 — Check for margins left for plastering jobs.]</t>
  </si>
  <si>
    <t>Masonry Work || Checklist [MAS-011 — Check for dry mixing on hard and clean surface before adding water to mix proportion of mortar.]</t>
  </si>
  <si>
    <t>Masonry Work || Checklist [MAS-012 — Check for plumb, line &amp; level.]</t>
  </si>
  <si>
    <t>Masonry Work || Checklist [MAS-013 — Check for cleaning area for dead mortar and brick bat to location of disposal.]</t>
  </si>
  <si>
    <t>Masonry Work || Checklist [MAS-014 — Check for raking of joints to received plaster/ pointing both side of the wall.]</t>
  </si>
  <si>
    <t>Masonry Work || Checklist [MAS-015 — Check for curing arrangements.]</t>
  </si>
  <si>
    <t>Masonry Work || Checklist [MAS-016 — Check for defects if any urgently rectification required.]</t>
  </si>
  <si>
    <t>Section Remarks  [Masonry Work]</t>
  </si>
  <si>
    <t>Excavation &amp; Earthwork || Checklist [EXC-001 — Check whether soil investigation report/drawing studied by concerned Consultant.]</t>
  </si>
  <si>
    <t>Excavation &amp; Earthwork || Checklist [EXC-002 — Is excavation plan approved by Engineer/Consultant.]</t>
  </si>
  <si>
    <t>Excavation &amp; Earthwork || Checklist [EXC-003 — Check the layout, Alignment and size of excavation marked on the ground as per excavation plan.]</t>
  </si>
  <si>
    <t>Excavation &amp; Earthwork || Checklist [EXC-004 — Check Is there any underground utilities like sewers,water pipeline, cable etc is exist.]</t>
  </si>
  <si>
    <t>Excavation &amp; Earthwork || Checklist [EXC-005 — Check the area on excavation is clean &amp; clear of bushes, vegetation &amp; tree.]</t>
  </si>
  <si>
    <t>Excavation &amp; Earthwork || Checklist [EXC-006 — Check whether the excavated pit are adequately shored/timbered/safe slopes provided.]</t>
  </si>
  <si>
    <t>Excavation &amp; Earthwork || Checklist [EXC-007 — Check where barricading &amp; Caution signs are provided for deep excavation.]</t>
  </si>
  <si>
    <t>Excavation &amp; Earthwork || Checklist [EXC-008 — Check whether excavated material is kept away at least 1.5 mtr from the edge of the pit.]</t>
  </si>
  <si>
    <t>Excavation &amp; Earthwork || Checklist [EXC-009 — Make sure to keep away heavy equipment atleast 6.00 mtr from the pit.]</t>
  </si>
  <si>
    <t>Excavation &amp; Earthwork || Checklist [EXC-010 — Check lighting arrangement are adequate during night work.]</t>
  </si>
  <si>
    <t>Excavation &amp; Earthwork || Checklist [EXC-011 — Check the dewatering arrangement is available in case of pit is water logged.]</t>
  </si>
  <si>
    <t>Section Remarks  [Excavation &amp; Earthwork]</t>
  </si>
  <si>
    <t>Plaster &amp; Waterproofing || Checklist [PLW-001 — Substrate cleaned of dust, oil, loose particles.]</t>
  </si>
  <si>
    <t>Plaster &amp; Waterproofing || Checklist [PLW-002 — Hacking of concrete surfaces (RCC / shear walls).]</t>
  </si>
  <si>
    <t>Plaster &amp; Waterproofing || Checklist [PLW-003 — Surface thoroughly wetted before plaster.]</t>
  </si>
  <si>
    <t>Plaster &amp; Waterproofing || Checklist [PLW-004 — Chicken wire mesh at RCC–masonry junctions.]</t>
  </si>
  <si>
    <t>Plaster &amp; Waterproofing || Checklist [PLW-005 — All MEP chases filled, conduits secured &amp; netted.]</t>
  </si>
  <si>
    <t>Plaster &amp; Waterproofing || Checklist [PLW-006 — Level pads / dots &amp; screeds (gauges) installed.]</t>
  </si>
  <si>
    <t>Plaster &amp; Waterproofing || Checklist [PLW-007 — Cement — brand &amp; grade.]</t>
  </si>
  <si>
    <t>Plaster &amp; Waterproofing || Checklist [PLW-008 — Sand — zone, silt content, washing.]</t>
  </si>
  <si>
    <t>Plaster &amp; Waterproofing || Checklist [PLW-009 — Water — potable, clean.]</t>
  </si>
  <si>
    <t>Plaster &amp; Waterproofing || Checklist [PLW-010 — Mix proportion as specified.]</t>
  </si>
  <si>
    <t>Plaster &amp; Waterproofing || Checklist [PLW-011 — Waterproofing admixture in external plaster.]</t>
  </si>
  <si>
    <t>Plaster &amp; Waterproofing || Checklist [PLW-012 — Plaster thickness.]</t>
  </si>
  <si>
    <t>Plaster &amp; Waterproofing || Checklist [PLW-013 — Plumb, line &amp; level (3m straight edge).]</t>
  </si>
  <si>
    <t>Plaster &amp; Waterproofing || Checklist [PLW-014 — Corners — sharp, true, with chamfer/groove if specified.]</t>
  </si>
  <si>
    <t>Plaster &amp; Waterproofing || Checklist [PLW-015 — Finish — smooth, no undulations, no cracks.]</t>
  </si>
  <si>
    <t>Plaster &amp; Waterproofing || Checklist [PLW-016 — Plaster in 2 coats (base + finish).]</t>
  </si>
  <si>
    <t>Plaster &amp; Waterproofing || Checklist [PLW-017 — Grooves at slab/wall junction &amp; at intervals.]</t>
  </si>
  <si>
    <t>Plaster &amp; Waterproofing || Checklist [PLW-018 — Drip mould below projections / sunshade.]</t>
  </si>
  <si>
    <t>Plaster &amp; Waterproofing || Checklist [PLW-019 — Bands &amp; architectural features as per elevation.]</t>
  </si>
  <si>
    <t>Plaster &amp; Waterproofing || Checklist [PLW-020 — Curing — minimum 7 days continuous.]</t>
  </si>
  <si>
    <t>Plaster &amp; Waterproofing || Checklist [PLW-021 — Hollow sound check on cured plaster.]</t>
  </si>
  <si>
    <t>Plaster &amp; Waterproofing || Checklist [PLW-022 — Shrinkage / surface cracks.]</t>
  </si>
  <si>
    <t>Plaster &amp; Waterproofing || Checklist [PLW-023 — Joints between old &amp; new plaster.]</t>
  </si>
  <si>
    <t>Section Remarks  [Plaster &amp; Waterproofing]</t>
  </si>
  <si>
    <t>Tile Work || Checklist [TIL-001 — Base / screed level &amp; slope.]</t>
  </si>
  <si>
    <t>Tile Work || Checklist [TIL-002 — Waterproofing completed &amp; tested (wet areas).]</t>
  </si>
  <si>
    <t>Tile Work || Checklist [TIL-003 — Substrate clean, dry, free of curing compound.]</t>
  </si>
  <si>
    <t>Tile Work || Checklist [TIL-004 — Tile inspection — size, color, lot, shade match.]</t>
  </si>
  <si>
    <t>Tile Work || Checklist [TIL-005 — Adhesive / mortar type.]</t>
  </si>
  <si>
    <t>Tile Work || Checklist [TIL-006 — Tile spacers &amp; spacing.]</t>
  </si>
  <si>
    <t>Tile Work || Checklist [TIL-007 — Grout — color, brand, epoxy/cementitious.]</t>
  </si>
  <si>
    <t>Tile Work || Checklist [TIL-008 — Dry layout / setting-out approval.]</t>
  </si>
  <si>
    <t>Tile Work || Checklist [TIL-009 — Reference lines &amp; datum levels marked.]</t>
  </si>
  <si>
    <t>Tile Work || Checklist [TIL-010 — Pattern, direction, design as per drawing.]</t>
  </si>
  <si>
    <t>Tile Work || Checklist [TIL-011 — Full bedding — no voids under tiles.]</t>
  </si>
  <si>
    <t>Tile Work || Checklist [TIL-012 — Lippage between adjacent tiles.]</t>
  </si>
  <si>
    <t>Tile Work || Checklist [TIL-013 — Joints — straight, uniform, perpendicular.]</t>
  </si>
  <si>
    <t>Tile Work || Checklist [TIL-014 — Cut tiles — edge finish, location.]</t>
  </si>
  <si>
    <t>Tile Work || Checklist [TIL-015 — Slope verification in toilet/balcony floor.]</t>
  </si>
  <si>
    <t>Tile Work || Checklist [TIL-016 — Skirting / dado alignment with floor joints.]</t>
  </si>
  <si>
    <t>Tile Work || Checklist [TIL-017 — Provision for expansion joints (large areas).]</t>
  </si>
  <si>
    <t>Tile Work || Checklist [TIL-018 — Cutouts around pipes, fixtures, drains.]</t>
  </si>
  <si>
    <t>Tile Work || Checklist [TIL-019 — Grouting — full depth, no gaps.]</t>
  </si>
  <si>
    <t>Tile Work || Checklist [TIL-020 — Hollow sound test (tap with wooden mallet).]</t>
  </si>
  <si>
    <t>Tile Work || Checklist [TIL-021 — Surface cleaning &amp; polishing.]</t>
  </si>
  <si>
    <t>Tile Work || Checklist [TIL-022 — Protection of finished tiles.]</t>
  </si>
  <si>
    <t>Section Remarks  [Tile Work]</t>
  </si>
  <si>
    <t>Putty Work || Checklist [PUT-001 — Plaster fully cured (min 21–28 days).]</t>
  </si>
  <si>
    <t>Putty Work || Checklist [PUT-002 — Surface cleaning — dust, loose particles, oil.]</t>
  </si>
  <si>
    <t>Putty Work || Checklist [PUT-003 — Hairline / minor cracks filled.]</t>
  </si>
  <si>
    <t>Putty Work || Checklist [PUT-004 — Sanding of high spots / projections.]</t>
  </si>
  <si>
    <t>Putty Work || Checklist [PUT-005 — Putty brand &amp; type approved.]</t>
  </si>
  <si>
    <t>Putty Work || Checklist [PUT-006 — Mixing ratio with water.]</t>
  </si>
  <si>
    <t>Putty Work || Checklist [PUT-007 — Pot life observed.]</t>
  </si>
  <si>
    <t>Putty Work || Checklist [PUT-008 — Number of coats.]</t>
  </si>
  <si>
    <t>Putty Work || Checklist [PUT-009 — Thickness per coat.]</t>
  </si>
  <si>
    <t>Putty Work || Checklist [PUT-010 — Drying time between coats.]</t>
  </si>
  <si>
    <t>Putty Work || Checklist [PUT-011 — Sanding between coats (320–400 grit).]</t>
  </si>
  <si>
    <t>Putty Work || Checklist [PUT-012 — Edges, corners, junctions — neat finish.]</t>
  </si>
  <si>
    <t>Putty Work || Checklist [PUT-013 — Surface smoothness (touch &amp; oblique-light check).]</t>
  </si>
  <si>
    <t>Putty Work || Checklist [PUT-014 — No pinholes, blowholes or cracks.]</t>
  </si>
  <si>
    <t>Putty Work || Checklist [PUT-015 — Moisture content before paint.]</t>
  </si>
  <si>
    <t>Putty Work || Checklist [PUT-016 — Final sanding &amp; dust cleaning before primer.]</t>
  </si>
  <si>
    <t>Section Remarks  [Putty Work]</t>
  </si>
  <si>
    <t>Electrical Work || Checklist [ELE-001 — Conduit make, ISI marked, fire-retardant.]</t>
  </si>
  <si>
    <t>Electrical Work || Checklist [ELE-002 — Conduit chasing — depth &amp; alignment.]</t>
  </si>
  <si>
    <t>Electrical Work || Checklist [ELE-003 — No diagonal chasing; no chasing in beams.]</t>
  </si>
  <si>
    <t>Electrical Work || Checklist [ELE-004 — Conduit joints — couplers / solvent cement.]</t>
  </si>
  <si>
    <t>Electrical Work || Checklist [ELE-005 — Bend radius.]</t>
  </si>
  <si>
    <t>Electrical Work || Checklist [ELE-006 — Fish wire installed in every conduit.]</t>
  </si>
  <si>
    <t>Electrical Work || Checklist [ELE-007 — Conduits secured with saddles / nails.]</t>
  </si>
  <si>
    <t>Electrical Work || Checklist [ELE-008 — Switch / socket box position &amp; height.]</t>
  </si>
  <si>
    <t>Electrical Work || Checklist [ELE-009 — Box flush with finished plaster level.]</t>
  </si>
  <si>
    <t>Electrical Work || Checklist [ELE-010 — DB location, size, accessibility.]</t>
  </si>
  <si>
    <t>Electrical Work || Checklist [ELE-011 — Earth bus bar &amp; neutral bar in DB.]</t>
  </si>
  <si>
    <t>Electrical Work || Checklist [ELE-012 — Cable brand, size, FRLS / ISI marking.]</t>
  </si>
  <si>
    <t>Electrical Work || Checklist [ELE-013 — Cable colour code.]</t>
  </si>
  <si>
    <t>Electrical Work || Checklist [ELE-014 — Cable sizes vs. circuit load.]</t>
  </si>
  <si>
    <t>Electrical Work || Checklist [ELE-015 — No joints inside conduit.]</t>
  </si>
  <si>
    <t>Electrical Work || Checklist [ELE-016 — Number of wires per conduit.]</t>
  </si>
  <si>
    <t>Electrical Work || Checklist [ELE-017 — Looping at switch boards (phase looped, not neutral).]</t>
  </si>
  <si>
    <t>Electrical Work || Checklist [ELE-018 — Earth pit construction &amp; resistance.]</t>
  </si>
  <si>
    <t>Electrical Work || Checklist [ELE-019 — Earthing conductor size &amp; continuity.]</t>
  </si>
  <si>
    <t>Electrical Work || Checklist [ELE-020 — Double earthing for all 3-phase equipment.]</t>
  </si>
  <si>
    <t>Electrical Work || Checklist [ELE-021 — RCCB / ELCB installation &amp; rating.]</t>
  </si>
  <si>
    <t>Electrical Work || Checklist [ELE-022 — MCB ratings vs. circuit design.]</t>
  </si>
  <si>
    <t>Electrical Work || Checklist [ELE-023 — Insulation resistance (Megger) — 500V DC.]</t>
  </si>
  <si>
    <t>Electrical Work || Checklist [ELE-024 — Continuity test — phase, neutral, earth.]</t>
  </si>
  <si>
    <t>Electrical Work || Checklist [ELE-025 — Earth resistance test (clamp / fall-of-potential).]</t>
  </si>
  <si>
    <t>Electrical Work || Checklist [ELE-026 — Polarity test for sockets.]</t>
  </si>
  <si>
    <t>Electrical Work || Checklist [ELE-027 — Load test of DB.]</t>
  </si>
  <si>
    <t>Electrical Work || Checklist [ELE-028 — Functional test of all switches, sockets, lights.]</t>
  </si>
  <si>
    <t>Electrical Work || Checklist [ELE-029 — Switch / socket plates — level, no gaps to wall.]</t>
  </si>
  <si>
    <t>Electrical Work || Checklist [ELE-030 — Light fittings — alignment, level, firm fixing.]</t>
  </si>
  <si>
    <t>Electrical Work || Checklist [ELE-031 — Ceiling fan — hook, downrod, balance.]</t>
  </si>
  <si>
    <t>Electrical Work || Checklist [ELE-032 — DB labelling — circuit identification.]</t>
  </si>
  <si>
    <t>Section Remarks  [Electrical Work]</t>
  </si>
  <si>
    <t>Plumbing Work || Checklist [PLB-001 — Pipe material, brand, ISI marking (CPVC/PPR).]</t>
  </si>
  <si>
    <t>Plumbing Work || Checklist [PLB-002 — Pipe sizing per fixture units.]</t>
  </si>
  <si>
    <t>Plumbing Work || Checklist [PLB-003 — Concealed pipe routing &amp; supports.]</t>
  </si>
  <si>
    <t>Plumbing Work || Checklist [PLB-004 — Solvent cement joints / heat fusion (PPR).]</t>
  </si>
  <si>
    <t>Plumbing Work || Checklist [PLB-005 — Hot &amp; cold lines — separation &amp; insulation.]</t>
  </si>
  <si>
    <t>Plumbing Work || Checklist [PLB-006 — Hydrostatic pressure test (concealed lines).]</t>
  </si>
  <si>
    <t>Plumbing Work || Checklist [PLB-007 — Isolation valves at branches &amp; before fixtures.]</t>
  </si>
  <si>
    <t>Plumbing Work || Checklist [PLB-008 — Air release &amp; flushing of system.]</t>
  </si>
  <si>
    <t>Plumbing Work || Checklist [PLB-009 — Pipe material (UPVC / SWR / cast iron).]</t>
  </si>
  <si>
    <t>Plumbing Work || Checklist [PLB-010 — Pipe slope for horizontal runs.]</t>
  </si>
  <si>
    <t>Plumbing Work || Checklist [PLB-011 — Traps under all fixtures (P/S/floor).]</t>
  </si>
  <si>
    <t>Plumbing Work || Checklist [PLB-012 — Vent pipe extension above roof.]</t>
  </si>
  <si>
    <t>Plumbing Work || Checklist [PLB-013 — Floor traps &amp; nahani trap — level with floor finish.]</t>
  </si>
  <si>
    <t>Plumbing Work || Checklist [PLB-014 — Leakage test — water / smoke / air.]</t>
  </si>
  <si>
    <t>Plumbing Work || Checklist [PLB-015 — Cleanouts / inspection openings.]</t>
  </si>
  <si>
    <t>Plumbing Work || Checklist [PLB-016 — Fixture brand, model, color as approved.]</t>
  </si>
  <si>
    <t>Plumbing Work || Checklist [PLB-017 — WC / wash basin / urinal fixing — level, firm.]</t>
  </si>
  <si>
    <t>Plumbing Work || Checklist [PLB-018 — Tap &amp; mixer installation — leak-free, aligned.]</t>
  </si>
  <si>
    <t>Plumbing Work || Checklist [PLB-019 — Shower fixing — height, alignment.]</t>
  </si>
  <si>
    <t>Plumbing Work || Checklist [PLB-020 — Health faucet, angle valves, connectors.]</t>
  </si>
  <si>
    <t>Plumbing Work || Checklist [PLB-021 — Sewer pipe material &amp; dia.]</t>
  </si>
  <si>
    <t>Plumbing Work || Checklist [PLB-022 — Bedding &amp; backfill of buried pipes.]</t>
  </si>
  <si>
    <t>Plumbing Work || Checklist [PLB-023 — Manhole construction — invert level, channel.]</t>
  </si>
  <si>
    <t>Plumbing Work || Checklist [PLB-024 — Slope between manholes.]</t>
  </si>
  <si>
    <t>Plumbing Work || Checklist [PLB-025 — Storm water drain — sizing &amp; slope.]</t>
  </si>
  <si>
    <t>Plumbing Work || Checklist [PLB-026 — Rain water down-takes &amp; gratings.]</t>
  </si>
  <si>
    <t>Plumbing Work || Checklist [PLB-027 — Rainwater harvesting pit / recharge bore.]</t>
  </si>
  <si>
    <t>Plumbing Work || Checklist [PLB-028 — First-flush diverter / silt trap.]</t>
  </si>
  <si>
    <t>Plumbing Work || Checklist [PLB-029 — OHT &amp; UGT — watertightness test.]</t>
  </si>
  <si>
    <t>Plumbing Work || Checklist [PLB-030 — Pumps — make, capacity, head.]</t>
  </si>
  <si>
    <t>Plumbing Work || Checklist [PLB-031 — Float switches, level controllers.]</t>
  </si>
  <si>
    <t>Section Remarks  [Plumbing Work]</t>
  </si>
  <si>
    <t>False Ceiling Work || Checklist [FCL-001 — Ceiling level &amp; layout marking.]</t>
  </si>
  <si>
    <t>False Ceiling Work || Checklist [FCL-002 — MEP services above ceiling completed &amp; tested.]</t>
  </si>
  <si>
    <t>False Ceiling Work || Checklist [FCL-003 — Approved shop drawing with grid pattern.]</t>
  </si>
  <si>
    <t>False Ceiling Work || Checklist [FCL-004 — Gypsum board / calcium silicate — brand, thickness.]</t>
  </si>
  <si>
    <t>False Ceiling Work || Checklist [FCL-005 — GI sections — perimeter channel, intermediate, ceiling section.]</t>
  </si>
  <si>
    <t>False Ceiling Work || Checklist [FCL-006 — Suspension — soffit cleats, GI rods, hangers.]</t>
  </si>
  <si>
    <t>False Ceiling Work || Checklist [FCL-007 — Screws — drywall screws, dry-rust treated.]</t>
  </si>
  <si>
    <t>False Ceiling Work || Checklist [FCL-008 — Perimeter channel fixing.]</t>
  </si>
  <si>
    <t>False Ceiling Work || Checklist [FCL-009 — Intermediate channel spacing.]</t>
  </si>
  <si>
    <t>False Ceiling Work || Checklist [FCL-010 — Ceiling section spacing.]</t>
  </si>
  <si>
    <t>False Ceiling Work || Checklist [FCL-011 — Level of grid (3m straightedge).]</t>
  </si>
  <si>
    <t>False Ceiling Work || Checklist [FCL-012 — Cross bracing &amp; rigidity.]</t>
  </si>
  <si>
    <t>False Ceiling Work || Checklist [FCL-013 — Joints staggered; no four-corner meeting.]</t>
  </si>
  <si>
    <t>False Ceiling Work || Checklist [FCL-014 — Cut edges chamfered for taping.]</t>
  </si>
  <si>
    <t>False Ceiling Work || Checklist [FCL-015 — Cut-outs for lights, AC grills, sprinklers.]</t>
  </si>
  <si>
    <t>False Ceiling Work || Checklist [FCL-016 — Screw pattern &amp; depth.]</t>
  </si>
  <si>
    <t>False Ceiling Work || Checklist [FCL-017 — Joint taping (paper tape + jointing compound).]</t>
  </si>
  <si>
    <t>False Ceiling Work || Checklist [FCL-018 — Corner beads at external corners.]</t>
  </si>
  <si>
    <t>False Ceiling Work || Checklist [FCL-019 — Sanding &amp; putty finish.]</t>
  </si>
  <si>
    <t>False Ceiling Work || Checklist [FCL-020 — Inspection panels / access doors.]</t>
  </si>
  <si>
    <t>False Ceiling Work || Checklist [FCL-021 — Painting — primer + 2 finish coats.]</t>
  </si>
  <si>
    <t>Section Remarks  [False Ceiling Work]</t>
  </si>
  <si>
    <t>Paint Work || Checklist [PNT-001 — The scaffolding to be self-standing and rigid.]</t>
  </si>
  <si>
    <t>Paint Work || Checklist [PNT-002 — Check for double horizontals, wherever necessary.]</t>
  </si>
  <si>
    <t>Paint Work || Checklist [PNT-003 — Check for telescopic vertical scaffolding.]</t>
  </si>
  <si>
    <t>Paint Work || Checklist [PNT-004 — Check for diagonal bracings.]</t>
  </si>
  <si>
    <t>Paint Work || Checklist [PNT-005 — Algae affected area is cleaned properly before commencing the painting work.]</t>
  </si>
  <si>
    <t>Paint Work || Checklist [PNT-006 — Crack filling is done by good quality of exterior grade crack filler.]</t>
  </si>
  <si>
    <t>Paint Work || Checklist [PNT-007 — Window frame tie be protected and wrapped with plastic sheet.]</t>
  </si>
  <si>
    <t>Paint Work || Checklist [PNT-008 — Check all window jambs are properly repaired.]</t>
  </si>
  <si>
    <t>Paint Work || Checklist [PNT-009 — Check deck ceiling light points are cleared.]</t>
  </si>
  <si>
    <t>Paint Work || Checklist [PNT-010 — Cleaning of dust and loose particles.]</t>
  </si>
  <si>
    <t>Paint Work || Checklist [PNT-011 — Check after polishing, primer coat with proper finish.]</t>
  </si>
  <si>
    <t>Paint Work || Checklist [PNT-012 — Check 1st coat paint is applied.]</t>
  </si>
  <si>
    <t>Paint Work || Checklist [PNT-013 — Check baking coat, patchiness, unevenness, brush mark not seen.]</t>
  </si>
  <si>
    <t>Paint Work || Checklist [PNT-014 — Paint as per approved scheme.]</t>
  </si>
  <si>
    <t>Paint Work || Checklist [PNT-015 — Surface fully cured &amp; dry.]</t>
  </si>
  <si>
    <t>Paint Work || Checklist [PNT-016 — Putty work completed &amp; sanded smooth.]</t>
  </si>
  <si>
    <t>Paint Work || Checklist [PNT-017 — Paint brand, type, batch verification.]</t>
  </si>
  <si>
    <t>Paint Work || Checklist [PNT-018 — Primer type matched to substrate.]</t>
  </si>
  <si>
    <t>Paint Work || Checklist [PNT-019 — Color shade approved (shade card / mock-up).]</t>
  </si>
  <si>
    <t>Paint Work || Checklist [PNT-020 — Thinning ratio per manufacturer.]</t>
  </si>
  <si>
    <t>Paint Work || Checklist [PNT-021 — Primer — single coat, uniform.]</t>
  </si>
  <si>
    <t>Paint Work || Checklist [PNT-022 — Finish coats — minimum 2 coats.]</t>
  </si>
  <si>
    <t>Paint Work || Checklist [PNT-023 — Drying time between coats.]</t>
  </si>
  <si>
    <t>Paint Work || Checklist [PNT-024 — DFT (Dry Film Thickness) verification.]</t>
  </si>
  <si>
    <t>Paint Work || Checklist [PNT-025 — Uniform color, no brush/roller marks, no patches.]</t>
  </si>
  <si>
    <t>Paint Work || Checklist [PNT-026 — Cutting at edges — sharp clean lines.]</t>
  </si>
  <si>
    <t>Paint Work || Checklist [PNT-027 — Weather conditions during application.]</t>
  </si>
  <si>
    <t>Paint Work || Checklist [PNT-028 — External primer — alkali-resistant.]</t>
  </si>
  <si>
    <t>Paint Work || Checklist [PNT-029 — Min 2 coats exterior emulsion / texture.]</t>
  </si>
  <si>
    <t>Paint Work || Checklist [PNT-030 — Anti-fungal / anti-algal performance.]</t>
  </si>
  <si>
    <t>Paint Work || Checklist [PNT-031 — Texture pattern uniformity (if textured).]</t>
  </si>
  <si>
    <t>Paint Work || Checklist [PNT-032 — Edges &amp; joints with adjoining materials.]</t>
  </si>
  <si>
    <t>Paint Work || Checklist [PNT-033 — Scaffold mark touch-ups completed.]</t>
  </si>
  <si>
    <t>Paint Work || Checklist [PNT-034 — Hardware, glass, frames protected during paint.]</t>
  </si>
  <si>
    <t>Paint Work || Checklist [PNT-035 — Final inspection in daylight and artificial light.]</t>
  </si>
  <si>
    <t>Section Remarks  [Paint Work]</t>
  </si>
  <si>
    <t>Landscape Development || Checklist [LAN-001 — Site clearance — debris, weeds, construction waste.]</t>
  </si>
  <si>
    <t>Landscape Development || Checklist [LAN-002 — Existing soil testing (pH, drainage).]</t>
  </si>
  <si>
    <t>Landscape Development || Checklist [LAN-003 — Sub-grade levels &amp; contouring.]</t>
  </si>
  <si>
    <t>Landscape Development || Checklist [LAN-004 — Sub-surface drainage / weep holes.]</t>
  </si>
  <si>
    <t>Landscape Development || Checklist [LAN-005 — Top soil quality &amp; depth.]</t>
  </si>
  <si>
    <t>Landscape Development || Checklist [LAN-006 — Organic manure / compost mixing.]</t>
  </si>
  <si>
    <t>Landscape Development || Checklist [LAN-007 — Plant species list — match approved schedule.]</t>
  </si>
  <si>
    <t>Landscape Development || Checklist [LAN-008 — Plant health — disease-free, hardened.]</t>
  </si>
  <si>
    <t>Landscape Development || Checklist [LAN-009 — Pit size for trees / shrubs / hedges.]</t>
  </si>
  <si>
    <t>Landscape Development || Checklist [LAN-010 — Spacing between plants.]</t>
  </si>
  <si>
    <t>Landscape Development || Checklist [LAN-011 — Staking &amp; support for trees.]</t>
  </si>
  <si>
    <t>Landscape Development || Checklist [LAN-012 — Grass species &amp; laying method (sod/sprig).]</t>
  </si>
  <si>
    <t>Landscape Development || Checklist [LAN-013 — Rolling &amp; levelling of lawn.]</t>
  </si>
  <si>
    <t>Landscape Development || Checklist [LAN-014 — Irrigation system — drip / sprinkler layout.]</t>
  </si>
  <si>
    <t>Landscape Development || Checklist [LAN-015 — Water source, pumps, controllers.]</t>
  </si>
  <si>
    <t>Landscape Development || Checklist [LAN-016 — Pressure &amp; flow check at extremities.]</t>
  </si>
  <si>
    <t>Landscape Development || Checklist [LAN-017 — Pathways — material, level, slope.]</t>
  </si>
  <si>
    <t>Landscape Development || Checklist [LAN-018 — Kerb stones — alignment, jointing.]</t>
  </si>
  <si>
    <t>Landscape Development || Checklist [LAN-019 — Decorative elements (pergolas, benches, planters).]</t>
  </si>
  <si>
    <t>Landscape Development || Checklist [LAN-020 — Garden lights / bollards / spike lights.]</t>
  </si>
  <si>
    <t>Landscape Development || Checklist [LAN-021 — Cable laid in conduit, depth ≥ 600mm.]</t>
  </si>
  <si>
    <t>Landscape Development || Checklist [LAN-022 — Earthing of metallic posts.]</t>
  </si>
  <si>
    <t>Landscape Development || Checklist [LAN-023 — Plant survival rate during defects period.]</t>
  </si>
  <si>
    <t>Landscape Development || Checklist [LAN-024 — Mulching, weeding, pruning schedule.]</t>
  </si>
  <si>
    <t>Section Remarks  [Landscape Development]</t>
  </si>
  <si>
    <t>Fire Fighting Work || Checklist [FIR-001 — Fire NOC / approved drawings on site.]</t>
  </si>
  <si>
    <t>Fire Fighting Work || Checklist [FIR-002 — Equipment make &amp; model as approved.]</t>
  </si>
  <si>
    <t>Fire Fighting Work || Checklist [FIR-003 — Pipe material — MS heavy / GI as specified.]</t>
  </si>
  <si>
    <t>Fire Fighting Work || Checklist [FIR-004 — Pipe routing &amp; supports.]</t>
  </si>
  <si>
    <t>Fire Fighting Work || Checklist [FIR-005 — Welded / flanged joints — quality.]</t>
  </si>
  <si>
    <t>Fire Fighting Work || Checklist [FIR-006 — Pipe painting — fire red.]</t>
  </si>
  <si>
    <t>Fire Fighting Work || Checklist [FIR-007 — Pipe identification &amp; flow direction.]</t>
  </si>
  <si>
    <t>Fire Fighting Work || Checklist [FIR-008 — Wet riser size &amp; location.]</t>
  </si>
  <si>
    <t>Fire Fighting Work || Checklist [FIR-009 — Landing valves on each floor.]</t>
  </si>
  <si>
    <t>Fire Fighting Work || Checklist [FIR-010 — Hose reel (rubber-lined) on each floor.]</t>
  </si>
  <si>
    <t>Fire Fighting Work || Checklist [FIR-011 — Hose box &amp; accessories.]</t>
  </si>
  <si>
    <t>Fire Fighting Work || Checklist [FIR-012 — External yard hydrants.]</t>
  </si>
  <si>
    <t>Fire Fighting Work || Checklist [FIR-013 — Sprinkler heads — type, K-factor, temp rating.]</t>
  </si>
  <si>
    <t>Fire Fighting Work || Checklist [FIR-014 — Sprinkler spacing &amp; coverage.]</t>
  </si>
  <si>
    <t>Fire Fighting Work || Checklist [FIR-015 — Distance from wall / obstruction.]</t>
  </si>
  <si>
    <t>Fire Fighting Work || Checklist [FIR-016 — Flow switch, test &amp; drain valves.]</t>
  </si>
  <si>
    <t>Fire Fighting Work || Checklist [FIR-017 — Main fire pump — capacity &amp; head.]</t>
  </si>
  <si>
    <t>Fire Fighting Work || Checklist [FIR-018 — Jockey pump capacity.]</t>
  </si>
  <si>
    <t>Fire Fighting Work || Checklist [FIR-019 — Diesel engine pump — fuel tank, battery.]</t>
  </si>
  <si>
    <t>Fire Fighting Work || Checklist [FIR-020 — Pump auto-start at set pressure.]</t>
  </si>
  <si>
    <t>Fire Fighting Work || Checklist [FIR-021 — Suction / delivery — gauges, NRV, gate valve.]</t>
  </si>
  <si>
    <t>Fire Fighting Work || Checklist [FIR-022 — Dedicated fire water tank capacity.]</t>
  </si>
  <si>
    <t>Fire Fighting Work || Checklist [FIR-023 — Low-level alarm &amp; breather.]</t>
  </si>
  <si>
    <t>Fire Fighting Work || Checklist [FIR-024 — Hydrostatic test on pipework.]</t>
  </si>
  <si>
    <t>Fire Fighting Work || Checklist [FIR-025 — Flow &amp; pressure test at remotest hydrant.]</t>
  </si>
  <si>
    <t>Fire Fighting Work || Checklist [FIR-026 — Sprinkler trip test (each zone).]</t>
  </si>
  <si>
    <t>Fire Fighting Work || Checklist [FIR-027 — Fire alarm / detection — smoke, heat detectors.]</t>
  </si>
  <si>
    <t>Fire Fighting Work || Checklist [FIR-028 — MCP (manual call point) — tested every floor.]</t>
  </si>
  <si>
    <t>Fire Fighting Work || Checklist [FIR-029 — PA system &amp; hooter audibility.]</t>
  </si>
  <si>
    <t>Fire Fighting Work || Checklist [FIR-030 — Fire extinguishers — type, capacity, location.]</t>
  </si>
  <si>
    <t>Fire Fighting Work || Checklist [FIR-031 — Mounting height &amp; signage.]</t>
  </si>
  <si>
    <t>Fire Fighting Work || Checklist [FIR-032 — Refill / inspection due date marked.]</t>
  </si>
  <si>
    <t>Fire Fighting Work || Checklist [FIR-033 — Final fire department inspection &amp; NOC.]</t>
  </si>
  <si>
    <t>Section Remarks  [Fire Fighting Work]</t>
  </si>
  <si>
    <t>Overall Site Remarks</t>
  </si>
  <si>
    <t xml:space="preserve">  Defect photos (name each file with its check ID)  </t>
  </si>
  <si>
    <t>Mikayla Goodman</t>
  </si>
  <si>
    <t>B</t>
  </si>
  <si>
    <t>RCC Work</t>
  </si>
  <si>
    <t>OK</t>
  </si>
  <si>
    <t xml:space="preserve">Cumque ratione sint </t>
  </si>
  <si>
    <t>https://drive.google.com/open?id=1uD-Rcu9d8dhdJwtNeBqxAOgvrnHQTzXc</t>
  </si>
  <si>
    <t>Indigo Hood</t>
  </si>
  <si>
    <t>Podium</t>
  </si>
  <si>
    <t>D</t>
  </si>
  <si>
    <t>Fire Fighting Work</t>
  </si>
  <si>
    <t>Molestiae odio volup</t>
  </si>
  <si>
    <t>Odio quam numquam ea</t>
  </si>
  <si>
    <t>https://drive.google.com/open?id=1zkLEw_IT4yqcFxTf6JRlpNM2gzDEZtph</t>
  </si>
  <si>
    <t>Isha Maji</t>
  </si>
  <si>
    <t>H</t>
  </si>
  <si>
    <t>Landscape Development</t>
  </si>
  <si>
    <t>Very Good</t>
  </si>
  <si>
    <t>Good</t>
  </si>
  <si>
    <t>https://drive.google.com/open?id=1td6vtf3DnYjfEC1h4Ba09Q3-AGoHT_Lw</t>
  </si>
  <si>
    <t>Test Manash</t>
  </si>
  <si>
    <t>E</t>
  </si>
  <si>
    <t>NOT OK</t>
  </si>
  <si>
    <t>Test Anaswer</t>
  </si>
  <si>
    <t>Not Good Site</t>
  </si>
  <si>
    <t>https://drive.google.com/open?id=1DOC9z7z08goOzWXp3yRuPEDarGkwAhsr</t>
  </si>
  <si>
    <t>Test Test 2</t>
  </si>
  <si>
    <t>Putty Work</t>
  </si>
  <si>
    <t>test</t>
  </si>
  <si>
    <t>https://drive.google.com/open?id=1KEC4BMqwegLIs7bFd7daXWf2LvGaHxk9</t>
  </si>
  <si>
    <t>ABC</t>
  </si>
  <si>
    <t>F</t>
  </si>
  <si>
    <t>kkk</t>
  </si>
  <si>
    <t>AB</t>
  </si>
  <si>
    <t>A</t>
  </si>
  <si>
    <t>Excavation &amp; Earthwork</t>
  </si>
  <si>
    <t>https://drive.google.com/open?id=1m226tGmrBub-mJfyiZP7HXv3VJrsRGNY</t>
  </si>
  <si>
    <t>Ayush</t>
  </si>
  <si>
    <t>Plumbing Work</t>
  </si>
  <si>
    <t>Plumbing Test</t>
  </si>
  <si>
    <t>Not Good Work</t>
  </si>
  <si>
    <t>Rishi Sir</t>
  </si>
  <si>
    <t>Tile Work</t>
  </si>
  <si>
    <t>Pending</t>
  </si>
  <si>
    <t>Very nice</t>
  </si>
  <si>
    <t>Not upto the mark</t>
  </si>
  <si>
    <t>https://drive.google.com/open?id=13XVgqG9jXvpkjaFgga7vN_XAM2uJnP12</t>
  </si>
  <si>
    <t>Test Mekesh</t>
  </si>
  <si>
    <t>C</t>
  </si>
  <si>
    <t>False Ceiling Work</t>
  </si>
  <si>
    <t>https://drive.google.com/open?id=1sjmVRAURimE4qfdx-Bb_4ZyJuKjHrCRN</t>
  </si>
  <si>
    <t>MB GHOSH</t>
  </si>
  <si>
    <t>Masonry Work</t>
  </si>
  <si>
    <t>test test 2</t>
  </si>
  <si>
    <t>Isha</t>
  </si>
  <si>
    <t>N/A</t>
  </si>
  <si>
    <t>NA</t>
  </si>
  <si>
    <t>AN</t>
  </si>
  <si>
    <t>https://drive.google.com/open?id=1URMe4FRkDwzhFg7ekC9mNFriwp6W0iLv</t>
  </si>
  <si>
    <t>MNO</t>
  </si>
  <si>
    <t>G</t>
  </si>
  <si>
    <t>YES</t>
  </si>
  <si>
    <t>hahhs</t>
  </si>
  <si>
    <t>https://drive.google.com/open?id=15lyshyfSsQ0xwhwjBJrYzFHCACAoNhGe</t>
  </si>
  <si>
    <t>Srayans</t>
  </si>
  <si>
    <t>Blocks</t>
  </si>
  <si>
    <t>Floors</t>
  </si>
  <si>
    <t>Flats</t>
  </si>
  <si>
    <t>Status Options</t>
  </si>
  <si>
    <t>Rectified Options</t>
  </si>
  <si>
    <t>Block (drill)</t>
  </si>
  <si>
    <t>Floor (drill)</t>
  </si>
  <si>
    <t>Flat (drill)</t>
  </si>
  <si>
    <t>Category (drill)</t>
  </si>
  <si>
    <t>1</t>
  </si>
  <si>
    <t>Basement</t>
  </si>
  <si>
    <t>Yes</t>
  </si>
  <si>
    <t>All</t>
  </si>
  <si>
    <t>2</t>
  </si>
  <si>
    <t>Ground</t>
  </si>
  <si>
    <t>No</t>
  </si>
  <si>
    <t>3</t>
  </si>
  <si>
    <t>In Progress</t>
  </si>
  <si>
    <t>4</t>
  </si>
  <si>
    <t>5</t>
  </si>
  <si>
    <t>Plaster &amp; Waterproofing</t>
  </si>
  <si>
    <t>6</t>
  </si>
  <si>
    <t>7</t>
  </si>
  <si>
    <t>8</t>
  </si>
  <si>
    <t>Electrical Work</t>
  </si>
  <si>
    <t>9</t>
  </si>
  <si>
    <t>10</t>
  </si>
  <si>
    <t>11</t>
  </si>
  <si>
    <t>Paint Work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</si>
  <si>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</si>
  <si>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</si>
  <si>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</si>
  <si>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</si>
  <si>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</si>
  <si>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</si>
  <si>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</si>
  <si>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</si>
  <si>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</si>
  <si>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</si>
  <si>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</si>
  <si>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</si>
  <si>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</si>
  <si>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</si>
  <si>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</si>
  <si>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</si>
  <si>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</si>
  <si>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</si>
  <si>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</si>
  <si>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</si>
  <si>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</si>
  <si>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</si>
  <si>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</si>
  <si>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</si>
  <si>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</si>
  <si>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</si>
  <si>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</si>
  <si>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</si>
  <si>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</si>
  <si>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SETUP &amp; SYNC GUIDE</t>
  </si>
  <si>
    <t>Mobile field inspection  ·  live console  ·  Excel + Google Sheets  ·  cloud + intranet</t>
  </si>
  <si>
    <t>✓  Supervisors inspect from their phone via a Google Form. Every submit updates the CONSOLE sheet instantly — flat-wise, block-wise, floor-wise and work-wise.</t>
  </si>
  <si>
    <t xml:space="preserve">  1.  HOW A SUPERVISOR INSPECTS  (on the phone)</t>
  </si>
  <si>
    <t>1) Open the inspection link (share it on WhatsApp or save to the phone home screen).</t>
  </si>
  <si>
    <t>2) Enter name, then pick Block, Floor and Flat from drop-downs.</t>
  </si>
  <si>
    <t>3) Pick the work being inspected (e.g. Tile Work) — the form jumps to ONLY that checklist.</t>
  </si>
  <si>
    <t>4) Tap OK / NOT OK / N/A for each check. Most take a few seconds.</t>
  </si>
  <si>
    <t>5) On the last page, for every NOT OK item snap a photo and name the file with the check ID (e.g. TIL-005).</t>
  </si>
  <si>
    <t>6) Press Submit. Done — it appears on the Console immediately.</t>
  </si>
  <si>
    <t xml:space="preserve">  2.  ONE-TIME SETUP  (about 10 minutes, do once)</t>
  </si>
  <si>
    <t>A) Put this workbook in Google Sheets: upload the .xlsx to Google Drive → right-click → Open with → Google Sheets (or File → Save as Google Sheets).</t>
  </si>
  <si>
    <t>B) In the Sheet: Extensions → Apps Script. Delete the sample code, paste the file "JainGroup_QC_FormBuilder.gs" provided with this workbook, and click Save.</t>
  </si>
  <si>
    <t>C) In the toolbar choose the function  buildInspectionForm  and click Run. Approve the permission prompt. It builds the whole form automatically and prints the links in View → Logs.</t>
  </si>
  <si>
    <t>D) Open the form's EDIT link → go to the last page "Photos &amp; Submit" → Add question → type "File upload" → title it EXACTLY:  Defect photos (name each file with its check ID)  → allow multiple files. (Google blocks scripts from creating upload questions, so this one is added by hand.)</t>
  </si>
  <si>
    <t>E) Back in Apps Script, run  installTrigger  once (this makes submissions flow into the Inspection Log).</t>
  </si>
  <si>
    <t>F) Press the form's SEND button → link icon → copy the live link and share it with your supervisors.</t>
  </si>
  <si>
    <t xml:space="preserve">  3.  THE CONSOLE  (your monitoring dashboard)</t>
  </si>
  <si>
    <t>• Live KPI cards: checks logged, OK, defects, open defects, rectified, pass rate.</t>
  </si>
  <si>
    <t>• DRILL-DOWN: pick any Block / Floor / Flat / Work Type (or "All") to see that scope's result instantly.</t>
  </si>
  <si>
    <t>• Tables by Block and by Work Category, plus an Open Defects list with photo links.</t>
  </si>
  <si>
    <t>• The Inspection Log sheet holds every check (one row each) — filter or sort it freely; the Console reads from it.</t>
  </si>
  <si>
    <t>• To close a defect: set Rectified? = Yes in the Inspection Log (and paste the after-photo). The Open Defects count drops automatically. (A re-inspection from the form also records the fix.)</t>
  </si>
  <si>
    <t xml:space="preserve">  4.  WORKS IN EXCEL &amp; GOOGLE SHEETS</t>
  </si>
  <si>
    <t>The form + auto-sync run in Google Sheets (that is where Google Forms live). The workbook itself — every sheet, colour-coding, drop-down and the Console formulas — also opens in Microsoft Excel for offline viewing/printing.</t>
  </si>
  <si>
    <t>Note: the Open Defects list uses the FILTER function (Google Sheets and Excel 365). The KPI cards and the By-Block / By-Category tables work in every version.</t>
  </si>
  <si>
    <t xml:space="preserve">  5.  SYNC VIA CLOUD</t>
  </si>
  <si>
    <t>Google Workspace (recommended — the form needs it): keep the Sheet in a shared Drive folder; it syncs and co-edits in real time. Defect photos save automatically to your Drive.</t>
  </si>
  <si>
    <t>Microsoft 365: for offline/Excel use, store the .xlsx on OneDrive/SharePoint with AutoSave on for co-authoring and version history.</t>
  </si>
  <si>
    <t xml:space="preserve">  6.  SYNC VIA INTRANET</t>
  </si>
  <si>
    <t>Place the workbook on a mapped network drive / shared folder (e.g. \\jaingroup-server\QC\) with read-write access for the QC team; on-prem SharePoint works like the cloud option. Keep exported photos in a sub-folder beside it so links resolve across the intranet. Cloud (Section 5) is preferred for live multi-user editing.</t>
  </si>
  <si>
    <t xml:space="preserve">  7.  GOOD PRACTICE</t>
  </si>
  <si>
    <t>• Do not delete CONFIG (drop-downs) or rename the Master Checklist / Inspection Log / Console sheets — the script and formulas rely on those names.</t>
  </si>
  <si>
    <t>• Add or edit checks on the Master Checklist, then re-run buildInspectionForm to refresh the form.</t>
  </si>
  <si>
    <t>• Keep one master copy as the source of truth once it is on cloud / intranet.</t>
  </si>
  <si>
    <t>JAIN GROUP</t>
  </si>
  <si>
    <t>QUALITY CONTROL CONSOLE  ·  LIVE INSPECTION MONITOR</t>
  </si>
  <si>
    <t>Updates automatically every time a supervisor submits an inspection from the field</t>
  </si>
  <si>
    <t>CHECKS LOGGED</t>
  </si>
  <si>
    <t>OK / PASSED</t>
  </si>
  <si>
    <t>DEFECTS (NOT OK)</t>
  </si>
  <si>
    <t>OPEN DEFECTS</t>
  </si>
  <si>
    <t>RECTIFIED</t>
  </si>
  <si>
    <t>PASS RATE</t>
  </si>
  <si>
    <t>DRILL-DOWN  —  pick any Block / Floor / Flat / Work Type</t>
  </si>
  <si>
    <t>Work Type</t>
  </si>
  <si>
    <t>Checks</t>
  </si>
  <si>
    <t>Open</t>
  </si>
  <si>
    <t>Pass Rate</t>
  </si>
  <si>
    <t>STATUS BY BLOCK</t>
  </si>
  <si>
    <t>STATUS BY WORK CATEGORY</t>
  </si>
  <si>
    <t>Pass %</t>
  </si>
  <si>
    <t>Category</t>
  </si>
  <si>
    <t>OPEN DEFECTS  (Block · Floor · Flat · Item · Check · Photo)</t>
  </si>
  <si>
    <t>Item ID</t>
  </si>
  <si>
    <t>Inspection Check</t>
  </si>
  <si>
    <t>Status</t>
  </si>
  <si>
    <t>Defect Photo</t>
  </si>
  <si>
    <t>QUICK NAVIGATION</t>
  </si>
  <si>
    <t>📋 Checklist Master (questions)</t>
  </si>
  <si>
    <t>🗂 Inspection Log</t>
  </si>
  <si>
    <t>🎬 Training Library</t>
  </si>
  <si>
    <t>⚙ Setup &amp; Sync Guide</t>
  </si>
  <si>
    <t>Stage</t>
  </si>
  <si>
    <t>Acceptance Criteria / Standard</t>
  </si>
  <si>
    <t>Date</t>
  </si>
  <si>
    <t>Checked By</t>
  </si>
  <si>
    <t>Remarks / Observations</t>
  </si>
  <si>
    <t>Training Video / Reference</t>
  </si>
  <si>
    <t>Source Files</t>
  </si>
  <si>
    <t>Ageing (Days)</t>
  </si>
  <si>
    <t>Rectified?</t>
  </si>
  <si>
    <t>Rectified Date</t>
  </si>
  <si>
    <t>Rectified Photo</t>
  </si>
  <si>
    <t>Rectification Remarks</t>
  </si>
  <si>
    <t>RCC-001</t>
  </si>
  <si>
    <t>Post-pour</t>
  </si>
  <si>
    <t>Dimensions: length, breadth, depth as per drawing.</t>
  </si>
  <si>
    <t>Tolerance ±5mm linear; ±10mm in level.</t>
  </si>
  <si>
    <t>CHECKLIST.xlsx; Quality Checklist.xlsx</t>
  </si>
  <si>
    <t>RCC-002</t>
  </si>
  <si>
    <t>Reinforcement</t>
  </si>
  <si>
    <t>Check is the bar bending schedule is prepared and approved by the site Engineer.</t>
  </si>
  <si>
    <t>Requirement verified and observation recorded as per approved project specification.</t>
  </si>
  <si>
    <t>▶  Watch (2 videos)</t>
  </si>
  <si>
    <t>CHECKLIST.xlsx</t>
  </si>
  <si>
    <t>RCC-003</t>
  </si>
  <si>
    <t>Check for correct cutting &amp; bending of bars as per approved BBS.</t>
  </si>
  <si>
    <t>RCC-004</t>
  </si>
  <si>
    <t>Check bar diameter, shapes of bar, dimension of bars &amp; number of bars as per BBS.</t>
  </si>
  <si>
    <t>RCC-005</t>
  </si>
  <si>
    <t>Check identification tags is attached.</t>
  </si>
  <si>
    <t>RCC-006</t>
  </si>
  <si>
    <t>Check for cleanliness of bars from any oil, grease, soil &amp; rust.</t>
  </si>
  <si>
    <t>RCC-007</t>
  </si>
  <si>
    <t>Check for satisfactory tying of reinforcement with binding wire.</t>
  </si>
  <si>
    <t>RCC-008</t>
  </si>
  <si>
    <t>Check for location of service conduits.</t>
  </si>
  <si>
    <t>RCC-009</t>
  </si>
  <si>
    <t>Check for readiness of reinforcement for release for concreting.</t>
  </si>
  <si>
    <t>RCC-010</t>
  </si>
  <si>
    <t>Concrete Pour</t>
  </si>
  <si>
    <t>Slump test at pour location.</t>
  </si>
  <si>
    <t>Within specified range (75–125mm typical); record value.</t>
  </si>
  <si>
    <t>▶  Watch Video</t>
  </si>
  <si>
    <t>RCC-011</t>
  </si>
  <si>
    <t>Concreting</t>
  </si>
  <si>
    <t>Is continuous flow of concrete ensured.</t>
  </si>
  <si>
    <t>RCC-012</t>
  </si>
  <si>
    <t>Check for transportation &amp; placement of concrete. Is it ok?</t>
  </si>
  <si>
    <t>RCC-013</t>
  </si>
  <si>
    <t>Check whether vibration being done till concrete packs tightly against all surface, reinforcement and embedments.</t>
  </si>
  <si>
    <t>RCC-014</t>
  </si>
  <si>
    <t>Is blending of concrete poured in separated layers being ensured?</t>
  </si>
  <si>
    <t>RCC-015</t>
  </si>
  <si>
    <t>Is concrete consumed within initial setting time of cement.</t>
  </si>
  <si>
    <t>RCC-016</t>
  </si>
  <si>
    <t>Check for positions of construction joint. Is it ok?</t>
  </si>
  <si>
    <t>RCC-017</t>
  </si>
  <si>
    <t>Check for leveling and finishing of concrete surface.</t>
  </si>
  <si>
    <t>Line, level, and plumb are within project tolerance.</t>
  </si>
  <si>
    <t>RCC-018</t>
  </si>
  <si>
    <t>Check the quantity of concrete of poured match with theoretical qty.</t>
  </si>
  <si>
    <t>RCC-019</t>
  </si>
  <si>
    <t>Check the start time and end time of concreting.</t>
  </si>
  <si>
    <t>RCC-020</t>
  </si>
  <si>
    <t>Cube samples cast (6 numbers / 50 m³).</t>
  </si>
  <si>
    <t>Stored &amp; cured per IS 516; tagged with date/location.
Also verify: ≥ 65% (7d) &amp; 100% (28d) of design strength.</t>
  </si>
  <si>
    <t>RCC-021</t>
  </si>
  <si>
    <t>Pre-pour: Shuttering</t>
  </si>
  <si>
    <t>Shuttering material (ply / steel) condition.</t>
  </si>
  <si>
    <t>No damage, no warping; ply min 12mm, oiled.</t>
  </si>
  <si>
    <t>▶  Watch (3 videos)</t>
  </si>
  <si>
    <t>Quality Checklist.xlsx</t>
  </si>
  <si>
    <t>RCC-022</t>
  </si>
  <si>
    <t>Line, level &amp; plumb of formwork.</t>
  </si>
  <si>
    <t>Plumb deviation ≤ 1:1000; level within ±3mm/m.</t>
  </si>
  <si>
    <t>RCC-023</t>
  </si>
  <si>
    <t>Props, bracing &amp; supports adequacy.</t>
  </si>
  <si>
    <t>As per design; no deflection under load.</t>
  </si>
  <si>
    <t>RCC-024</t>
  </si>
  <si>
    <t>Cleaning of formwork (no debris, dust, water).</t>
  </si>
  <si>
    <t>Surface clean &amp; blown dry.</t>
  </si>
  <si>
    <t>RCC-025</t>
  </si>
  <si>
    <t>Shuttering oil / release agent application.</t>
  </si>
  <si>
    <t>Uniform thin coat; no pooling on reinforcement.</t>
  </si>
  <si>
    <t>RCC-026</t>
  </si>
  <si>
    <t>Joints sealed (no slurry leakage points).</t>
  </si>
  <si>
    <t>Tight joints; tape / foam strip at gaps.</t>
  </si>
  <si>
    <t>RCC-027</t>
  </si>
  <si>
    <t>Pre-pour: Reinforcement</t>
  </si>
  <si>
    <t>Steel grade &amp; make verification (TMT Fe-500/550D).</t>
  </si>
  <si>
    <t>As per approved make list &amp; test certificate.</t>
  </si>
  <si>
    <t>RCC-028</t>
  </si>
  <si>
    <t>Bar diameter, number &amp; spacing as per BBS.</t>
  </si>
  <si>
    <t>As per approved drawing / BBS.</t>
  </si>
  <si>
    <t>RCC-029</t>
  </si>
  <si>
    <t>Lap length &amp; lap location.</t>
  </si>
  <si>
    <t>≥ 50d for compression / as per drawing; staggered ≥600mm.</t>
  </si>
  <si>
    <t>RCC-030</t>
  </si>
  <si>
    <t>Cover blocks (cement / PVC) — type, size, spacing.</t>
  </si>
  <si>
    <t>PCC cover blocks; spacing ≤ 1m c/c both ways.</t>
  </si>
  <si>
    <t>RCC-031</t>
  </si>
  <si>
    <t>Clear cover provided.</t>
  </si>
  <si>
    <t>Slab 20mm / Beam 25mm / Column 40mm / Footing 50mm.</t>
  </si>
  <si>
    <t>RCC-032</t>
  </si>
  <si>
    <t>Hooks, bends, stirrups &amp; ties.</t>
  </si>
  <si>
    <t>135° hooks for seismic; 10d / 75mm extension.</t>
  </si>
  <si>
    <t>RCC-033</t>
  </si>
  <si>
    <t>Chair bars in two-way reinforcement.</t>
  </si>
  <si>
    <t>Spacing ≤ 1m c/c; 12mm dia min.</t>
  </si>
  <si>
    <t>RCC-034</t>
  </si>
  <si>
    <t>Binding wire — coverage &amp; tightness.</t>
  </si>
  <si>
    <t>Every alternate intersection; 18 SWG annealed.</t>
  </si>
  <si>
    <t>RCC-035</t>
  </si>
  <si>
    <t>Free of oil, mud, loose rust, paint.</t>
  </si>
  <si>
    <t>Clean bars; no contamination.</t>
  </si>
  <si>
    <t>RCC-036</t>
  </si>
  <si>
    <t>Pre-pour: Embedments</t>
  </si>
  <si>
    <t>Electrical / plumbing conduits &amp; sleeves in place.</t>
  </si>
  <si>
    <t>As per approved MEP drawing; tied to rebar.</t>
  </si>
  <si>
    <t>RCC-037</t>
  </si>
  <si>
    <t>Box-outs, pockets, inserts for fixtures.</t>
  </si>
  <si>
    <t>Position &amp; size verified vs. drawing.</t>
  </si>
  <si>
    <t>RCC-038</t>
  </si>
  <si>
    <t>Construction joint preparation (laitance removed).</t>
  </si>
  <si>
    <t>Hacked &amp; cleaned; bonding agent applied.</t>
  </si>
  <si>
    <t>RCC-039</t>
  </si>
  <si>
    <t>Concrete grade &amp; mix verification.</t>
  </si>
  <si>
    <t>As per design (M25/M30/M35…); approved mix design.</t>
  </si>
  <si>
    <t>RCC-040</t>
  </si>
  <si>
    <t>Pour sequence &amp; layering thickness.</t>
  </si>
  <si>
    <t>Lifts ≤ 300mm; no cold joint formation.</t>
  </si>
  <si>
    <t>RCC-041</t>
  </si>
  <si>
    <t>Vibration — needle / external.</t>
  </si>
  <si>
    <t>Until air bubbles cease; no segregation.</t>
  </si>
  <si>
    <t>RCC-042</t>
  </si>
  <si>
    <t>Free fall height of concrete.</t>
  </si>
  <si>
    <t>≤ 1.5 m (use chute / pump line if higher).</t>
  </si>
  <si>
    <t>RCC-043</t>
  </si>
  <si>
    <t>Top finishing — level, screeding, floating.</t>
  </si>
  <si>
    <t>Level within ±3mm; no surface laitance.</t>
  </si>
  <si>
    <t>RCC-044</t>
  </si>
  <si>
    <t>Weather conditions monitored (temp/rain).</t>
  </si>
  <si>
    <t>No pour in heavy rain; protect if ambient &gt; 35°C.</t>
  </si>
  <si>
    <t>RCC-045</t>
  </si>
  <si>
    <t>Curing started within 6–12 hrs.</t>
  </si>
  <si>
    <t>Wet jute / ponding / curing compound applied.
Also verify: Min 14 days continuous (28 days where structural).</t>
  </si>
  <si>
    <t>RCC-046</t>
  </si>
  <si>
    <t>Shuttering striking time observed.</t>
  </si>
  <si>
    <t>Vertical: 24–48h; Slab soffit 7d; Beam soffit 14d.</t>
  </si>
  <si>
    <t>RCC-047</t>
  </si>
  <si>
    <t>Surface inspection — honeycomb, voids, cracks.</t>
  </si>
  <si>
    <t>No structural honeycomb; repairs only with approval.</t>
  </si>
  <si>
    <t>MAS-001</t>
  </si>
  <si>
    <t>Pre-work</t>
  </si>
  <si>
    <t>Check is the Drawing, Specification &amp; method statement approved by the consultant.</t>
  </si>
  <si>
    <t>Approved drawing, specification, and method statement are available and followed.</t>
  </si>
  <si>
    <t>MAS-002</t>
  </si>
  <si>
    <t>Check whether type and material for Masonry work has been decided.</t>
  </si>
  <si>
    <t>MAS-003</t>
  </si>
  <si>
    <t>Check for availability of material as per the daily requirement.</t>
  </si>
  <si>
    <t>Required materials are available before the planned activity starts.</t>
  </si>
  <si>
    <t>MAS-004</t>
  </si>
  <si>
    <t>Check is the area clean of loose material and concrete.</t>
  </si>
  <si>
    <t>MAS-005</t>
  </si>
  <si>
    <t>Check for proper staking of bricks / AAC block.</t>
  </si>
  <si>
    <t>MAS-006</t>
  </si>
  <si>
    <t>Check for quality of brick, cement &amp; Sand.</t>
  </si>
  <si>
    <t>MAS-007</t>
  </si>
  <si>
    <t>Check for wetting of bricks.</t>
  </si>
  <si>
    <t>Bricks or blocks are adequately wetted before laying, where applicable.</t>
  </si>
  <si>
    <t>MAS-008</t>
  </si>
  <si>
    <t>Check for the proportion of mortar mixing ratio.</t>
  </si>
  <si>
    <t>Mixing and proportioning follow the approved specification.</t>
  </si>
  <si>
    <t>MAS-009</t>
  </si>
  <si>
    <t>Masonry Execution</t>
  </si>
  <si>
    <t>Check for size of doors and window opening.</t>
  </si>
  <si>
    <t>MAS-010</t>
  </si>
  <si>
    <t>Check for margins left for plastering jobs.</t>
  </si>
  <si>
    <t>MAS-011</t>
  </si>
  <si>
    <t>Check for dry mixing on hard and clean surface before adding water to mix proportion of mortar.</t>
  </si>
  <si>
    <t>MAS-012</t>
  </si>
  <si>
    <t>Check for plumb, line &amp; level.</t>
  </si>
  <si>
    <t>MAS-013</t>
  </si>
  <si>
    <t>Check for cleaning area for dead mortar and brick bat to location of disposal.</t>
  </si>
  <si>
    <t>MAS-014</t>
  </si>
  <si>
    <t>Check for raking of joints to received plaster/ pointing both side of the wall.</t>
  </si>
  <si>
    <t>MAS-015</t>
  </si>
  <si>
    <t>Check for curing arrangements.</t>
  </si>
  <si>
    <t>Curing arrangement is available and maintained as specified.</t>
  </si>
  <si>
    <t>MAS-016</t>
  </si>
  <si>
    <t>Check for defects if any urgently rectification required.</t>
  </si>
  <si>
    <t>Defects are recorded and rectified before proceeding to the next activity.</t>
  </si>
  <si>
    <t>EXC-001</t>
  </si>
  <si>
    <t>Excavation</t>
  </si>
  <si>
    <t>Check whether soil investigation report/drawing studied by concerned Consultant.</t>
  </si>
  <si>
    <t>EXC-002</t>
  </si>
  <si>
    <t>Is excavation plan approved by Engineer/Consultant.</t>
  </si>
  <si>
    <t>EXC-003</t>
  </si>
  <si>
    <t>Check the layout, Alignment and size of excavation marked on the ground as per excavation plan.</t>
  </si>
  <si>
    <t>EXC-004</t>
  </si>
  <si>
    <t>Check Is there any underground utilities like sewers,water pipeline, cable etc is exist.</t>
  </si>
  <si>
    <t>EXC-005</t>
  </si>
  <si>
    <t>Check the area on excavation is clean &amp; clear of bushes, vegetation &amp; tree.</t>
  </si>
  <si>
    <t>EXC-006</t>
  </si>
  <si>
    <t>Check whether the excavated pit are adequately shored/timbered/safe slopes provided.</t>
  </si>
  <si>
    <t>EXC-007</t>
  </si>
  <si>
    <t>Check where barricading &amp; Caution signs are provided for deep excavation.</t>
  </si>
  <si>
    <t>Barricading and caution signage are provided before work proceeds.</t>
  </si>
  <si>
    <t>EXC-008</t>
  </si>
  <si>
    <t>Check whether excavated material is kept away at least 1.5 mtr from the edge of the pit.</t>
  </si>
  <si>
    <t>EXC-009</t>
  </si>
  <si>
    <t>Make sure to keep away heavy equipment atleast 6.00 mtr from the pit.</t>
  </si>
  <si>
    <t>EXC-010</t>
  </si>
  <si>
    <t>Check lighting arrangement are adequate during night work.</t>
  </si>
  <si>
    <t>EXC-011</t>
  </si>
  <si>
    <t>Check the dewatering arrangement is available in case of pit is water logged.</t>
  </si>
  <si>
    <t>Dewatering arrangement is available where water logging is possible.</t>
  </si>
  <si>
    <t>PLW-001</t>
  </si>
  <si>
    <t>Surface Preparation</t>
  </si>
  <si>
    <t>Substrate cleaned of dust, oil, loose particles.</t>
  </si>
  <si>
    <t>Surface free of debris; wire-brushed.</t>
  </si>
  <si>
    <t>PLW-002</t>
  </si>
  <si>
    <t>Hacking of concrete surfaces (RCC / shear walls).</t>
  </si>
  <si>
    <t>Min 50–80 hacks per m², 5mm deep.</t>
  </si>
  <si>
    <t>PLW-003</t>
  </si>
  <si>
    <t>Surface thoroughly wetted before plaster.</t>
  </si>
  <si>
    <t>SSD condition; no free water.</t>
  </si>
  <si>
    <t>PLW-004</t>
  </si>
  <si>
    <t>Chicken wire mesh at RCC–masonry junctions.</t>
  </si>
  <si>
    <t>150mm overlap each side; tightly fixed.</t>
  </si>
  <si>
    <t>PLW-005</t>
  </si>
  <si>
    <t>All MEP chases filled, conduits secured &amp; netted.</t>
  </si>
  <si>
    <t>Galvanized chicken mesh over chases.</t>
  </si>
  <si>
    <t>PLW-006</t>
  </si>
  <si>
    <t>Level pads / dots &amp; screeds (gauges) installed.</t>
  </si>
  <si>
    <t>≤ 1.5m c/c; plumb verified.</t>
  </si>
  <si>
    <t>PLW-007</t>
  </si>
  <si>
    <t>Materials</t>
  </si>
  <si>
    <t>Cement — brand &amp; grade.</t>
  </si>
  <si>
    <t>Approved brand; OPC 43/53 or PPC as specified.</t>
  </si>
  <si>
    <t>PLW-008</t>
  </si>
  <si>
    <t>Sand — zone, silt content, washing.</t>
  </si>
  <si>
    <t>Zone-II preferred; silt ≤ 8%; washed if higher.</t>
  </si>
  <si>
    <t>PLW-009</t>
  </si>
  <si>
    <t>Water — potable, clean.</t>
  </si>
  <si>
    <t>pH 6–8; no salts; no oil.</t>
  </si>
  <si>
    <t>PLW-010</t>
  </si>
  <si>
    <t>Mix proportion as specified.</t>
  </si>
  <si>
    <t>Internal 1:6 / 1:5; External 1:4; ceiling 1:3.</t>
  </si>
  <si>
    <t>PLW-011</t>
  </si>
  <si>
    <t>Waterproofing admixture in external plaster.</t>
  </si>
  <si>
    <t>Approved make; dose as per spec sheet.</t>
  </si>
  <si>
    <t>PLW-012</t>
  </si>
  <si>
    <t>Application: Internal</t>
  </si>
  <si>
    <t>Plaster thickness.</t>
  </si>
  <si>
    <t>Wall 12–15mm single coat; ceiling 6mm.</t>
  </si>
  <si>
    <t>PLW-013</t>
  </si>
  <si>
    <t>Plumb, line &amp; level (3m straight edge).</t>
  </si>
  <si>
    <t>Deviation ≤ 3mm in 2m; corners 90°.</t>
  </si>
  <si>
    <t>PLW-014</t>
  </si>
  <si>
    <t>Corners — sharp, true, with chamfer/groove if specified.</t>
  </si>
  <si>
    <t>Aluminium angles or neat finish.</t>
  </si>
  <si>
    <t>PLW-015</t>
  </si>
  <si>
    <t>Finish — smooth, no undulations, no cracks.</t>
  </si>
  <si>
    <t>Steel trowel finish; suitable for putty/paint.</t>
  </si>
  <si>
    <t>PLW-016</t>
  </si>
  <si>
    <t>Application: External</t>
  </si>
  <si>
    <t>Plaster in 2 coats (base + finish).</t>
  </si>
  <si>
    <t>Base 12–15mm rough; finish 6–8mm smooth.</t>
  </si>
  <si>
    <t>PLW-017</t>
  </si>
  <si>
    <t>Grooves at slab/wall junction &amp; at intervals.</t>
  </si>
  <si>
    <t>10×10mm grooves; at every 3m or as per drawing.</t>
  </si>
  <si>
    <t>PLW-018</t>
  </si>
  <si>
    <t>Drip mould below projections / sunshade.</t>
  </si>
  <si>
    <t>10mm drip groove below all projections.</t>
  </si>
  <si>
    <t>PLW-019</t>
  </si>
  <si>
    <t>Bands &amp; architectural features as per elevation.</t>
  </si>
  <si>
    <t>Profile &amp; alignment verified.</t>
  </si>
  <si>
    <t>PLW-020</t>
  </si>
  <si>
    <t>Curing &amp; Inspection</t>
  </si>
  <si>
    <t>Curing — minimum 7 days continuous.</t>
  </si>
  <si>
    <t>Wet hessian / sprinkling 3×/day.</t>
  </si>
  <si>
    <t>PLW-021</t>
  </si>
  <si>
    <t>Hollow sound check on cured plaster.</t>
  </si>
  <si>
    <t>No hollowness on tapping; redo if found.</t>
  </si>
  <si>
    <t>PLW-022</t>
  </si>
  <si>
    <t>Shrinkage / surface cracks.</t>
  </si>
  <si>
    <t>No cracks &gt; 0.3mm; hairline acceptable.</t>
  </si>
  <si>
    <t>PLW-023</t>
  </si>
  <si>
    <t>Joints between old &amp; new plaster.</t>
  </si>
  <si>
    <t>Clean, neat; no level mismatch.</t>
  </si>
  <si>
    <t>TIL-001</t>
  </si>
  <si>
    <t>Substrate</t>
  </si>
  <si>
    <t>Base / screed level &amp; slope.</t>
  </si>
  <si>
    <t>Slope 1:80 to drain for wet areas; level otherwise.</t>
  </si>
  <si>
    <t>TIL-002</t>
  </si>
  <si>
    <t>Waterproofing completed &amp; tested (wet areas).</t>
  </si>
  <si>
    <t>Ponding test passed before tile work.</t>
  </si>
  <si>
    <t>TIL-003</t>
  </si>
  <si>
    <t>Substrate clean, dry, free of curing compound.</t>
  </si>
  <si>
    <t>Wire brushed; cleaned.</t>
  </si>
  <si>
    <t>TIL-004</t>
  </si>
  <si>
    <t>Tile inspection — size, color, lot, shade match.</t>
  </si>
  <si>
    <t>Same batch; ±0.5mm size tolerance; no cracks/chips.</t>
  </si>
  <si>
    <t>TIL-005</t>
  </si>
  <si>
    <t>Adhesive / mortar type.</t>
  </si>
  <si>
    <t>Type-1/2/3 adhesive as per location; or 1:4 mortar.</t>
  </si>
  <si>
    <t>TIL-006</t>
  </si>
  <si>
    <t>Tile spacers &amp; spacing.</t>
  </si>
  <si>
    <t>2–3mm vitrified; 3–5mm ceramic; uniform.</t>
  </si>
  <si>
    <t>TIL-007</t>
  </si>
  <si>
    <t>Grout — color, brand, epoxy/cementitious.</t>
  </si>
  <si>
    <t>Approved make; matching color.</t>
  </si>
  <si>
    <t>TIL-008</t>
  </si>
  <si>
    <t>Layout</t>
  </si>
  <si>
    <t>Dry layout / setting-out approval.</t>
  </si>
  <si>
    <t>Centered layout; cut tiles equal at edges.</t>
  </si>
  <si>
    <t>TIL-009</t>
  </si>
  <si>
    <t>Reference lines &amp; datum levels marked.</t>
  </si>
  <si>
    <t>Laser/level reference established.</t>
  </si>
  <si>
    <t>TIL-010</t>
  </si>
  <si>
    <t>Pattern, direction, design as per drawing.</t>
  </si>
  <si>
    <t>Verified against approved layout drawing.</t>
  </si>
  <si>
    <t>TIL-011</t>
  </si>
  <si>
    <t>Installation</t>
  </si>
  <si>
    <t>Full bedding — no voids under tiles.</t>
  </si>
  <si>
    <t>100% adhesive contact; hollow ≤ 5% area.</t>
  </si>
  <si>
    <t>TIL-012</t>
  </si>
  <si>
    <t>Lippage between adjacent tiles.</t>
  </si>
  <si>
    <t>≤ 1mm; preferably zero.</t>
  </si>
  <si>
    <t>TIL-013</t>
  </si>
  <si>
    <t>Joints — straight, uniform, perpendicular.</t>
  </si>
  <si>
    <t>Continuous lines; cross joints true.</t>
  </si>
  <si>
    <t>TIL-014</t>
  </si>
  <si>
    <t>Cut tiles — edge finish, location.</t>
  </si>
  <si>
    <t>Wet-saw cut; placed at concealed corners.</t>
  </si>
  <si>
    <t>TIL-015</t>
  </si>
  <si>
    <t>Slope verification in toilet/balcony floor.</t>
  </si>
  <si>
    <t>Water flows to drain; no ponding.</t>
  </si>
  <si>
    <t>TIL-016</t>
  </si>
  <si>
    <t>Skirting / dado alignment with floor joints.</t>
  </si>
  <si>
    <t>Joints aligned vertically with floor.</t>
  </si>
  <si>
    <t>TIL-017</t>
  </si>
  <si>
    <t>Provision for expansion joints (large areas).</t>
  </si>
  <si>
    <t>Every 6×6m grid; sealed with sealant.</t>
  </si>
  <si>
    <t>TIL-018</t>
  </si>
  <si>
    <t>Cutouts around pipes, fixtures, drains.</t>
  </si>
  <si>
    <t>Neat circular cuts; ≤ 3mm gap; sealed.</t>
  </si>
  <si>
    <t>TIL-019</t>
  </si>
  <si>
    <t>Finishing</t>
  </si>
  <si>
    <t>Grouting — full depth, no gaps.</t>
  </si>
  <si>
    <t>Even grout; cleaned within 30 min.</t>
  </si>
  <si>
    <t>TIL-020</t>
  </si>
  <si>
    <t>Hollow sound test (tap with wooden mallet).</t>
  </si>
  <si>
    <t>≤ 5% area hollow; reset if more.</t>
  </si>
  <si>
    <t>TIL-021</t>
  </si>
  <si>
    <t>Surface cleaning &amp; polishing.</t>
  </si>
  <si>
    <t>No grout haze; no adhesive smears.</t>
  </si>
  <si>
    <t>TIL-022</t>
  </si>
  <si>
    <t>Protection of finished tiles.</t>
  </si>
  <si>
    <t>Covered with plastic / hardboard / paper.</t>
  </si>
  <si>
    <t>PUT-001</t>
  </si>
  <si>
    <t>Plaster fully cured (min 21–28 days).</t>
  </si>
  <si>
    <t>No green plaster; moisture &lt; 12%.</t>
  </si>
  <si>
    <t>PUT-002</t>
  </si>
  <si>
    <t>Surface cleaning — dust, loose particles, oil.</t>
  </si>
  <si>
    <t>Brushed &amp; wiped clean.</t>
  </si>
  <si>
    <t>PUT-003</t>
  </si>
  <si>
    <t>Hairline / minor cracks filled.</t>
  </si>
  <si>
    <t>V-cut and filled with crack filler.</t>
  </si>
  <si>
    <t>PUT-004</t>
  </si>
  <si>
    <t>Sanding of high spots / projections.</t>
  </si>
  <si>
    <t>Smooth substrate before putty.</t>
  </si>
  <si>
    <t>PUT-005</t>
  </si>
  <si>
    <t>Putty brand &amp; type approved.</t>
  </si>
  <si>
    <t>Acrylic (interior) / weather (exterior); approved make.</t>
  </si>
  <si>
    <t>PUT-006</t>
  </si>
  <si>
    <t>Mixing ratio with water.</t>
  </si>
  <si>
    <t>As per manufacturer (typically 35–40% water).</t>
  </si>
  <si>
    <t>PUT-007</t>
  </si>
  <si>
    <t>Pot life observed.</t>
  </si>
  <si>
    <t>Use within 2 hours of mixing.</t>
  </si>
  <si>
    <t>PUT-008</t>
  </si>
  <si>
    <t>Application</t>
  </si>
  <si>
    <t>Number of coats.</t>
  </si>
  <si>
    <t>Min 2 coats (interior); 2–3 (exterior weather putty).</t>
  </si>
  <si>
    <t>PUT-009</t>
  </si>
  <si>
    <t>Thickness per coat.</t>
  </si>
  <si>
    <t>Each coat ≤ 1mm; total ≤ 1.5–2mm.</t>
  </si>
  <si>
    <t>PUT-010</t>
  </si>
  <si>
    <t>Drying time between coats.</t>
  </si>
  <si>
    <t>Min 4–6 hours; full dry before sanding.</t>
  </si>
  <si>
    <t>PUT-011</t>
  </si>
  <si>
    <t>Sanding between coats (320–400 grit).</t>
  </si>
  <si>
    <t>Smooth uniform surface; dust removed.</t>
  </si>
  <si>
    <t>PUT-012</t>
  </si>
  <si>
    <t>Edges, corners, junctions — neat finish.</t>
  </si>
  <si>
    <t>No build-up; sharp clean edges.</t>
  </si>
  <si>
    <t>PUT-013</t>
  </si>
  <si>
    <t>Inspection</t>
  </si>
  <si>
    <t>Surface smoothness (touch &amp; oblique-light check).</t>
  </si>
  <si>
    <t>No marks, no patches, no trowel lines.</t>
  </si>
  <si>
    <t>PUT-014</t>
  </si>
  <si>
    <t>No pinholes, blowholes or cracks.</t>
  </si>
  <si>
    <t>Surface fully closed.</t>
  </si>
  <si>
    <t>PUT-015</t>
  </si>
  <si>
    <t>Moisture content before paint.</t>
  </si>
  <si>
    <t>≤ 12% measured with moisture meter.</t>
  </si>
  <si>
    <t>PUT-016</t>
  </si>
  <si>
    <t>Final sanding &amp; dust cleaning before primer.</t>
  </si>
  <si>
    <t>Fully dust-free surface.</t>
  </si>
  <si>
    <t>ELE-001</t>
  </si>
  <si>
    <t>Conduiting (concealed)</t>
  </si>
  <si>
    <t>Conduit make, ISI marked, fire-retardant.</t>
  </si>
  <si>
    <t>Approved make; medium/heavy gauge as per spec.</t>
  </si>
  <si>
    <t>ELE-002</t>
  </si>
  <si>
    <t>Conduit chasing — depth &amp; alignment.</t>
  </si>
  <si>
    <t>Depth ≥ conduit dia + 15mm; vertical/horizontal only.</t>
  </si>
  <si>
    <t>ELE-003</t>
  </si>
  <si>
    <t>No diagonal chasing; no chasing in beams.</t>
  </si>
  <si>
    <t>Avoid structural members.</t>
  </si>
  <si>
    <t>ELE-004</t>
  </si>
  <si>
    <t>Conduit joints — couplers / solvent cement.</t>
  </si>
  <si>
    <t>Watertight joints; no glue lumps inside.</t>
  </si>
  <si>
    <t>ELE-005</t>
  </si>
  <si>
    <t>Bend radius.</t>
  </si>
  <si>
    <t>≥ 4× conduit dia; no kinks.</t>
  </si>
  <si>
    <t>ELE-006</t>
  </si>
  <si>
    <t>Fish wire installed in every conduit.</t>
  </si>
  <si>
    <t>GI wire 14 SWG; both ends accessible.</t>
  </si>
  <si>
    <t>ELE-007</t>
  </si>
  <si>
    <t>Conduits secured with saddles / nails.</t>
  </si>
  <si>
    <t>Spacing ≤ 600mm; firm to substrate.</t>
  </si>
  <si>
    <t>ELE-008</t>
  </si>
  <si>
    <t>Boxes &amp; Dbs</t>
  </si>
  <si>
    <t>Switch / socket box position &amp; height.</t>
  </si>
  <si>
    <t>Switch 1200mm; Socket 300mm (or as drawing).</t>
  </si>
  <si>
    <t>ELE-009</t>
  </si>
  <si>
    <t>Box flush with finished plaster level.</t>
  </si>
  <si>
    <t>Within ±2mm of finished wall.</t>
  </si>
  <si>
    <t>ELE-010</t>
  </si>
  <si>
    <t>DB location, size, accessibility.</t>
  </si>
  <si>
    <t>As per single line diagram; min 300mm from corners.</t>
  </si>
  <si>
    <t>ELE-011</t>
  </si>
  <si>
    <t>Earth bus bar &amp; neutral bar in DB.</t>
  </si>
  <si>
    <t>Separate bars; tinned copper; sized per load.</t>
  </si>
  <si>
    <t>ELE-012</t>
  </si>
  <si>
    <t>Wiring</t>
  </si>
  <si>
    <t>Cable brand, size, FRLS / ISI marking.</t>
  </si>
  <si>
    <t>Approved make; FRLS PVC; ISI marked.</t>
  </si>
  <si>
    <t>ELE-013</t>
  </si>
  <si>
    <t>Cable colour code.</t>
  </si>
  <si>
    <t>R-Y-B phase / Black neutral / Green-Yellow earth.</t>
  </si>
  <si>
    <t>ELE-014</t>
  </si>
  <si>
    <t>Cable sizes vs. circuit load.</t>
  </si>
  <si>
    <t>Lighting 1.5/2.5mm²; Sockets 2.5/4mm²; AC 4/6mm².</t>
  </si>
  <si>
    <t>ELE-015</t>
  </si>
  <si>
    <t>No joints inside conduit.</t>
  </si>
  <si>
    <t>Joints only at boxes/DBs.</t>
  </si>
  <si>
    <t>ELE-016</t>
  </si>
  <si>
    <t>Number of wires per conduit.</t>
  </si>
  <si>
    <t>≤ 40% fill factor.</t>
  </si>
  <si>
    <t>ELE-017</t>
  </si>
  <si>
    <t>Looping at switch boards (phase looped, not neutral).</t>
  </si>
  <si>
    <t>Phase looping; neutral direct to fixture.</t>
  </si>
  <si>
    <t>ELE-018</t>
  </si>
  <si>
    <t>Earthing &amp; Protection</t>
  </si>
  <si>
    <t>Earth pit construction &amp; resistance.</t>
  </si>
  <si>
    <t>≤ 1 Ω for system; ≤ 5 Ω individual pit.</t>
  </si>
  <si>
    <t>ELE-019</t>
  </si>
  <si>
    <t>Earthing conductor size &amp; continuity.</t>
  </si>
  <si>
    <t>As per IS 3043; verified continuity.</t>
  </si>
  <si>
    <t>ELE-020</t>
  </si>
  <si>
    <t>Double earthing for all 3-phase equipment.</t>
  </si>
  <si>
    <t>Two independent earth paths.</t>
  </si>
  <si>
    <t>ELE-021</t>
  </si>
  <si>
    <t>RCCB / ELCB installation &amp; rating.</t>
  </si>
  <si>
    <t>30mA for sockets; 100/300mA for distribution.</t>
  </si>
  <si>
    <t>ELE-022</t>
  </si>
  <si>
    <t>MCB ratings vs. circuit design.</t>
  </si>
  <si>
    <t>Matched to cable &amp; load capacity.</t>
  </si>
  <si>
    <t>ELE-023</t>
  </si>
  <si>
    <t>Testing</t>
  </si>
  <si>
    <t>Insulation resistance (Megger) — 500V DC.</t>
  </si>
  <si>
    <t>≥ 1 MΩ between conductors and to earth.</t>
  </si>
  <si>
    <t>ELE-024</t>
  </si>
  <si>
    <t>Continuity test — phase, neutral, earth.</t>
  </si>
  <si>
    <t>All circuits continuous; recorded.</t>
  </si>
  <si>
    <t>ELE-025</t>
  </si>
  <si>
    <t>Earth resistance test (clamp / fall-of-potential).</t>
  </si>
  <si>
    <t>Within design limit; logged.</t>
  </si>
  <si>
    <t>ELE-026</t>
  </si>
  <si>
    <t>Polarity test for sockets.</t>
  </si>
  <si>
    <t>Correct L/N/E orientation.</t>
  </si>
  <si>
    <t>ELE-027</t>
  </si>
  <si>
    <t>Load test of DB.</t>
  </si>
  <si>
    <t>No abnormal heating; balanced phases.</t>
  </si>
  <si>
    <t>ELE-028</t>
  </si>
  <si>
    <t>Functional test of all switches, sockets, lights.</t>
  </si>
  <si>
    <t>100% operational; no flicker.</t>
  </si>
  <si>
    <t>ELE-029</t>
  </si>
  <si>
    <t>Fixing &amp; Finishing</t>
  </si>
  <si>
    <t>Switch / socket plates — level, no gaps to wall.</t>
  </si>
  <si>
    <t>Flush mount; no rocking.</t>
  </si>
  <si>
    <t>ELE-030</t>
  </si>
  <si>
    <t>Light fittings — alignment, level, firm fixing.</t>
  </si>
  <si>
    <t>Plumb / level; no wobble.</t>
  </si>
  <si>
    <t>ELE-031</t>
  </si>
  <si>
    <t>Ceiling fan — hook, downrod, balance.</t>
  </si>
  <si>
    <t>Anti-vibration; no wobble at full speed.</t>
  </si>
  <si>
    <t>ELE-032</t>
  </si>
  <si>
    <t>DB labelling — circuit identification.</t>
  </si>
  <si>
    <t>Each MCB labelled with circuit served.</t>
  </si>
  <si>
    <t>PLB-001</t>
  </si>
  <si>
    <t>Internal: Water Supply</t>
  </si>
  <si>
    <t>Pipe material, brand, ISI marking (CPVC/PPR).</t>
  </si>
  <si>
    <t>Approved make; ISI/IS 15778 / IS 15801.</t>
  </si>
  <si>
    <t>PLB-002</t>
  </si>
  <si>
    <t>Pipe sizing per fixture units.</t>
  </si>
  <si>
    <t>As per plumbing drawing &amp; calculation.</t>
  </si>
  <si>
    <t>PLB-003</t>
  </si>
  <si>
    <t>Concealed pipe routing &amp; supports.</t>
  </si>
  <si>
    <t>No bends &lt; manufacturer radius; clamped ≤ 1m.</t>
  </si>
  <si>
    <t>PLB-004</t>
  </si>
  <si>
    <t>Solvent cement joints / heat fusion (PPR).</t>
  </si>
  <si>
    <t>Clean, properly cured; no excess; correct temp.</t>
  </si>
  <si>
    <t>PLB-005</t>
  </si>
  <si>
    <t>Hot &amp; cold lines — separation &amp; insulation.</t>
  </si>
  <si>
    <t>Min 150mm separation; hot line insulated.</t>
  </si>
  <si>
    <t>PLB-006</t>
  </si>
  <si>
    <t>Hydrostatic pressure test (concealed lines).</t>
  </si>
  <si>
    <t>1.5× working pressure, min 10 bar, 24 hr; no drop.</t>
  </si>
  <si>
    <t>PLB-007</t>
  </si>
  <si>
    <t>Isolation valves at branches &amp; before fixtures.</t>
  </si>
  <si>
    <t>Quarter-turn ball valves at each unit.</t>
  </si>
  <si>
    <t>PLB-008</t>
  </si>
  <si>
    <t>Air release &amp; flushing of system.</t>
  </si>
  <si>
    <t>Cleared of debris; commissioning recorded.</t>
  </si>
  <si>
    <t>PLB-009</t>
  </si>
  <si>
    <t>Internal: Drainage</t>
  </si>
  <si>
    <t>Pipe material (UPVC / SWR / cast iron).</t>
  </si>
  <si>
    <t>Approved make; ISI marked; correct schedule.</t>
  </si>
  <si>
    <t>PLB-010</t>
  </si>
  <si>
    <t>Pipe slope for horizontal runs.</t>
  </si>
  <si>
    <t>1:40 to 1:80; uniform; no back-fall.</t>
  </si>
  <si>
    <t>PLB-011</t>
  </si>
  <si>
    <t>Traps under all fixtures (P/S/floor).</t>
  </si>
  <si>
    <t>75mm water seal min; accessible cleanout.</t>
  </si>
  <si>
    <t>PLB-012</t>
  </si>
  <si>
    <t>Vent pipe extension above roof.</t>
  </si>
  <si>
    <t>≥ 600mm above roof; cowl provided.</t>
  </si>
  <si>
    <t>PLB-013</t>
  </si>
  <si>
    <t>Floor traps &amp; nahani trap — level with floor finish.</t>
  </si>
  <si>
    <t>Flush with tile; gradient to it.</t>
  </si>
  <si>
    <t>PLB-014</t>
  </si>
  <si>
    <t>Leakage test — water / smoke / air.</t>
  </si>
  <si>
    <t>Water test 1.5m head, 24 hr; no leak.</t>
  </si>
  <si>
    <t>PLB-015</t>
  </si>
  <si>
    <t>Cleanouts / inspection openings.</t>
  </si>
  <si>
    <t>At every change of direction; accessible.</t>
  </si>
  <si>
    <t>PLB-016</t>
  </si>
  <si>
    <t>Fixtures</t>
  </si>
  <si>
    <t>Fixture brand, model, color as approved.</t>
  </si>
  <si>
    <t>Per approved schedule &amp; sample.</t>
  </si>
  <si>
    <t>PLB-017</t>
  </si>
  <si>
    <t>WC / wash basin / urinal fixing — level, firm.</t>
  </si>
  <si>
    <t>No rocking; silicone sealed at base.</t>
  </si>
  <si>
    <t>PLB-018</t>
  </si>
  <si>
    <t>Tap &amp; mixer installation — leak-free, aligned.</t>
  </si>
  <si>
    <t>No drip; cartridge functional.</t>
  </si>
  <si>
    <t>PLB-019</t>
  </si>
  <si>
    <t>Shower fixing — height, alignment.</t>
  </si>
  <si>
    <t>Outlet 2000–2100mm AFL; aligned.</t>
  </si>
  <si>
    <t>PLB-020</t>
  </si>
  <si>
    <t>Health faucet, angle valves, connectors.</t>
  </si>
  <si>
    <t>Approved make; no leaks.</t>
  </si>
  <si>
    <t>PLB-021</t>
  </si>
  <si>
    <t>External: Sewer</t>
  </si>
  <si>
    <t>Sewer pipe material &amp; dia.</t>
  </si>
  <si>
    <t>UPVC/RCC NP3; as per drawing.</t>
  </si>
  <si>
    <t>PLB-022</t>
  </si>
  <si>
    <t>Bedding &amp; backfill of buried pipes.</t>
  </si>
  <si>
    <t>100mm sand bed; selected backfill compacted.</t>
  </si>
  <si>
    <t>PLB-023</t>
  </si>
  <si>
    <t>Manhole construction — invert level, channel.</t>
  </si>
  <si>
    <t>Smooth benching; correct invert; cover IS 1726.</t>
  </si>
  <si>
    <t>PLB-024</t>
  </si>
  <si>
    <t>Slope between manholes.</t>
  </si>
  <si>
    <t>Min 1:120 (150mm dia); designed slope.</t>
  </si>
  <si>
    <t>PLB-025</t>
  </si>
  <si>
    <t>External: Storm Water</t>
  </si>
  <si>
    <t>Storm water drain — sizing &amp; slope.</t>
  </si>
  <si>
    <t>Per rainfall intensity calculation; 1:100 min.</t>
  </si>
  <si>
    <t>PLB-026</t>
  </si>
  <si>
    <t>Rain water down-takes &amp; gratings.</t>
  </si>
  <si>
    <t>All terrace outlets connected; gratings installed.</t>
  </si>
  <si>
    <t>PLB-027</t>
  </si>
  <si>
    <t>External: Rwh</t>
  </si>
  <si>
    <t>Rainwater harvesting pit / recharge bore.</t>
  </si>
  <si>
    <t>As per design; filter media in place.</t>
  </si>
  <si>
    <t>PLB-028</t>
  </si>
  <si>
    <t>First-flush diverter / silt trap.</t>
  </si>
  <si>
    <t>Installed &amp; accessible for cleaning.</t>
  </si>
  <si>
    <t>PLB-029</t>
  </si>
  <si>
    <t>Tanks &amp; Pumps</t>
  </si>
  <si>
    <t>OHT &amp; UGT — watertightness test.</t>
  </si>
  <si>
    <t>Filled &amp; held 7 days; no drop.</t>
  </si>
  <si>
    <t>PLB-030</t>
  </si>
  <si>
    <t>Pumps — make, capacity, head.</t>
  </si>
  <si>
    <t>As per design; tested no-load &amp; on-load.</t>
  </si>
  <si>
    <t>PLB-031</t>
  </si>
  <si>
    <t>Float switches, level controllers.</t>
  </si>
  <si>
    <t>Operational; auto cut-off tested.</t>
  </si>
  <si>
    <t>FCL-001</t>
  </si>
  <si>
    <t>Ceiling level &amp; layout marking.</t>
  </si>
  <si>
    <t>Reference height marked; laser level used.</t>
  </si>
  <si>
    <t>FCL-002</t>
  </si>
  <si>
    <t>MEP services above ceiling completed &amp; tested.</t>
  </si>
  <si>
    <t>AC ducts, sprinklers, wiring tested before closing.</t>
  </si>
  <si>
    <t>FCL-003</t>
  </si>
  <si>
    <t>Approved shop drawing with grid pattern.</t>
  </si>
  <si>
    <t>Drawing signed by consultant/architect.</t>
  </si>
  <si>
    <t>FCL-004</t>
  </si>
  <si>
    <t>Gypsum board / calcium silicate — brand, thickness.</t>
  </si>
  <si>
    <t>Approved make; 12.5mm gypsum / 6mm CSB.</t>
  </si>
  <si>
    <t>FCL-005</t>
  </si>
  <si>
    <t>GI sections — perimeter channel, intermediate, ceiling section.</t>
  </si>
  <si>
    <t>0.55mm BMT GI; approved make.</t>
  </si>
  <si>
    <t>FCL-006</t>
  </si>
  <si>
    <t>Suspension — soffit cleats, GI rods, hangers.</t>
  </si>
  <si>
    <t>≤ 1200mm c/c; firmly anchored.</t>
  </si>
  <si>
    <t>FCL-007</t>
  </si>
  <si>
    <t>Screws — drywall screws, dry-rust treated.</t>
  </si>
  <si>
    <t>25mm self-tapping; approved.</t>
  </si>
  <si>
    <t>FCL-008</t>
  </si>
  <si>
    <t>Framework</t>
  </si>
  <si>
    <t>Perimeter channel fixing.</t>
  </si>
  <si>
    <t>Screwed at ≤ 600mm c/c into wall.</t>
  </si>
  <si>
    <t>FCL-009</t>
  </si>
  <si>
    <t>Intermediate channel spacing.</t>
  </si>
  <si>
    <t>1200mm c/c maximum.</t>
  </si>
  <si>
    <t>FCL-010</t>
  </si>
  <si>
    <t>Ceiling section spacing.</t>
  </si>
  <si>
    <t>450mm c/c (gypsum) / as per design.</t>
  </si>
  <si>
    <t>FCL-011</t>
  </si>
  <si>
    <t>Level of grid (3m straightedge).</t>
  </si>
  <si>
    <t>Deviation ≤ 3mm in 3m.</t>
  </si>
  <si>
    <t>FCL-012</t>
  </si>
  <si>
    <t>Cross bracing &amp; rigidity.</t>
  </si>
  <si>
    <t>No movement on hand pressure.</t>
  </si>
  <si>
    <t>FCL-013</t>
  </si>
  <si>
    <t>Boarding</t>
  </si>
  <si>
    <t>Joints staggered; no four-corner meeting.</t>
  </si>
  <si>
    <t>Brick-bond pattern of boards.</t>
  </si>
  <si>
    <t>FCL-014</t>
  </si>
  <si>
    <t>Cut edges chamfered for taping.</t>
  </si>
  <si>
    <t>45° chamfer at cut joints.</t>
  </si>
  <si>
    <t>FCL-015</t>
  </si>
  <si>
    <t>Cut-outs for lights, AC grills, sprinklers.</t>
  </si>
  <si>
    <t>Accurate; ≤ 3mm gap to fixture.</t>
  </si>
  <si>
    <t>FCL-016</t>
  </si>
  <si>
    <t>Screw pattern &amp; depth.</t>
  </si>
  <si>
    <t>150mm edge / 230mm field; flush, not torn.</t>
  </si>
  <si>
    <t>FCL-017</t>
  </si>
  <si>
    <t>Joint taping (paper tape + jointing compound).</t>
  </si>
  <si>
    <t>3 coats; smooth; no ridges.</t>
  </si>
  <si>
    <t>FCL-018</t>
  </si>
  <si>
    <t>Corner beads at external corners.</t>
  </si>
  <si>
    <t>Plumb; firmly fixed.</t>
  </si>
  <si>
    <t>FCL-019</t>
  </si>
  <si>
    <t>Sanding &amp; putty finish.</t>
  </si>
  <si>
    <t>Ready-to-paint surface.</t>
  </si>
  <si>
    <t>FCL-020</t>
  </si>
  <si>
    <t>Inspection panels / access doors.</t>
  </si>
  <si>
    <t>At all serviceable utility points.</t>
  </si>
  <si>
    <t>FCL-021</t>
  </si>
  <si>
    <t>Painting — primer + 2 finish coats.</t>
  </si>
  <si>
    <t>Uniform color; no roller marks.</t>
  </si>
  <si>
    <t>PNT-001</t>
  </si>
  <si>
    <t>Scaffolding</t>
  </si>
  <si>
    <t>The scaffolding to be self-standing and rigid.</t>
  </si>
  <si>
    <t>Scaffolding is stable, rigid, and suitable for external painting work.</t>
  </si>
  <si>
    <t>PNT-002</t>
  </si>
  <si>
    <t>Check for double horizontals, wherever necessary.</t>
  </si>
  <si>
    <t>External painting requirement is verified before continuing the work.</t>
  </si>
  <si>
    <t>PNT-003</t>
  </si>
  <si>
    <t>Check for telescopic vertical scaffolding.</t>
  </si>
  <si>
    <t>PNT-004</t>
  </si>
  <si>
    <t>Check for diagonal bracings.</t>
  </si>
  <si>
    <t>PNT-005</t>
  </si>
  <si>
    <t>Algae affected area is cleaned properly before commencing the painting work.</t>
  </si>
  <si>
    <t>Paint material and application are verified against approved work order and specification.</t>
  </si>
  <si>
    <t>PNT-006</t>
  </si>
  <si>
    <t>Crack filling is done by good quality of exterior grade crack filler.</t>
  </si>
  <si>
    <t>PNT-007</t>
  </si>
  <si>
    <t>Window frame tie be protected and wrapped with plastic sheet.</t>
  </si>
  <si>
    <t>PNT-008</t>
  </si>
  <si>
    <t>Check all window jambs are properly repaired.</t>
  </si>
  <si>
    <t>PNT-009</t>
  </si>
  <si>
    <t>Check deck ceiling light points are cleared.</t>
  </si>
  <si>
    <t>PNT-010</t>
  </si>
  <si>
    <t>Cleaning of dust and loose particles.</t>
  </si>
  <si>
    <t>Soft brush / blower used.</t>
  </si>
  <si>
    <t>PNT-011</t>
  </si>
  <si>
    <t>Painting</t>
  </si>
  <si>
    <t>Check after polishing, primer coat with proper finish.</t>
  </si>
  <si>
    <t>PNT-012</t>
  </si>
  <si>
    <t>Check 1st coat paint is applied.</t>
  </si>
  <si>
    <t>PNT-013</t>
  </si>
  <si>
    <t>Check baking coat, patchiness, unevenness, brush mark not seen.</t>
  </si>
  <si>
    <t>PNT-014</t>
  </si>
  <si>
    <t>Paint as per approved scheme.</t>
  </si>
  <si>
    <t>PNT-015</t>
  </si>
  <si>
    <t>Surface fully cured &amp; dry.</t>
  </si>
  <si>
    <t>Moisture ≤ 12%; min 28 days after plaster.</t>
  </si>
  <si>
    <t>PNT-016</t>
  </si>
  <si>
    <t>Putty work completed &amp; sanded smooth.</t>
  </si>
  <si>
    <t>Smooth, dust-free surface.</t>
  </si>
  <si>
    <t>PNT-017</t>
  </si>
  <si>
    <t>Paint brand, type, batch verification.</t>
  </si>
  <si>
    <t>Approved make; correct sheen (matt/satin/eggshell).</t>
  </si>
  <si>
    <t>PNT-018</t>
  </si>
  <si>
    <t>Primer type matched to substrate.</t>
  </si>
  <si>
    <t>Acrylic primer (interior); cement primer for new surface.</t>
  </si>
  <si>
    <t>PNT-019</t>
  </si>
  <si>
    <t>Color shade approved (shade card / mock-up).</t>
  </si>
  <si>
    <t>Signed shade approval on record.</t>
  </si>
  <si>
    <t>PNT-020</t>
  </si>
  <si>
    <t>Thinning ratio per manufacturer.</t>
  </si>
  <si>
    <t>As per data sheet; over-thinning avoided.</t>
  </si>
  <si>
    <t>PNT-021</t>
  </si>
  <si>
    <t>Internal: Application</t>
  </si>
  <si>
    <t>Primer — single coat, uniform.</t>
  </si>
  <si>
    <t>Full coverage; no holidays.</t>
  </si>
  <si>
    <t>PNT-022</t>
  </si>
  <si>
    <t>Finish coats — minimum 2 coats.</t>
  </si>
  <si>
    <t>Each coat fully dry before next.</t>
  </si>
  <si>
    <t>PNT-023</t>
  </si>
  <si>
    <t>Min 4–6 hrs (touch) / 8 hrs (recoat).</t>
  </si>
  <si>
    <t>PNT-024</t>
  </si>
  <si>
    <t>DFT (Dry Film Thickness) verification.</t>
  </si>
  <si>
    <t>As per spec (typically 80–100 µ total).</t>
  </si>
  <si>
    <t>PNT-025</t>
  </si>
  <si>
    <t>Uniform color, no brush/roller marks, no patches.</t>
  </si>
  <si>
    <t>Inspected in oblique light.</t>
  </si>
  <si>
    <t>PNT-026</t>
  </si>
  <si>
    <t>Cutting at edges — sharp clean lines.</t>
  </si>
  <si>
    <t>No paint on ceiling / skirting / frames.</t>
  </si>
  <si>
    <t>PNT-027</t>
  </si>
  <si>
    <t>External: Application</t>
  </si>
  <si>
    <t>Weather conditions during application.</t>
  </si>
  <si>
    <t>No rain forecast 24h; RH &lt; 85%; temp 10–35°C.</t>
  </si>
  <si>
    <t>PNT-028</t>
  </si>
  <si>
    <t>External primer — alkali-resistant.</t>
  </si>
  <si>
    <t>Approved exterior primer applied.</t>
  </si>
  <si>
    <t>PNT-029</t>
  </si>
  <si>
    <t>Min 2 coats exterior emulsion / texture.</t>
  </si>
  <si>
    <t>Manufacturer recommended DFT.</t>
  </si>
  <si>
    <t>PNT-030</t>
  </si>
  <si>
    <t>Anti-fungal / anti-algal performance.</t>
  </si>
  <si>
    <t>As per product data sheet.</t>
  </si>
  <si>
    <t>PNT-031</t>
  </si>
  <si>
    <t>Texture pattern uniformity (if textured).</t>
  </si>
  <si>
    <t>Sample-approved pattern matched throughout.</t>
  </si>
  <si>
    <t>PNT-032</t>
  </si>
  <si>
    <t>Edges &amp; joints with adjoining materials.</t>
  </si>
  <si>
    <t>Clean transition; sealed with sealant if needed.</t>
  </si>
  <si>
    <t>PNT-033</t>
  </si>
  <si>
    <t>Scaffold mark touch-ups completed.</t>
  </si>
  <si>
    <t>Invisible matching with surrounding.</t>
  </si>
  <si>
    <t>PNT-034</t>
  </si>
  <si>
    <t>Finishing &amp; Inspection</t>
  </si>
  <si>
    <t>Hardware, glass, frames protected during paint.</t>
  </si>
  <si>
    <t>No paint splash; masking removed cleanly.</t>
  </si>
  <si>
    <t>PNT-035</t>
  </si>
  <si>
    <t>Final inspection in daylight and artificial light.</t>
  </si>
  <si>
    <t>Approved by consultant/architect.</t>
  </si>
  <si>
    <t>LAN-001</t>
  </si>
  <si>
    <t>Site Preparation</t>
  </si>
  <si>
    <t>Site clearance — debris, weeds, construction waste.</t>
  </si>
  <si>
    <t>Fully cleared &amp; disposed.</t>
  </si>
  <si>
    <t>LAN-002</t>
  </si>
  <si>
    <t>Existing soil testing (pH, drainage).</t>
  </si>
  <si>
    <t>Lab report; pH 6.0–7.5 ideal.</t>
  </si>
  <si>
    <t>LAN-003</t>
  </si>
  <si>
    <t>Sub-grade levels &amp; contouring.</t>
  </si>
  <si>
    <t>As per landscape drawing; ±25mm.</t>
  </si>
  <si>
    <t>LAN-004</t>
  </si>
  <si>
    <t>Sub-surface drainage / weep holes.</t>
  </si>
  <si>
    <t>Functional; flows tested.</t>
  </si>
  <si>
    <t>LAN-005</t>
  </si>
  <si>
    <t>Soil &amp; Bedding</t>
  </si>
  <si>
    <t>Top soil quality &amp; depth.</t>
  </si>
  <si>
    <t>Min 150mm lawn / 450mm shrubs / 900mm trees.</t>
  </si>
  <si>
    <t>LAN-006</t>
  </si>
  <si>
    <t>Organic manure / compost mixing.</t>
  </si>
  <si>
    <t>As per agronomist recommendation.</t>
  </si>
  <si>
    <t>LAN-007</t>
  </si>
  <si>
    <t>Plantation</t>
  </si>
  <si>
    <t>Plant species list — match approved schedule.</t>
  </si>
  <si>
    <t>Per landscape architect's list.</t>
  </si>
  <si>
    <t>LAN-008</t>
  </si>
  <si>
    <t>Plant health — disease-free, hardened.</t>
  </si>
  <si>
    <t>Nursery inspection done.</t>
  </si>
  <si>
    <t>LAN-009</t>
  </si>
  <si>
    <t>Pit size for trees / shrubs / hedges.</t>
  </si>
  <si>
    <t>Trees 1×1×1m; shrubs 0.45m cube.</t>
  </si>
  <si>
    <t>LAN-010</t>
  </si>
  <si>
    <t>Spacing between plants.</t>
  </si>
  <si>
    <t>Per design; rows aligned.</t>
  </si>
  <si>
    <t>LAN-011</t>
  </si>
  <si>
    <t>Staking &amp; support for trees.</t>
  </si>
  <si>
    <t>3 stakes; flexible tie; not damaging bark.</t>
  </si>
  <si>
    <t>LAN-012</t>
  </si>
  <si>
    <t>Lawn</t>
  </si>
  <si>
    <t>Grass species &amp; laying method (sod/sprig).</t>
  </si>
  <si>
    <t>Per design; uniform laying; no gaps.</t>
  </si>
  <si>
    <t>LAN-013</t>
  </si>
  <si>
    <t>Rolling &amp; levelling of lawn.</t>
  </si>
  <si>
    <t>Firm, level, no humps/depressions.</t>
  </si>
  <si>
    <t>LAN-014</t>
  </si>
  <si>
    <t>Irrigation</t>
  </si>
  <si>
    <t>Irrigation system — drip / sprinkler layout.</t>
  </si>
  <si>
    <t>Per design; uniform coverage; no dry zones.</t>
  </si>
  <si>
    <t>LAN-015</t>
  </si>
  <si>
    <t>Water source, pumps, controllers.</t>
  </si>
  <si>
    <t>Tested; auto-cycle functional.</t>
  </si>
  <si>
    <t>LAN-016</t>
  </si>
  <si>
    <t>Pressure &amp; flow check at extremities.</t>
  </si>
  <si>
    <t>Within design; no leaks.</t>
  </si>
  <si>
    <t>LAN-017</t>
  </si>
  <si>
    <t>Hardscape</t>
  </si>
  <si>
    <t>Pathways — material, level, slope.</t>
  </si>
  <si>
    <t>1:80 cross-fall; flush with edge.</t>
  </si>
  <si>
    <t>LAN-018</t>
  </si>
  <si>
    <t>Kerb stones — alignment, jointing.</t>
  </si>
  <si>
    <t>Straight line / curve as drawing.</t>
  </si>
  <si>
    <t>LAN-019</t>
  </si>
  <si>
    <t>Decorative elements (pergolas, benches, planters).</t>
  </si>
  <si>
    <t>As per drawing; secure fixing.</t>
  </si>
  <si>
    <t>LAN-020</t>
  </si>
  <si>
    <t>Lighting</t>
  </si>
  <si>
    <t>Garden lights / bollards / spike lights.</t>
  </si>
  <si>
    <t>Locations per design; IP65+ rated.</t>
  </si>
  <si>
    <t>LAN-021</t>
  </si>
  <si>
    <t>Cable laid in conduit, depth ≥ 600mm.</t>
  </si>
  <si>
    <t>Marked with warning tape above.</t>
  </si>
  <si>
    <t>LAN-022</t>
  </si>
  <si>
    <t>Earthing of metallic posts.</t>
  </si>
  <si>
    <t>All metal posts earthed.</t>
  </si>
  <si>
    <t>LAN-023</t>
  </si>
  <si>
    <t>Maintenance Period</t>
  </si>
  <si>
    <t>Plant survival rate during defects period.</t>
  </si>
  <si>
    <t>≥ 95% survival; replacements done.</t>
  </si>
  <si>
    <t>LAN-024</t>
  </si>
  <si>
    <t>Mulching, weeding, pruning schedule.</t>
  </si>
  <si>
    <t>Records maintained.</t>
  </si>
  <si>
    <t>FIR-001</t>
  </si>
  <si>
    <t>Drawings &amp; Approvals</t>
  </si>
  <si>
    <t>Fire NOC / approved drawings on site.</t>
  </si>
  <si>
    <t>Drawings signed by fire department.</t>
  </si>
  <si>
    <t>FIR-002</t>
  </si>
  <si>
    <t>Equipment make &amp; model as approved.</t>
  </si>
  <si>
    <t>Per approved vendor list.</t>
  </si>
  <si>
    <t>FIR-003</t>
  </si>
  <si>
    <t>Piping Network</t>
  </si>
  <si>
    <t>Pipe material — MS heavy / GI as specified.</t>
  </si>
  <si>
    <t>IS 1239 / IS 3589; correct thickness.</t>
  </si>
  <si>
    <t>FIR-004</t>
  </si>
  <si>
    <t>Pipe routing &amp; supports.</t>
  </si>
  <si>
    <t>Per drawing; clamps ≤ 3m c/c.</t>
  </si>
  <si>
    <t>FIR-005</t>
  </si>
  <si>
    <t>Welded / flanged joints — quality.</t>
  </si>
  <si>
    <t>Full penetration welds; no porosity; tested.</t>
  </si>
  <si>
    <t>FIR-006</t>
  </si>
  <si>
    <t>Pipe painting — fire red.</t>
  </si>
  <si>
    <t>Approved shade; primer + 2 coats.</t>
  </si>
  <si>
    <t>FIR-007</t>
  </si>
  <si>
    <t>Pipe identification &amp; flow direction.</t>
  </si>
  <si>
    <t>Labels every 6m &amp; at branches.</t>
  </si>
  <si>
    <t>FIR-008</t>
  </si>
  <si>
    <t>Hydrant System</t>
  </si>
  <si>
    <t>Wet riser size &amp; location.</t>
  </si>
  <si>
    <t>150mm dia min; one per 1000 m² as per NBC.</t>
  </si>
  <si>
    <t>FIR-009</t>
  </si>
  <si>
    <t>Landing valves on each floor.</t>
  </si>
  <si>
    <t>63mm IS 5290; instantaneous coupling.</t>
  </si>
  <si>
    <t>FIR-010</t>
  </si>
  <si>
    <t>Hose reel (rubber-lined) on each floor.</t>
  </si>
  <si>
    <t>36m × 19mm; with nozzle.</t>
  </si>
  <si>
    <t>FIR-011</t>
  </si>
  <si>
    <t>Hose box &amp; accessories.</t>
  </si>
  <si>
    <t>GI sheet; with branch, key, hose 15m × 2.</t>
  </si>
  <si>
    <t>FIR-012</t>
  </si>
  <si>
    <t>External yard hydrants.</t>
  </si>
  <si>
    <t>Per layout; min 2; 30m spacing.</t>
  </si>
  <si>
    <t>FIR-013</t>
  </si>
  <si>
    <t>Sprinkler System</t>
  </si>
  <si>
    <t>Sprinkler heads — type, K-factor, temp rating.</t>
  </si>
  <si>
    <t>Pendant/upright; 68°C / 79°C per zone.</t>
  </si>
  <si>
    <t>FIR-014</t>
  </si>
  <si>
    <t>Sprinkler spacing &amp; coverage.</t>
  </si>
  <si>
    <t>≤ 4×4m grid; ≤ 12 m² per head (LH).</t>
  </si>
  <si>
    <t>FIR-015</t>
  </si>
  <si>
    <t>Distance from wall / obstruction.</t>
  </si>
  <si>
    <t>≥ 100mm / ≤ 2.3m from wall.</t>
  </si>
  <si>
    <t>FIR-016</t>
  </si>
  <si>
    <t>Flow switch, test &amp; drain valves.</t>
  </si>
  <si>
    <t>At each floor / zone.</t>
  </si>
  <si>
    <t>FIR-017</t>
  </si>
  <si>
    <t>Pump Room</t>
  </si>
  <si>
    <t>Main fire pump — capacity &amp; head.</t>
  </si>
  <si>
    <t>As per design; UL/FM listed where required.</t>
  </si>
  <si>
    <t>FIR-018</t>
  </si>
  <si>
    <t>Jockey pump capacity.</t>
  </si>
  <si>
    <t>≤ 10% of main; auto pressure maintenance.</t>
  </si>
  <si>
    <t>FIR-019</t>
  </si>
  <si>
    <t>Diesel engine pump — fuel tank, battery.</t>
  </si>
  <si>
    <t>Run-test passed; 8-hr fuel storage.</t>
  </si>
  <si>
    <t>FIR-020</t>
  </si>
  <si>
    <t>Pump auto-start at set pressure.</t>
  </si>
  <si>
    <t>Cut-in/cut-out verified.</t>
  </si>
  <si>
    <t>FIR-021</t>
  </si>
  <si>
    <t>Suction / delivery — gauges, NRV, gate valve.</t>
  </si>
  <si>
    <t>All in place; tested.</t>
  </si>
  <si>
    <t>FIR-022</t>
  </si>
  <si>
    <t>Water Tank</t>
  </si>
  <si>
    <t>Dedicated fire water tank capacity.</t>
  </si>
  <si>
    <t>Per NBC; not less than required storage.</t>
  </si>
  <si>
    <t>FIR-023</t>
  </si>
  <si>
    <t>Low-level alarm &amp; breather.</t>
  </si>
  <si>
    <t>Functional.</t>
  </si>
  <si>
    <t>FIR-024</t>
  </si>
  <si>
    <t>Testing &amp; Commissioning</t>
  </si>
  <si>
    <t>Hydrostatic test on pipework.</t>
  </si>
  <si>
    <t>1.5× working pressure for 2 hr; no drop.</t>
  </si>
  <si>
    <t>FIR-025</t>
  </si>
  <si>
    <t>Flow &amp; pressure test at remotest hydrant.</t>
  </si>
  <si>
    <t>Min 3.2 kg/cm² with 2 hydrants running.</t>
  </si>
  <si>
    <t>FIR-026</t>
  </si>
  <si>
    <t>Sprinkler trip test (each zone).</t>
  </si>
  <si>
    <t>Activates flow switch &amp; alarm.</t>
  </si>
  <si>
    <t>FIR-027</t>
  </si>
  <si>
    <t>Fire alarm / detection — smoke, heat detectors.</t>
  </si>
  <si>
    <t>All detectors tested; addressable IDs verified.</t>
  </si>
  <si>
    <t>FIR-028</t>
  </si>
  <si>
    <t>MCP (manual call point) — tested every floor.</t>
  </si>
  <si>
    <t>Each MCP triggers alarm at panel.</t>
  </si>
  <si>
    <t>FIR-029</t>
  </si>
  <si>
    <t>PA system &amp; hooter audibility.</t>
  </si>
  <si>
    <t>65 dB above ambient at all locations.</t>
  </si>
  <si>
    <t>FIR-030</t>
  </si>
  <si>
    <t>Portable Equipment</t>
  </si>
  <si>
    <t>Fire extinguishers — type, capacity, location.</t>
  </si>
  <si>
    <t>ABC/CO₂ as per area class; access &lt; 15m.</t>
  </si>
  <si>
    <t>FIR-031</t>
  </si>
  <si>
    <t>Mounting height &amp; signage.</t>
  </si>
  <si>
    <t>1.0–1.5m AFL; pictorial signage.</t>
  </si>
  <si>
    <t>FIR-032</t>
  </si>
  <si>
    <t>Refill / inspection due date marked.</t>
  </si>
  <si>
    <t>Tag with last refill / next due.</t>
  </si>
  <si>
    <t>FIR-033</t>
  </si>
  <si>
    <t>Compliance</t>
  </si>
  <si>
    <t>Final fire department inspection &amp; NOC.</t>
  </si>
  <si>
    <t>Final fire safety certificate obtained.</t>
  </si>
  <si>
    <t>Inspector</t>
  </si>
  <si>
    <t>Remarks</t>
  </si>
  <si>
    <t>FlatKey</t>
  </si>
  <si>
    <t>Cumque ratione sint</t>
  </si>
  <si>
    <t>B4-5-B</t>
  </si>
  <si>
    <t>Very Good | Good</t>
  </si>
  <si>
    <t>B5-7-H</t>
  </si>
  <si>
    <t>Test Anaswer | Not Good Site</t>
  </si>
  <si>
    <t>B2-3-E</t>
  </si>
  <si>
    <t>test | test</t>
  </si>
  <si>
    <t>B6-Podium-E</t>
  </si>
  <si>
    <t>B7-3-F</t>
  </si>
  <si>
    <t>A | A</t>
  </si>
  <si>
    <t>B1-1-A</t>
  </si>
  <si>
    <t>Plumbing Test | Not Good Work</t>
  </si>
  <si>
    <t>B11-13-D</t>
  </si>
  <si>
    <t>Very nice | Not upto the mark</t>
  </si>
  <si>
    <t>B10-10-D</t>
  </si>
  <si>
    <t>B9-5-C</t>
  </si>
  <si>
    <t>B1-2-B</t>
  </si>
  <si>
    <t>NA | AN</t>
  </si>
  <si>
    <t>B15-40-H</t>
  </si>
  <si>
    <t>YES | hahhs</t>
  </si>
  <si>
    <t>B14-39-G</t>
  </si>
  <si>
    <t>B6-7-E</t>
  </si>
  <si>
    <t>JAIN GROUP  —  QC TRAINING VIDEO LIBRARY</t>
  </si>
  <si>
    <t>Click any  ▶ Watch  button to open the training video</t>
  </si>
  <si>
    <t>Topic</t>
  </si>
  <si>
    <t>Training Type</t>
  </si>
  <si>
    <t>Video Available</t>
  </si>
  <si>
    <t>Watch</t>
  </si>
  <si>
    <t>Source Sheet</t>
  </si>
  <si>
    <t>Source File</t>
  </si>
  <si>
    <t>Steel</t>
  </si>
  <si>
    <t>Material QA</t>
  </si>
  <si>
    <t>▶  Watch</t>
  </si>
  <si>
    <t>Quality Checklist Materials</t>
  </si>
  <si>
    <t>Quality Checklist with Video Links_____ (1).xlsx</t>
  </si>
  <si>
    <t>Red Bricks</t>
  </si>
  <si>
    <t>AAC Blocks</t>
  </si>
  <si>
    <t>Cement Tests</t>
  </si>
  <si>
    <t>Sieve Tests</t>
  </si>
  <si>
    <t>Sand Zone</t>
  </si>
  <si>
    <t>Aluminium Window</t>
  </si>
  <si>
    <t>Checking of Wood</t>
  </si>
  <si>
    <t>—</t>
  </si>
  <si>
    <t>Tile Waterproof Quality Check</t>
  </si>
  <si>
    <t>Electrical Wire</t>
  </si>
  <si>
    <t>CUBE TESTING</t>
  </si>
  <si>
    <t>Carpet, Built-up &amp; Super Built up as per RERA</t>
  </si>
  <si>
    <t>Process QA</t>
  </si>
  <si>
    <t>General Training</t>
  </si>
  <si>
    <t>Quality Checklist for Processes</t>
  </si>
  <si>
    <t>Plastering</t>
  </si>
  <si>
    <t>Brickwork</t>
  </si>
  <si>
    <t>RCC Columns</t>
  </si>
  <si>
    <t>Wall Dampness</t>
  </si>
  <si>
    <t>DPC</t>
  </si>
  <si>
    <t>Slump Cone Test</t>
  </si>
  <si>
    <t>Cube Test</t>
  </si>
  <si>
    <t>Steel Calculation for Slab</t>
  </si>
  <si>
    <t>DMC Pile Foundation</t>
  </si>
  <si>
    <t>Slab Shuttering to Casting</t>
  </si>
  <si>
    <t>Crack Repair (walls)</t>
  </si>
  <si>
    <t>Wooden Floor</t>
  </si>
  <si>
    <t>Septic Tank</t>
  </si>
  <si>
    <t>UGWR</t>
  </si>
  <si>
    <t>Building Layout</t>
  </si>
  <si>
    <t>Checklist for Concreting Slab</t>
  </si>
  <si>
    <t>Earth Excavation</t>
  </si>
  <si>
    <t>Electrical Earth Pit</t>
  </si>
  <si>
    <t>Electrical Trench</t>
  </si>
  <si>
    <t>External Painting</t>
  </si>
  <si>
    <t>Door shutter Fixing</t>
  </si>
  <si>
    <t>Internal Plaster</t>
  </si>
  <si>
    <t>Road Work</t>
  </si>
  <si>
    <t>Fabrication</t>
  </si>
  <si>
    <t>Swimming Pool</t>
  </si>
  <si>
    <t>Tiles fixing</t>
  </si>
  <si>
    <t>Internal Electrical</t>
  </si>
  <si>
    <t>Putty work</t>
  </si>
  <si>
    <t>Fire Fighting</t>
  </si>
  <si>
    <t>Door Frame Fixing</t>
  </si>
  <si>
    <t>brick construction</t>
  </si>
  <si>
    <t>Waterproofing with nano and conventional</t>
  </si>
  <si>
    <t>Tile Checklist Pre &amp; Post</t>
  </si>
  <si>
    <t>Misc Videos</t>
  </si>
  <si>
    <t>Innovation / Training</t>
  </si>
  <si>
    <t>Innovation &amp; Other Training Vid</t>
  </si>
  <si>
    <t>Project Quality By Mr. Shah (Construction Learning) Part 1</t>
  </si>
  <si>
    <t>Project Quality By Mr. Shah (Construction Learning) Part 2</t>
  </si>
  <si>
    <t>Project Quality By Mr. Shah (Construction Learning) Part 3</t>
  </si>
  <si>
    <t>Project Quality By Mr. Shah (Construction Learning) Part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</si>
</sst>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.0%"/>
  </numFmts>
  <fonts count="32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  <name val="Roboto"/>
    </font>
    <font>
      <u/>
      <color rgb="FF0000FF"/>
      <name val="Roboto"/>
    </font>
    <font>
      <b/>
      <sz val="11.0"/>
      <color rgb="FFFFFFFF"/>
      <name val="Calibri"/>
    </font>
    <font>
      <sz val="11.0"/>
      <color theme="1"/>
      <name val="Calibri"/>
    </font>
    <font>
      <b/>
      <sz val="18.0"/>
      <color rgb="FFFFFFFF"/>
      <name val="Calibri"/>
    </font>
    <font/>
    <font>
      <i/>
      <sz val="10.0"/>
      <color rgb="FFF3C9CB"/>
      <name val="Calibri"/>
    </font>
    <font>
      <b/>
      <sz val="11.0"/>
      <color rgb="FF1B5E20"/>
      <name val="Calibri"/>
    </font>
    <font>
      <b/>
      <sz val="13.0"/>
      <color rgb="FFFFFFFF"/>
      <name val="Calibri"/>
    </font>
    <font>
      <sz val="10.0"/>
      <color rgb="FF2B2B2B"/>
      <name val="Calibri"/>
    </font>
    <font>
      <b/>
      <sz val="10.0"/>
      <color rgb="FF2B2B2B"/>
      <name val="Calibri"/>
    </font>
    <font>
      <i/>
      <sz val="10.0"/>
      <color rgb="FF2B2B2B"/>
      <name val="Calibri"/>
    </font>
    <font>
      <b/>
      <sz val="26.0"/>
      <color rgb="FFFFFFFF"/>
      <name val="Calibri"/>
    </font>
    <font>
      <b/>
      <sz val="12.0"/>
      <color rgb="FFFFFFFF"/>
      <name val="Calibri"/>
    </font>
    <font>
      <i/>
      <sz val="9.0"/>
      <color rgb="FFF3C9CB"/>
      <name val="Calibri"/>
    </font>
    <font>
      <sz val="11.0"/>
      <color rgb="FF2B2B2B"/>
      <name val="Calibri"/>
    </font>
    <font>
      <b/>
      <sz val="9.0"/>
      <color rgb="FFFFFFFF"/>
      <name val="Calibri"/>
    </font>
    <font>
      <b/>
      <sz val="22.0"/>
      <color rgb="FFFFFFFF"/>
      <name val="Calibri"/>
    </font>
    <font>
      <b/>
      <sz val="10.0"/>
      <color rgb="FF8E1D22"/>
      <name val="Calibri"/>
    </font>
    <font>
      <b/>
      <sz val="11.0"/>
      <color rgb="FF2B2B2B"/>
      <name val="Calibri"/>
    </font>
    <font>
      <b/>
      <sz val="9.0"/>
      <color rgb="FF8E1D22"/>
      <name val="Calibri"/>
    </font>
    <font>
      <b/>
      <sz val="16.0"/>
      <color rgb="FF2B2B2B"/>
      <name val="Calibri"/>
    </font>
    <font>
      <sz val="9.0"/>
      <color rgb="FF2B2B2B"/>
      <name val="Calibri"/>
    </font>
    <font>
      <b/>
      <u/>
      <sz val="9.0"/>
      <color rgb="FF8E1D22"/>
      <name val="Calibri"/>
    </font>
    <font>
      <b/>
      <u/>
      <sz val="9.0"/>
      <color rgb="FF8E1D22"/>
      <name val="Calibri"/>
    </font>
    <font>
      <i/>
      <sz val="8.0"/>
      <color rgb="FF6B6B6B"/>
      <name val="Calibri"/>
    </font>
    <font>
      <b/>
      <u/>
      <sz val="10.0"/>
      <color rgb="FFC0272D"/>
      <name val="Calibri"/>
    </font>
    <font>
      <b/>
      <sz val="16.0"/>
      <color rgb="FFFFFFFF"/>
      <name val="Calibri"/>
    </font>
    <font>
      <i/>
      <sz val="10.0"/>
      <color rgb="FFFFFFFF"/>
      <name val="Calibri"/>
    </font>
    <font>
      <sz val="10.0"/>
      <color rgb="FF6B6B6B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0272D"/>
        <bgColor rgb="FFC0272D"/>
      </patternFill>
    </fill>
    <fill>
      <patternFill patternType="solid">
        <fgColor rgb="FF8E1D22"/>
        <bgColor rgb="FF8E1D22"/>
      </patternFill>
    </fill>
    <fill>
      <patternFill patternType="solid">
        <fgColor rgb="FFE8F5E9"/>
        <bgColor rgb="FFE8F5E9"/>
      </patternFill>
    </fill>
    <fill>
      <patternFill patternType="solid">
        <fgColor rgb="FF0E7C7B"/>
        <bgColor rgb="FF0E7C7B"/>
      </patternFill>
    </fill>
    <fill>
      <patternFill patternType="solid">
        <fgColor rgb="FF1F4E78"/>
        <bgColor rgb="FF1F4E78"/>
      </patternFill>
    </fill>
    <fill>
      <patternFill patternType="solid">
        <fgColor rgb="FF1B5E20"/>
        <bgColor rgb="FF1B5E20"/>
      </patternFill>
    </fill>
    <fill>
      <patternFill patternType="solid">
        <fgColor rgb="FFB71C1C"/>
        <bgColor rgb="FFB71C1C"/>
      </patternFill>
    </fill>
    <fill>
      <patternFill patternType="solid">
        <fgColor rgb="FF8A6100"/>
        <bgColor rgb="FF8A6100"/>
      </patternFill>
    </fill>
    <fill>
      <patternFill patternType="solid">
        <fgColor rgb="FFFFF8E1"/>
        <bgColor rgb="FFFFF8E1"/>
      </patternFill>
    </fill>
    <fill>
      <patternFill patternType="solid">
        <fgColor rgb="FFF8DDDF"/>
        <bgColor rgb="FFF8DDDF"/>
      </patternFill>
    </fill>
    <fill>
      <patternFill patternType="solid">
        <fgColor rgb="FFFFFFFF"/>
        <bgColor rgb="FFFFFFFF"/>
      </patternFill>
    </fill>
    <fill>
      <patternFill patternType="solid">
        <fgColor rgb="FFFCF4F5"/>
        <bgColor rgb="FFFCF4F5"/>
      </patternFill>
    </fill>
    <fill>
      <patternFill patternType="solid">
        <fgColor rgb="FF6B6B6B"/>
        <bgColor rgb="FF6B6B6B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 style="thin">
        <color rgb="FFD9C5C7"/>
      </left>
      <top style="thin">
        <color rgb="FFD9C5C7"/>
      </top>
      <bottom style="thin">
        <color rgb="FFD9C5C7"/>
      </bottom>
    </border>
    <border>
      <right style="thin">
        <color rgb="FFD9C5C7"/>
      </right>
      <top style="thin">
        <color rgb="FFD9C5C7"/>
      </top>
      <bottom style="thin">
        <color rgb="FFD9C5C7"/>
      </bottom>
    </border>
    <border>
      <bottom/>
    </border>
    <border>
      <top style="thin">
        <color rgb="FFD9C5C7"/>
      </top>
      <bottom style="thin">
        <color rgb="FFD9C5C7"/>
      </bottom>
    </border>
    <border>
      <left style="thin">
        <color rgb="FFD9C5C7"/>
      </left>
      <right style="thin">
        <color rgb="FFD9C5C7"/>
      </right>
      <top style="thin">
        <color rgb="FFD9C5C7"/>
      </top>
      <bottom style="thin">
        <color rgb="FFD9C5C7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2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2" fillId="3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ill="1" applyFont="1">
      <alignment horizontal="left" shrinkToFit="0" vertical="top" wrapText="1"/>
    </xf>
    <xf borderId="1" fillId="5" fontId="10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left" shrinkToFit="0" vertical="top" wrapText="1"/>
    </xf>
    <xf borderId="1" fillId="2" fontId="10" numFmtId="0" xfId="0" applyAlignment="1" applyBorder="1" applyFont="1">
      <alignment horizontal="left" vertical="center"/>
    </xf>
    <xf borderId="0" fillId="0" fontId="12" numFmtId="0" xfId="0" applyAlignment="1" applyFont="1">
      <alignment horizontal="left" shrinkToFit="0" vertical="top" wrapText="1"/>
    </xf>
    <xf borderId="1" fillId="6" fontId="10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left" shrinkToFit="0" vertical="top" wrapText="1"/>
    </xf>
    <xf borderId="1" fillId="3" fontId="10" numFmtId="0" xfId="0" applyAlignment="1" applyBorder="1" applyFont="1">
      <alignment horizontal="left" vertical="center"/>
    </xf>
    <xf borderId="2" fillId="2" fontId="14" numFmtId="0" xfId="0" applyAlignment="1" applyBorder="1" applyFont="1">
      <alignment horizontal="center" shrinkToFit="0" vertical="center" wrapText="1"/>
    </xf>
    <xf borderId="2" fillId="3" fontId="15" numFmtId="0" xfId="0" applyAlignment="1" applyBorder="1" applyFont="1">
      <alignment horizontal="center" shrinkToFit="0" vertical="center" wrapText="1"/>
    </xf>
    <xf borderId="2" fillId="3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bottom"/>
    </xf>
    <xf borderId="2" fillId="2" fontId="18" numFmtId="0" xfId="0" applyAlignment="1" applyBorder="1" applyFont="1">
      <alignment horizontal="center" shrinkToFit="0" vertical="center" wrapText="1"/>
    </xf>
    <xf borderId="2" fillId="7" fontId="18" numFmtId="0" xfId="0" applyAlignment="1" applyBorder="1" applyFill="1" applyFont="1">
      <alignment horizontal="center" shrinkToFit="0" vertical="center" wrapText="1"/>
    </xf>
    <xf borderId="2" fillId="8" fontId="18" numFmtId="0" xfId="0" applyAlignment="1" applyBorder="1" applyFill="1" applyFont="1">
      <alignment horizontal="center" shrinkToFit="0" vertical="center" wrapText="1"/>
    </xf>
    <xf borderId="2" fillId="6" fontId="18" numFmtId="0" xfId="0" applyAlignment="1" applyBorder="1" applyFont="1">
      <alignment horizontal="center" shrinkToFit="0" vertical="center" wrapText="1"/>
    </xf>
    <xf borderId="2" fillId="5" fontId="18" numFmtId="0" xfId="0" applyAlignment="1" applyBorder="1" applyFont="1">
      <alignment horizontal="center" shrinkToFit="0" vertical="center" wrapText="1"/>
    </xf>
    <xf borderId="2" fillId="9" fontId="18" numFmtId="0" xfId="0" applyAlignment="1" applyBorder="1" applyFill="1" applyFont="1">
      <alignment horizontal="center" shrinkToFit="0" vertical="center" wrapText="1"/>
    </xf>
    <xf borderId="5" fillId="2" fontId="19" numFmtId="1" xfId="0" applyAlignment="1" applyBorder="1" applyFont="1" applyNumberFormat="1">
      <alignment horizontal="center" shrinkToFit="0" vertical="center" wrapText="1"/>
    </xf>
    <xf borderId="6" fillId="0" fontId="7" numFmtId="0" xfId="0" applyBorder="1" applyFont="1"/>
    <xf borderId="5" fillId="7" fontId="19" numFmtId="1" xfId="0" applyAlignment="1" applyBorder="1" applyFont="1" applyNumberFormat="1">
      <alignment horizontal="center" shrinkToFit="0" vertical="center" wrapText="1"/>
    </xf>
    <xf borderId="5" fillId="8" fontId="19" numFmtId="1" xfId="0" applyAlignment="1" applyBorder="1" applyFont="1" applyNumberFormat="1">
      <alignment horizontal="center" shrinkToFit="0" vertical="center" wrapText="1"/>
    </xf>
    <xf borderId="5" fillId="6" fontId="19" numFmtId="1" xfId="0" applyAlignment="1" applyBorder="1" applyFont="1" applyNumberFormat="1">
      <alignment horizontal="center" shrinkToFit="0" vertical="center" wrapText="1"/>
    </xf>
    <xf borderId="5" fillId="5" fontId="19" numFmtId="1" xfId="0" applyAlignment="1" applyBorder="1" applyFont="1" applyNumberFormat="1">
      <alignment horizontal="center" shrinkToFit="0" vertical="center" wrapText="1"/>
    </xf>
    <xf borderId="5" fillId="9" fontId="19" numFmtId="165" xfId="0" applyAlignment="1" applyBorder="1" applyFont="1" applyNumberForma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2" fillId="2" fontId="15" numFmtId="0" xfId="0" applyAlignment="1" applyBorder="1" applyFont="1">
      <alignment horizontal="left" vertical="center"/>
    </xf>
    <xf borderId="0" fillId="0" fontId="20" numFmtId="1" xfId="0" applyAlignment="1" applyFont="1" applyNumberFormat="1">
      <alignment horizontal="left" shrinkToFit="0" vertical="center" wrapText="1"/>
    </xf>
    <xf borderId="0" fillId="0" fontId="17" numFmtId="1" xfId="0" applyAlignment="1" applyFont="1" applyNumberFormat="1">
      <alignment vertical="bottom"/>
    </xf>
    <xf borderId="0" fillId="0" fontId="20" numFmtId="0" xfId="0" applyAlignment="1" applyFont="1">
      <alignment horizontal="left" shrinkToFit="0" vertical="center" wrapText="1"/>
    </xf>
    <xf borderId="0" fillId="0" fontId="17" numFmtId="165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9" fillId="10" fontId="21" numFmtId="0" xfId="0" applyAlignment="1" applyBorder="1" applyFill="1" applyFont="1">
      <alignment horizontal="center" readingOrder="0" shrinkToFit="0" wrapText="1"/>
    </xf>
    <xf borderId="10" fillId="0" fontId="7" numFmtId="0" xfId="0" applyBorder="1" applyFont="1"/>
    <xf borderId="2" fillId="11" fontId="22" numFmtId="0" xfId="0" applyAlignment="1" applyBorder="1" applyFill="1" applyFont="1">
      <alignment horizontal="center" shrinkToFit="0" vertical="center" wrapText="1"/>
    </xf>
    <xf borderId="7" fillId="11" fontId="22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9" fillId="12" fontId="23" numFmtId="1" xfId="0" applyAlignment="1" applyBorder="1" applyFill="1" applyFont="1" applyNumberFormat="1">
      <alignment horizontal="center" shrinkToFit="0" vertical="center" wrapText="1"/>
    </xf>
    <xf borderId="9" fillId="12" fontId="23" numFmtId="165" xfId="0" applyAlignment="1" applyBorder="1" applyFont="1" applyNumberFormat="1">
      <alignment horizontal="center" shrinkToFit="0" vertical="center" wrapText="1"/>
    </xf>
    <xf borderId="12" fillId="0" fontId="7" numFmtId="0" xfId="0" applyBorder="1" applyFont="1"/>
    <xf borderId="2" fillId="2" fontId="4" numFmtId="0" xfId="0" applyAlignment="1" applyBorder="1" applyFont="1">
      <alignment horizontal="left" vertical="center"/>
    </xf>
    <xf borderId="13" fillId="3" fontId="18" numFmtId="0" xfId="0" applyAlignment="1" applyBorder="1" applyFont="1">
      <alignment horizontal="center" shrinkToFit="0" vertical="center" wrapText="1"/>
    </xf>
    <xf borderId="9" fillId="3" fontId="18" numFmtId="0" xfId="0" applyAlignment="1" applyBorder="1" applyFont="1">
      <alignment horizontal="center" shrinkToFit="0" vertical="center" wrapText="1"/>
    </xf>
    <xf borderId="13" fillId="0" fontId="24" numFmtId="0" xfId="0" applyAlignment="1" applyBorder="1" applyFont="1">
      <alignment horizontal="center" shrinkToFit="0" vertical="center" wrapText="1"/>
    </xf>
    <xf borderId="13" fillId="0" fontId="24" numFmtId="165" xfId="0" applyAlignment="1" applyBorder="1" applyFont="1" applyNumberFormat="1">
      <alignment horizontal="center" shrinkToFit="0" vertical="center" wrapText="1"/>
    </xf>
    <xf borderId="9" fillId="0" fontId="24" numFmtId="0" xfId="0" applyAlignment="1" applyBorder="1" applyFont="1">
      <alignment horizontal="left" shrinkToFit="0" vertical="center" wrapText="1"/>
    </xf>
    <xf borderId="13" fillId="13" fontId="24" numFmtId="0" xfId="0" applyAlignment="1" applyBorder="1" applyFill="1" applyFont="1">
      <alignment horizontal="center" shrinkToFit="0" vertical="center" wrapText="1"/>
    </xf>
    <xf borderId="13" fillId="13" fontId="24" numFmtId="165" xfId="0" applyAlignment="1" applyBorder="1" applyFont="1" applyNumberFormat="1">
      <alignment horizontal="center" shrinkToFit="0" vertical="center" wrapText="1"/>
    </xf>
    <xf borderId="9" fillId="13" fontId="24" numFmtId="0" xfId="0" applyAlignment="1" applyBorder="1" applyFont="1">
      <alignment horizontal="left" shrinkToFit="0" vertical="center" wrapText="1"/>
    </xf>
    <xf borderId="13" fillId="13" fontId="11" numFmtId="0" xfId="0" applyAlignment="1" applyBorder="1" applyFont="1">
      <alignment horizontal="center" shrinkToFit="0" vertical="center" wrapText="1"/>
    </xf>
    <xf borderId="2" fillId="8" fontId="4" numFmtId="0" xfId="0" applyAlignment="1" applyBorder="1" applyFont="1">
      <alignment horizontal="left" vertical="center"/>
    </xf>
    <xf borderId="0" fillId="0" fontId="18" numFmtId="0" xfId="0" applyAlignment="1" applyFont="1">
      <alignment horizontal="center" shrinkToFit="0" vertical="center" wrapText="1"/>
    </xf>
    <xf borderId="0" fillId="0" fontId="24" numFmtId="0" xfId="0" applyAlignment="1" applyFont="1">
      <alignment vertical="bottom"/>
    </xf>
    <xf borderId="9" fillId="11" fontId="25" numFmtId="0" xfId="0" applyAlignment="1" applyBorder="1" applyFont="1">
      <alignment horizontal="center" readingOrder="0" shrinkToFit="0" vertical="center" wrapText="1"/>
    </xf>
    <xf borderId="9" fillId="11" fontId="26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13" fontId="11" numFmtId="0" xfId="0" applyAlignment="1" applyBorder="1" applyFont="1">
      <alignment horizontal="center" readingOrder="0" shrinkToFit="0" vertical="center" wrapText="1"/>
    </xf>
    <xf borderId="13" fillId="13" fontId="11" numFmtId="0" xfId="0" applyAlignment="1" applyBorder="1" applyFont="1">
      <alignment horizontal="left" shrinkToFit="0" vertical="top" wrapText="1"/>
    </xf>
    <xf borderId="13" fillId="13" fontId="27" numFmtId="0" xfId="0" applyAlignment="1" applyBorder="1" applyFont="1">
      <alignment horizontal="left" shrinkToFit="0" vertical="top" wrapText="1"/>
    </xf>
    <xf borderId="13" fillId="12" fontId="11" numFmtId="0" xfId="0" applyAlignment="1" applyBorder="1" applyFont="1">
      <alignment horizontal="center" shrinkToFit="0" vertical="center" wrapText="1"/>
    </xf>
    <xf borderId="13" fillId="12" fontId="11" numFmtId="0" xfId="0" applyAlignment="1" applyBorder="1" applyFont="1">
      <alignment horizontal="left" shrinkToFit="0" vertical="top" wrapText="1"/>
    </xf>
    <xf borderId="13" fillId="11" fontId="28" numFmtId="0" xfId="0" applyAlignment="1" applyBorder="1" applyFont="1">
      <alignment horizontal="center" shrinkToFit="0" vertical="center" wrapText="1"/>
    </xf>
    <xf borderId="13" fillId="12" fontId="27" numFmtId="0" xfId="0" applyAlignment="1" applyBorder="1" applyFont="1">
      <alignment horizontal="left" shrinkToFit="0" vertical="top" wrapText="1"/>
    </xf>
    <xf borderId="13" fillId="14" fontId="4" numFmtId="0" xfId="0" applyAlignment="1" applyBorder="1" applyFill="1" applyFont="1">
      <alignment horizontal="center" shrinkToFit="0" vertical="center" wrapText="1"/>
    </xf>
    <xf borderId="0" fillId="0" fontId="5" numFmtId="1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2" fillId="2" fontId="29" numFmtId="0" xfId="0" applyAlignment="1" applyBorder="1" applyFont="1">
      <alignment horizontal="center" shrinkToFit="0" vertical="center" wrapText="1"/>
    </xf>
    <xf borderId="2" fillId="3" fontId="30" numFmtId="0" xfId="0" applyAlignment="1" applyBorder="1" applyFont="1">
      <alignment horizontal="center" shrinkToFit="0" vertical="center" wrapText="1"/>
    </xf>
    <xf borderId="13" fillId="12" fontId="11" numFmtId="0" xfId="0" applyAlignment="1" applyBorder="1" applyFont="1">
      <alignment horizontal="left" shrinkToFit="0" vertical="center" wrapText="1"/>
    </xf>
    <xf borderId="13" fillId="12" fontId="27" numFmtId="0" xfId="0" applyAlignment="1" applyBorder="1" applyFont="1">
      <alignment horizontal="left" shrinkToFit="0" vertical="center" wrapText="1"/>
    </xf>
    <xf borderId="13" fillId="13" fontId="11" numFmtId="0" xfId="0" applyAlignment="1" applyBorder="1" applyFont="1">
      <alignment horizontal="left" shrinkToFit="0" vertical="center" wrapText="1"/>
    </xf>
    <xf borderId="13" fillId="13" fontId="27" numFmtId="0" xfId="0" applyAlignment="1" applyBorder="1" applyFont="1">
      <alignment horizontal="left" shrinkToFit="0" vertical="center" wrapText="1"/>
    </xf>
    <xf borderId="13" fillId="13" fontId="31" numFmtId="0" xfId="0" applyAlignment="1" applyBorder="1" applyFont="1">
      <alignment horizontal="center" shrinkToFit="0" vertical="center" wrapText="1"/>
    </xf>
    <xf borderId="13" fillId="12" fontId="3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/>
        <sz val="10.0"/>
        <color rgb="FFB71C1C"/>
        <name val="Calibri"/>
      </font>
      <fill>
        <patternFill patternType="solid">
          <fgColor rgb="FFFFC9CC"/>
          <bgColor rgb="FFFFC9CC"/>
        </patternFill>
      </fill>
      <border/>
    </dxf>
    <dxf>
      <font>
        <b/>
        <sz val="9.0"/>
        <color rgb="FFB71C1C"/>
        <name val="Calibri"/>
      </font>
      <fill>
        <patternFill patternType="solid">
          <fgColor rgb="FFFFC9CC"/>
          <bgColor rgb="FFFFC9C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1B5E20"/>
        <name val="Calibri"/>
      </font>
      <fill>
        <patternFill patternType="solid">
          <fgColor rgb="FFC8E6C9"/>
          <bgColor rgb="FFC8E6C9"/>
        </patternFill>
      </fill>
      <border/>
    </dxf>
    <dxf>
      <font>
        <b/>
        <sz val="10.0"/>
        <color rgb="FF8A6100"/>
        <name val="Calibri"/>
      </font>
      <fill>
        <patternFill patternType="solid">
          <fgColor rgb="FFFFE6A8"/>
          <bgColor rgb="FFFFE6A8"/>
        </patternFill>
      </fill>
      <border/>
    </dxf>
    <dxf>
      <font>
        <b/>
        <sz val="10.0"/>
        <color rgb="FF5A5A5A"/>
        <name val="Calibri"/>
      </font>
      <fill>
        <patternFill patternType="solid">
          <fgColor rgb="FFE2E2E2"/>
          <bgColor rgb="FFE2E2E2"/>
        </patternFill>
      </fill>
      <border/>
    </dxf>
    <dxf>
      <font/>
      <fill>
        <patternFill patternType="solid">
          <fgColor rgb="FFFCE3E4"/>
          <bgColor rgb="FFFCE3E4"/>
        </patternFill>
      </fill>
      <border/>
    </dxf>
    <dxf>
      <font/>
      <fill>
        <patternFill patternType="solid">
          <fgColor rgb="FFFFD9A8"/>
          <bgColor rgb="FFFFD9A8"/>
        </patternFill>
      </fill>
      <border/>
    </dxf>
    <dxf>
      <font>
        <b/>
        <sz val="10.0"/>
        <color rgb="FF6B6B6B"/>
        <name val="Calibri"/>
      </font>
      <fill>
        <patternFill patternType="solid">
          <fgColor rgb="FFE2E2E2"/>
          <bgColor rgb="FFE2E2E2"/>
        </patternFill>
      </fill>
      <border/>
    </dxf>
  </dxfs>
  <tableStyles count="1">
    <tableStyle count="4" pivot="0" name="Form Responses 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S16" displayName="Form_Responses6" name="Form_Responses6" id="1">
  <tableColumns count="331">
    <tableColumn name="Timestamp" id="1"/>
    <tableColumn name="Inspector Name" id="2"/>
    <tableColumn name="Block" id="3"/>
    <tableColumn name="Floor" id="4"/>
    <tableColumn name="Flat" id="5"/>
    <tableColumn name="Work Category" id="6"/>
    <tableColumn name="RCC Work || Checklist [RCC-001 — Dimensions: length, breadth, depth as per drawing.]" id="7"/>
    <tableColumn name="RCC Work || Checklist [RCC-002 — Check is the bar bending schedule is prepared and approved by the site Engineer.]" id="8"/>
    <tableColumn name="RCC Work || Checklist [RCC-003 — Check for correct cutting &amp; bending of bars as per approved BBS.]" id="9"/>
    <tableColumn name="RCC Work || Checklist [RCC-004 — Check bar diameter, shapes of bar, dimension of bars &amp; number of bars as per BBS.]" id="10"/>
    <tableColumn name="RCC Work || Checklist [RCC-005 — Check identification tags is attached.]" id="11"/>
    <tableColumn name="RCC Work || Checklist [RCC-006 — Check for cleanliness of bars from any oil, grease, soil &amp; rust.]" id="12"/>
    <tableColumn name="RCC Work || Checklist [RCC-007 — Check for satisfactory tying of reinforcement with binding wire.]" id="13"/>
    <tableColumn name="RCC Work || Checklist [RCC-008 — Check for location of service conduits.]" id="14"/>
    <tableColumn name="RCC Work || Checklist [RCC-009 — Check for readiness of reinforcement for release for concreting.]" id="15"/>
    <tableColumn name="RCC Work || Checklist [RCC-010 — Slump test at pour location.]" id="16"/>
    <tableColumn name="RCC Work || Checklist [RCC-011 — Is continuous flow of concrete ensured.]" id="17"/>
    <tableColumn name="RCC Work || Checklist [RCC-012 — Check for transportation &amp; placement of concrete. Is it ok?]" id="18"/>
    <tableColumn name="RCC Work || Checklist [RCC-013 — Check whether vibration being done till concrete packs tightly against all surface, reinforcement and embed...]" id="19"/>
    <tableColumn name="RCC Work || Checklist [RCC-014 — Is blending of concrete poured in separated layers being ensured?]" id="20"/>
    <tableColumn name="RCC Work || Checklist [RCC-015 — Is concrete consumed within initial setting time of cement.]" id="21"/>
    <tableColumn name="RCC Work || Checklist [RCC-016 — Check for positions of construction joint. Is it ok?]" id="22"/>
    <tableColumn name="RCC Work || Checklist [RCC-017 — Check for leveling and finishing of concrete surface.]" id="23"/>
    <tableColumn name="RCC Work || Checklist [RCC-018 — Check the quantity of concrete of poured match with theoretical qty.]" id="24"/>
    <tableColumn name="RCC Work || Checklist [RCC-019 — Check the start time and end time of concreting.]" id="25"/>
    <tableColumn name="RCC Work || Checklist [RCC-020 — Cube samples cast (6 numbers / 50 m³).]" id="26"/>
    <tableColumn name="RCC Work || Checklist [RCC-021 — Shuttering material (ply / steel) condition.]" id="27"/>
    <tableColumn name="RCC Work || Checklist [RCC-022 — Line, level &amp; plumb of formwork.]" id="28"/>
    <tableColumn name="RCC Work || Checklist [RCC-023 — Props, bracing &amp; supports adequacy.]" id="29"/>
    <tableColumn name="RCC Work || Checklist [RCC-024 — Cleaning of formwork (no debris, dust, water).]" id="30"/>
    <tableColumn name="RCC Work || Checklist [RCC-025 — Shuttering oil / release agent application.]" id="31"/>
    <tableColumn name="RCC Work || Checklist [RCC-026 — Joints sealed (no slurry leakage points).]" id="32"/>
    <tableColumn name="RCC Work || Checklist [RCC-027 — Steel grade &amp; make verification (TMT Fe-500/550D).]" id="33"/>
    <tableColumn name="RCC Work || Checklist [RCC-028 — Bar diameter, number &amp; spacing as per BBS.]" id="34"/>
    <tableColumn name="RCC Work || Checklist [RCC-029 — Lap length &amp; lap location.]" id="35"/>
    <tableColumn name="RCC Work || Checklist [RCC-030 — Cover blocks (cement / PVC) — type, size, spacing.]" id="36"/>
    <tableColumn name="RCC Work || Checklist [RCC-031 — Clear cover provided.]" id="37"/>
    <tableColumn name="RCC Work || Checklist [RCC-032 — Hooks, bends, stirrups &amp; ties.]" id="38"/>
    <tableColumn name="RCC Work || Checklist [RCC-033 — Chair bars in two-way reinforcement.]" id="39"/>
    <tableColumn name="RCC Work || Checklist [RCC-034 — Binding wire — coverage &amp; tightness.]" id="40"/>
    <tableColumn name="RCC Work || Checklist [RCC-035 — Free of oil, mud, loose rust, paint.]" id="41"/>
    <tableColumn name="RCC Work || Checklist [RCC-036 — Electrical / plumbing conduits &amp; sleeves in place.]" id="42"/>
    <tableColumn name="RCC Work || Checklist [RCC-037 — Box-outs, pockets, inserts for fixtures.]" id="43"/>
    <tableColumn name="RCC Work || Checklist [RCC-038 — Construction joint preparation (laitance removed).]" id="44"/>
    <tableColumn name="RCC Work || Checklist [RCC-039 — Concrete grade &amp; mix verification.]" id="45"/>
    <tableColumn name="RCC Work || Checklist [RCC-040 — Pour sequence &amp; layering thickness.]" id="46"/>
    <tableColumn name="RCC Work || Checklist [RCC-041 — Vibration — needle / external.]" id="47"/>
    <tableColumn name="RCC Work || Checklist [RCC-042 — Free fall height of concrete.]" id="48"/>
    <tableColumn name="RCC Work || Checklist [RCC-043 — Top finishing — level, screeding, floating.]" id="49"/>
    <tableColumn name="RCC Work || Checklist [RCC-044 — Weather conditions monitored (temp/rain).]" id="50"/>
    <tableColumn name="RCC Work || Checklist [RCC-045 — Curing started within 6–12 hrs.]" id="51"/>
    <tableColumn name="RCC Work || Checklist [RCC-046 — Shuttering striking time observed.]" id="52"/>
    <tableColumn name="RCC Work || Checklist [RCC-047 — Surface inspection — honeycomb, voids, cracks.]" id="53"/>
    <tableColumn name="Section Remarks  [RCC Work]" id="54"/>
    <tableColumn name="Masonry Work || Checklist [MAS-001 — Check is the Drawing, Specification &amp; method statement approved by the consultant.]" id="55"/>
    <tableColumn name="Masonry Work || Checklist [MAS-002 — Check whether type and material for Masonry work has been decided.]" id="56"/>
    <tableColumn name="Masonry Work || Checklist [MAS-003 — Check for availability of material as per the daily requirement.]" id="57"/>
    <tableColumn name="Masonry Work || Checklist [MAS-004 — Check is the area clean of loose material and concrete.]" id="58"/>
    <tableColumn name="Masonry Work || Checklist [MAS-005 — Check for proper staking of bricks / AAC block.]" id="59"/>
    <tableColumn name="Masonry Work || Checklist [MAS-006 — Check for quality of brick, cement &amp; Sand.]" id="60"/>
    <tableColumn name="Masonry Work || Checklist [MAS-007 — Check for wetting of bricks.]" id="61"/>
    <tableColumn name="Masonry Work || Checklist [MAS-008 — Check for the proportion of mortar mixing ratio.]" id="62"/>
    <tableColumn name="Masonry Work || Checklist [MAS-009 — Check for size of doors and window opening.]" id="63"/>
    <tableColumn name="Masonry Work || Checklist [MAS-010 — Check for margins left for plastering jobs.]" id="64"/>
    <tableColumn name="Masonry Work || Checklist [MAS-011 — Check for dry mixing on hard and clean surface before adding water to mix proportion of mortar.]" id="65"/>
    <tableColumn name="Masonry Work || Checklist [MAS-012 — Check for plumb, line &amp; level.]" id="66"/>
    <tableColumn name="Masonry Work || Checklist [MAS-013 — Check for cleaning area for dead mortar and brick bat to location of disposal.]" id="67"/>
    <tableColumn name="Masonry Work || Checklist [MAS-014 — Check for raking of joints to received plaster/ pointing both side of the wall.]" id="68"/>
    <tableColumn name="Masonry Work || Checklist [MAS-015 — Check for curing arrangements.]" id="69"/>
    <tableColumn name="Masonry Work || Checklist [MAS-016 — Check for defects if any urgently rectification required.]" id="70"/>
    <tableColumn name="Section Remarks  [Masonry Work]" id="71"/>
    <tableColumn name="Excavation &amp; Earthwork || Checklist [EXC-001 — Check whether soil investigation report/drawing studied by concerned Consultant.]" id="72"/>
    <tableColumn name="Excavation &amp; Earthwork || Checklist [EXC-002 — Is excavation plan approved by Engineer/Consultant.]" id="73"/>
    <tableColumn name="Excavation &amp; Earthwork || Checklist [EXC-003 — Check the layout, Alignment and size of excavation marked on the ground as per excavation plan.]" id="74"/>
    <tableColumn name="Excavation &amp; Earthwork || Checklist [EXC-004 — Check Is there any underground utilities like sewers,water pipeline, cable etc is exist.]" id="75"/>
    <tableColumn name="Excavation &amp; Earthwork || Checklist [EXC-005 — Check the area on excavation is clean &amp; clear of bushes, vegetation &amp; tree.]" id="76"/>
    <tableColumn name="Excavation &amp; Earthwork || Checklist [EXC-006 — Check whether the excavated pit are adequately shored/timbered/safe slopes provided.]" id="77"/>
    <tableColumn name="Excavation &amp; Earthwork || Checklist [EXC-007 — Check where barricading &amp; Caution signs are provided for deep excavation.]" id="78"/>
    <tableColumn name="Excavation &amp; Earthwork || Checklist [EXC-008 — Check whether excavated material is kept away at least 1.5 mtr from the edge of the pit.]" id="79"/>
    <tableColumn name="Excavation &amp; Earthwork || Checklist [EXC-009 — Make sure to keep away heavy equipment atleast 6.00 mtr from the pit.]" id="80"/>
    <tableColumn name="Excavation &amp; Earthwork || Checklist [EXC-010 — Check lighting arrangement are adequate during night work.]" id="81"/>
    <tableColumn name="Excavation &amp; Earthwork || Checklist [EXC-011 — Check the dewatering arrangement is available in case of pit is water logged.]" id="82"/>
    <tableColumn name="Section Remarks  [Excavation &amp; Earthwork]" id="83"/>
    <tableColumn name="Plaster &amp; Waterproofing || Checklist [PLW-001 — Substrate cleaned of dust, oil, loose particles.]" id="84"/>
    <tableColumn name="Plaster &amp; Waterproofing || Checklist [PLW-002 — Hacking of concrete surfaces (RCC / shear walls).]" id="85"/>
    <tableColumn name="Plaster &amp; Waterproofing || Checklist [PLW-003 — Surface thoroughly wetted before plaster.]" id="86"/>
    <tableColumn name="Plaster &amp; Waterproofing || Checklist [PLW-004 — Chicken wire mesh at RCC–masonry junctions.]" id="87"/>
    <tableColumn name="Plaster &amp; Waterproofing || Checklist [PLW-005 — All MEP chases filled, conduits secured &amp; netted.]" id="88"/>
    <tableColumn name="Plaster &amp; Waterproofing || Checklist [PLW-006 — Level pads / dots &amp; screeds (gauges) installed.]" id="89"/>
    <tableColumn name="Plaster &amp; Waterproofing || Checklist [PLW-007 — Cement — brand &amp; grade.]" id="90"/>
    <tableColumn name="Plaster &amp; Waterproofing || Checklist [PLW-008 — Sand — zone, silt content, washing.]" id="91"/>
    <tableColumn name="Plaster &amp; Waterproofing || Checklist [PLW-009 — Water — potable, clean.]" id="92"/>
    <tableColumn name="Plaster &amp; Waterproofing || Checklist [PLW-010 — Mix proportion as specified.]" id="93"/>
    <tableColumn name="Plaster &amp; Waterproofing || Checklist [PLW-011 — Waterproofing admixture in external plaster.]" id="94"/>
    <tableColumn name="Plaster &amp; Waterproofing || Checklist [PLW-012 — Plaster thickness.]" id="95"/>
    <tableColumn name="Plaster &amp; Waterproofing || Checklist [PLW-013 — Plumb, line &amp; level (3m straight edge).]" id="96"/>
    <tableColumn name="Plaster &amp; Waterproofing || Checklist [PLW-014 — Corners — sharp, true, with chamfer/groove if specified.]" id="97"/>
    <tableColumn name="Plaster &amp; Waterproofing || Checklist [PLW-015 — Finish — smooth, no undulations, no cracks.]" id="98"/>
    <tableColumn name="Plaster &amp; Waterproofing || Checklist [PLW-016 — Plaster in 2 coats (base + finish).]" id="99"/>
    <tableColumn name="Plaster &amp; Waterproofing || Checklist [PLW-017 — Grooves at slab/wall junction &amp; at intervals.]" id="100"/>
    <tableColumn name="Plaster &amp; Waterproofing || Checklist [PLW-018 — Drip mould below projections / sunshade.]" id="101"/>
    <tableColumn name="Plaster &amp; Waterproofing || Checklist [PLW-019 — Bands &amp; architectural features as per elevation.]" id="102"/>
    <tableColumn name="Plaster &amp; Waterproofing || Checklist [PLW-020 — Curing — minimum 7 days continuous.]" id="103"/>
    <tableColumn name="Plaster &amp; Waterproofing || Checklist [PLW-021 — Hollow sound check on cured plaster.]" id="104"/>
    <tableColumn name="Plaster &amp; Waterproofing || Checklist [PLW-022 — Shrinkage / surface cracks.]" id="105"/>
    <tableColumn name="Plaster &amp; Waterproofing || Checklist [PLW-023 — Joints between old &amp; new plaster.]" id="106"/>
    <tableColumn name="Section Remarks  [Plaster &amp; Waterproofing]" id="107"/>
    <tableColumn name="Tile Work || Checklist [TIL-001 — Base / screed level &amp; slope.]" id="108"/>
    <tableColumn name="Tile Work || Checklist [TIL-002 — Waterproofing completed &amp; tested (wet areas).]" id="109"/>
    <tableColumn name="Tile Work || Checklist [TIL-003 — Substrate clean, dry, free of curing compound.]" id="110"/>
    <tableColumn name="Tile Work || Checklist [TIL-004 — Tile inspection — size, color, lot, shade match.]" id="111"/>
    <tableColumn name="Tile Work || Checklist [TIL-005 — Adhesive / mortar type.]" id="112"/>
    <tableColumn name="Tile Work || Checklist [TIL-006 — Tile spacers &amp; spacing.]" id="113"/>
    <tableColumn name="Tile Work || Checklist [TIL-007 — Grout — color, brand, epoxy/cementitious.]" id="114"/>
    <tableColumn name="Tile Work || Checklist [TIL-008 — Dry layout / setting-out approval.]" id="115"/>
    <tableColumn name="Tile Work || Checklist [TIL-009 — Reference lines &amp; datum levels marked.]" id="116"/>
    <tableColumn name="Tile Work || Checklist [TIL-010 — Pattern, direction, design as per drawing.]" id="117"/>
    <tableColumn name="Tile Work || Checklist [TIL-011 — Full bedding — no voids under tiles.]" id="118"/>
    <tableColumn name="Tile Work || Checklist [TIL-012 — Lippage between adjacent tiles.]" id="119"/>
    <tableColumn name="Tile Work || Checklist [TIL-013 — Joints — straight, uniform, perpendicular.]" id="120"/>
    <tableColumn name="Tile Work || Checklist [TIL-014 — Cut tiles — edge finish, location.]" id="121"/>
    <tableColumn name="Tile Work || Checklist [TIL-015 — Slope verification in toilet/balcony floor.]" id="122"/>
    <tableColumn name="Tile Work || Checklist [TIL-016 — Skirting / dado alignment with floor joints.]" id="123"/>
    <tableColumn name="Tile Work || Checklist [TIL-017 — Provision for expansion joints (large areas).]" id="124"/>
    <tableColumn name="Tile Work || Checklist [TIL-018 — Cutouts around pipes, fixtures, drains.]" id="125"/>
    <tableColumn name="Tile Work || Checklist [TIL-019 — Grouting — full depth, no gaps.]" id="126"/>
    <tableColumn name="Tile Work || Checklist [TIL-020 — Hollow sound test (tap with wooden mallet).]" id="127"/>
    <tableColumn name="Tile Work || Checklist [TIL-021 — Surface cleaning &amp; polishing.]" id="128"/>
    <tableColumn name="Tile Work || Checklist [TIL-022 — Protection of finished tiles.]" id="129"/>
    <tableColumn name="Section Remarks  [Tile Work]" id="130"/>
    <tableColumn name="Putty Work || Checklist [PUT-001 — Plaster fully cured (min 21–28 days).]" id="131"/>
    <tableColumn name="Putty Work || Checklist [PUT-002 — Surface cleaning — dust, loose particles, oil.]" id="132"/>
    <tableColumn name="Putty Work || Checklist [PUT-003 — Hairline / minor cracks filled.]" id="133"/>
    <tableColumn name="Putty Work || Checklist [PUT-004 — Sanding of high spots / projections.]" id="134"/>
    <tableColumn name="Putty Work || Checklist [PUT-005 — Putty brand &amp; type approved.]" id="135"/>
    <tableColumn name="Putty Work || Checklist [PUT-006 — Mixing ratio with water.]" id="136"/>
    <tableColumn name="Putty Work || Checklist [PUT-007 — Pot life observed.]" id="137"/>
    <tableColumn name="Putty Work || Checklist [PUT-008 — Number of coats.]" id="138"/>
    <tableColumn name="Putty Work || Checklist [PUT-009 — Thickness per coat.]" id="139"/>
    <tableColumn name="Putty Work || Checklist [PUT-010 — Drying time between coats.]" id="140"/>
    <tableColumn name="Putty Work || Checklist [PUT-011 — Sanding between coats (320–400 grit).]" id="141"/>
    <tableColumn name="Putty Work || Checklist [PUT-012 — Edges, corners, junctions — neat finish.]" id="142"/>
    <tableColumn name="Putty Work || Checklist [PUT-013 — Surface smoothness (touch &amp; oblique-light check).]" id="143"/>
    <tableColumn name="Putty Work || Checklist [PUT-014 — No pinholes, blowholes or cracks.]" id="144"/>
    <tableColumn name="Putty Work || Checklist [PUT-015 — Moisture content before paint.]" id="145"/>
    <tableColumn name="Putty Work || Checklist [PUT-016 — Final sanding &amp; dust cleaning before primer.]" id="146"/>
    <tableColumn name="Section Remarks  [Putty Work]" id="147"/>
    <tableColumn name="Electrical Work || Checklist [ELE-001 — Conduit make, ISI marked, fire-retardant.]" id="148"/>
    <tableColumn name="Electrical Work || Checklist [ELE-002 — Conduit chasing — depth &amp; alignment.]" id="149"/>
    <tableColumn name="Electrical Work || Checklist [ELE-003 — No diagonal chasing; no chasing in beams.]" id="150"/>
    <tableColumn name="Electrical Work || Checklist [ELE-004 — Conduit joints — couplers / solvent cement.]" id="151"/>
    <tableColumn name="Electrical Work || Checklist [ELE-005 — Bend radius.]" id="152"/>
    <tableColumn name="Electrical Work || Checklist [ELE-006 — Fish wire installed in every conduit.]" id="153"/>
    <tableColumn name="Electrical Work || Checklist [ELE-007 — Conduits secured with saddles / nails.]" id="154"/>
    <tableColumn name="Electrical Work || Checklist [ELE-008 — Switch / socket box position &amp; height.]" id="155"/>
    <tableColumn name="Electrical Work || Checklist [ELE-009 — Box flush with finished plaster level.]" id="156"/>
    <tableColumn name="Electrical Work || Checklist [ELE-010 — DB location, size, accessibility.]" id="157"/>
    <tableColumn name="Electrical Work || Checklist [ELE-011 — Earth bus bar &amp; neutral bar in DB.]" id="158"/>
    <tableColumn name="Electrical Work || Checklist [ELE-012 — Cable brand, size, FRLS / ISI marking.]" id="159"/>
    <tableColumn name="Electrical Work || Checklist [ELE-013 — Cable colour code.]" id="160"/>
    <tableColumn name="Electrical Work || Checklist [ELE-014 — Cable sizes vs. circuit load.]" id="161"/>
    <tableColumn name="Electrical Work || Checklist [ELE-015 — No joints inside conduit.]" id="162"/>
    <tableColumn name="Electrical Work || Checklist [ELE-016 — Number of wires per conduit.]" id="163"/>
    <tableColumn name="Electrical Work || Checklist [ELE-017 — Looping at switch boards (phase looped, not neutral).]" id="164"/>
    <tableColumn name="Electrical Work || Checklist [ELE-018 — Earth pit construction &amp; resistance.]" id="165"/>
    <tableColumn name="Electrical Work || Checklist [ELE-019 — Earthing conductor size &amp; continuity.]" id="166"/>
    <tableColumn name="Electrical Work || Checklist [ELE-020 — Double earthing for all 3-phase equipment.]" id="167"/>
    <tableColumn name="Electrical Work || Checklist [ELE-021 — RCCB / ELCB installation &amp; rating.]" id="168"/>
    <tableColumn name="Electrical Work || Checklist [ELE-022 — MCB ratings vs. circuit design.]" id="169"/>
    <tableColumn name="Electrical Work || Checklist [ELE-023 — Insulation resistance (Megger) — 500V DC.]" id="170"/>
    <tableColumn name="Electrical Work || Checklist [ELE-024 — Continuity test — phase, neutral, earth.]" id="171"/>
    <tableColumn name="Electrical Work || Checklist [ELE-025 — Earth resistance test (clamp / fall-of-potential).]" id="172"/>
    <tableColumn name="Electrical Work || Checklist [ELE-026 — Polarity test for sockets.]" id="173"/>
    <tableColumn name="Electrical Work || Checklist [ELE-027 — Load test of DB.]" id="174"/>
    <tableColumn name="Electrical Work || Checklist [ELE-028 — Functional test of all switches, sockets, lights.]" id="175"/>
    <tableColumn name="Electrical Work || Checklist [ELE-029 — Switch / socket plates — level, no gaps to wall.]" id="176"/>
    <tableColumn name="Electrical Work || Checklist [ELE-030 — Light fittings — alignment, level, firm fixing.]" id="177"/>
    <tableColumn name="Electrical Work || Checklist [ELE-031 — Ceiling fan — hook, downrod, balance.]" id="178"/>
    <tableColumn name="Electrical Work || Checklist [ELE-032 — DB labelling — circuit identification.]" id="179"/>
    <tableColumn name="Section Remarks  [Electrical Work]" id="180"/>
    <tableColumn name="Plumbing Work || Checklist [PLB-001 — Pipe material, brand, ISI marking (CPVC/PPR).]" id="181"/>
    <tableColumn name="Plumbing Work || Checklist [PLB-002 — Pipe sizing per fixture units.]" id="182"/>
    <tableColumn name="Plumbing Work || Checklist [PLB-003 — Concealed pipe routing &amp; supports.]" id="183"/>
    <tableColumn name="Plumbing Work || Checklist [PLB-004 — Solvent cement joints / heat fusion (PPR).]" id="184"/>
    <tableColumn name="Plumbing Work || Checklist [PLB-005 — Hot &amp; cold lines — separation &amp; insulation.]" id="185"/>
    <tableColumn name="Plumbing Work || Checklist [PLB-006 — Hydrostatic pressure test (concealed lines).]" id="186"/>
    <tableColumn name="Plumbing Work || Checklist [PLB-007 — Isolation valves at branches &amp; before fixtures.]" id="187"/>
    <tableColumn name="Plumbing Work || Checklist [PLB-008 — Air release &amp; flushing of system.]" id="188"/>
    <tableColumn name="Plumbing Work || Checklist [PLB-009 — Pipe material (UPVC / SWR / cast iron).]" id="189"/>
    <tableColumn name="Plumbing Work || Checklist [PLB-010 — Pipe slope for horizontal runs.]" id="190"/>
    <tableColumn name="Plumbing Work || Checklist [PLB-011 — Traps under all fixtures (P/S/floor).]" id="191"/>
    <tableColumn name="Plumbing Work || Checklist [PLB-012 — Vent pipe extension above roof.]" id="192"/>
    <tableColumn name="Plumbing Work || Checklist [PLB-013 — Floor traps &amp; nahani trap — level with floor finish.]" id="193"/>
    <tableColumn name="Plumbing Work || Checklist [PLB-014 — Leakage test — water / smoke / air.]" id="194"/>
    <tableColumn name="Plumbing Work || Checklist [PLB-015 — Cleanouts / inspection openings.]" id="195"/>
    <tableColumn name="Plumbing Work || Checklist [PLB-016 — Fixture brand, model, color as approved.]" id="196"/>
    <tableColumn name="Plumbing Work || Checklist [PLB-017 — WC / wash basin / urinal fixing — level, firm.]" id="197"/>
    <tableColumn name="Plumbing Work || Checklist [PLB-018 — Tap &amp; mixer installation — leak-free, aligned.]" id="198"/>
    <tableColumn name="Plumbing Work || Checklist [PLB-019 — Shower fixing — height, alignment.]" id="199"/>
    <tableColumn name="Plumbing Work || Checklist [PLB-020 — Health faucet, angle valves, connectors.]" id="200"/>
    <tableColumn name="Plumbing Work || Checklist [PLB-021 — Sewer pipe material &amp; dia.]" id="201"/>
    <tableColumn name="Plumbing Work || Checklist [PLB-022 — Bedding &amp; backfill of buried pipes.]" id="202"/>
    <tableColumn name="Plumbing Work || Checklist [PLB-023 — Manhole construction — invert level, channel.]" id="203"/>
    <tableColumn name="Plumbing Work || Checklist [PLB-024 — Slope between manholes.]" id="204"/>
    <tableColumn name="Plumbing Work || Checklist [PLB-025 — Storm water drain — sizing &amp; slope.]" id="205"/>
    <tableColumn name="Plumbing Work || Checklist [PLB-026 — Rain water down-takes &amp; gratings.]" id="206"/>
    <tableColumn name="Plumbing Work || Checklist [PLB-027 — Rainwater harvesting pit / recharge bore.]" id="207"/>
    <tableColumn name="Plumbing Work || Checklist [PLB-028 — First-flush diverter / silt trap.]" id="208"/>
    <tableColumn name="Plumbing Work || Checklist [PLB-029 — OHT &amp; UGT — watertightness test.]" id="209"/>
    <tableColumn name="Plumbing Work || Checklist [PLB-030 — Pumps — make, capacity, head.]" id="210"/>
    <tableColumn name="Plumbing Work || Checklist [PLB-031 — Float switches, level controllers.]" id="211"/>
    <tableColumn name="Section Remarks  [Plumbing Work]" id="212"/>
    <tableColumn name="False Ceiling Work || Checklist [FCL-001 — Ceiling level &amp; layout marking.]" id="213"/>
    <tableColumn name="False Ceiling Work || Checklist [FCL-002 — MEP services above ceiling completed &amp; tested.]" id="214"/>
    <tableColumn name="False Ceiling Work || Checklist [FCL-003 — Approved shop drawing with grid pattern.]" id="215"/>
    <tableColumn name="False Ceiling Work || Checklist [FCL-004 — Gypsum board / calcium silicate — brand, thickness.]" id="216"/>
    <tableColumn name="False Ceiling Work || Checklist [FCL-005 — GI sections — perimeter channel, intermediate, ceiling section.]" id="217"/>
    <tableColumn name="False Ceiling Work || Checklist [FCL-006 — Suspension — soffit cleats, GI rods, hangers.]" id="218"/>
    <tableColumn name="False Ceiling Work || Checklist [FCL-007 — Screws — drywall screws, dry-rust treated.]" id="219"/>
    <tableColumn name="False Ceiling Work || Checklist [FCL-008 — Perimeter channel fixing.]" id="220"/>
    <tableColumn name="False Ceiling Work || Checklist [FCL-009 — Intermediate channel spacing.]" id="221"/>
    <tableColumn name="False Ceiling Work || Checklist [FCL-010 — Ceiling section spacing.]" id="222"/>
    <tableColumn name="False Ceiling Work || Checklist [FCL-011 — Level of grid (3m straightedge).]" id="223"/>
    <tableColumn name="False Ceiling Work || Checklist [FCL-012 — Cross bracing &amp; rigidity.]" id="224"/>
    <tableColumn name="False Ceiling Work || Checklist [FCL-013 — Joints staggered; no four-corner meeting.]" id="225"/>
    <tableColumn name="False Ceiling Work || Checklist [FCL-014 — Cut edges chamfered for taping.]" id="226"/>
    <tableColumn name="False Ceiling Work || Checklist [FCL-015 — Cut-outs for lights, AC grills, sprinklers.]" id="227"/>
    <tableColumn name="False Ceiling Work || Checklist [FCL-016 — Screw pattern &amp; depth.]" id="228"/>
    <tableColumn name="False Ceiling Work || Checklist [FCL-017 — Joint taping (paper tape + jointing compound).]" id="229"/>
    <tableColumn name="False Ceiling Work || Checklist [FCL-018 — Corner beads at external corners.]" id="230"/>
    <tableColumn name="False Ceiling Work || Checklist [FCL-019 — Sanding &amp; putty finish.]" id="231"/>
    <tableColumn name="False Ceiling Work || Checklist [FCL-020 — Inspection panels / access doors.]" id="232"/>
    <tableColumn name="False Ceiling Work || Checklist [FCL-021 — Painting — primer + 2 finish coats.]" id="233"/>
    <tableColumn name="Section Remarks  [False Ceiling Work]" id="234"/>
    <tableColumn name="Paint Work || Checklist [PNT-001 — The scaffolding to be self-standing and rigid.]" id="235"/>
    <tableColumn name="Paint Work || Checklist [PNT-002 — Check for double horizontals, wherever necessary.]" id="236"/>
    <tableColumn name="Paint Work || Checklist [PNT-003 — Check for telescopic vertical scaffolding.]" id="237"/>
    <tableColumn name="Paint Work || Checklist [PNT-004 — Check for diagonal bracings.]" id="238"/>
    <tableColumn name="Paint Work || Checklist [PNT-005 — Algae affected area is cleaned properly before commencing the painting work.]" id="239"/>
    <tableColumn name="Paint Work || Checklist [PNT-006 — Crack filling is done by good quality of exterior grade crack filler.]" id="240"/>
    <tableColumn name="Paint Work || Checklist [PNT-007 — Window frame tie be protected and wrapped with plastic sheet.]" id="241"/>
    <tableColumn name="Paint Work || Checklist [PNT-008 — Check all window jambs are properly repaired.]" id="242"/>
    <tableColumn name="Paint Work || Checklist [PNT-009 — Check deck ceiling light points are cleared.]" id="243"/>
    <tableColumn name="Paint Work || Checklist [PNT-010 — Cleaning of dust and loose particles.]" id="244"/>
    <tableColumn name="Paint Work || Checklist [PNT-011 — Check after polishing, primer coat with proper finish.]" id="245"/>
    <tableColumn name="Paint Work || Checklist [PNT-012 — Check 1st coat paint is applied.]" id="246"/>
    <tableColumn name="Paint Work || Checklist [PNT-013 — Check baking coat, patchiness, unevenness, brush mark not seen.]" id="247"/>
    <tableColumn name="Paint Work || Checklist [PNT-014 — Paint as per approved scheme.]" id="248"/>
    <tableColumn name="Paint Work || Checklist [PNT-015 — Surface fully cured &amp; dry.]" id="249"/>
    <tableColumn name="Paint Work || Checklist [PNT-016 — Putty work completed &amp; sanded smooth.]" id="250"/>
    <tableColumn name="Paint Work || Checklist [PNT-017 — Paint brand, type, batch verification.]" id="251"/>
    <tableColumn name="Paint Work || Checklist [PNT-018 — Primer type matched to substrate.]" id="252"/>
    <tableColumn name="Paint Work || Checklist [PNT-019 — Color shade approved (shade card / mock-up).]" id="253"/>
    <tableColumn name="Paint Work || Checklist [PNT-020 — Thinning ratio per manufacturer.]" id="254"/>
    <tableColumn name="Paint Work || Checklist [PNT-021 — Primer — single coat, uniform.]" id="255"/>
    <tableColumn name="Paint Work || Checklist [PNT-022 — Finish coats — minimum 2 coats.]" id="256"/>
    <tableColumn name="Paint Work || Checklist [PNT-023 — Drying time between coats.]" id="257"/>
    <tableColumn name="Paint Work || Checklist [PNT-024 — DFT (Dry Film Thickness) verification.]" id="258"/>
    <tableColumn name="Paint Work || Checklist [PNT-025 — Uniform color, no brush/roller marks, no patches.]" id="259"/>
    <tableColumn name="Paint Work || Checklist [PNT-026 — Cutting at edges — sharp clean lines.]" id="260"/>
    <tableColumn name="Paint Work || Checklist [PNT-027 — Weather conditions during application.]" id="261"/>
    <tableColumn name="Paint Work || Checklist [PNT-028 — External primer — alkali-resistant.]" id="262"/>
    <tableColumn name="Paint Work || Checklist [PNT-029 — Min 2 coats exterior emulsion / texture.]" id="263"/>
    <tableColumn name="Paint Work || Checklist [PNT-030 — Anti-fungal / anti-algal performance.]" id="264"/>
    <tableColumn name="Paint Work || Checklist [PNT-031 — Texture pattern uniformity (if textured).]" id="265"/>
    <tableColumn name="Paint Work || Checklist [PNT-032 — Edges &amp; joints with adjoining materials.]" id="266"/>
    <tableColumn name="Paint Work || Checklist [PNT-033 — Scaffold mark touch-ups completed.]" id="267"/>
    <tableColumn name="Paint Work || Checklist [PNT-034 — Hardware, glass, frames protected during paint.]" id="268"/>
    <tableColumn name="Paint Work || Checklist [PNT-035 — Final inspection in daylight and artificial light.]" id="269"/>
    <tableColumn name="Section Remarks  [Paint Work]" id="270"/>
    <tableColumn name="Landscape Development || Checklist [LAN-001 — Site clearance — debris, weeds, construction waste.]" id="271"/>
    <tableColumn name="Landscape Development || Checklist [LAN-002 — Existing soil testing (pH, drainage).]" id="272"/>
    <tableColumn name="Landscape Development || Checklist [LAN-003 — Sub-grade levels &amp; contouring.]" id="273"/>
    <tableColumn name="Landscape Development || Checklist [LAN-004 — Sub-surface drainage / weep holes.]" id="274"/>
    <tableColumn name="Landscape Development || Checklist [LAN-005 — Top soil quality &amp; depth.]" id="275"/>
    <tableColumn name="Landscape Development || Checklist [LAN-006 — Organic manure / compost mixing.]" id="276"/>
    <tableColumn name="Landscape Development || Checklist [LAN-007 — Plant species list — match approved schedule.]" id="277"/>
    <tableColumn name="Landscape Development || Checklist [LAN-008 — Plant health — disease-free, hardened.]" id="278"/>
    <tableColumn name="Landscape Development || Checklist [LAN-009 — Pit size for trees / shrubs / hedges.]" id="279"/>
    <tableColumn name="Landscape Development || Checklist [LAN-010 — Spacing between plants.]" id="280"/>
    <tableColumn name="Landscape Development || Checklist [LAN-011 — Staking &amp; support for trees.]" id="281"/>
    <tableColumn name="Landscape Development || Checklist [LAN-012 — Grass species &amp; laying method (sod/sprig).]" id="282"/>
    <tableColumn name="Landscape Development || Checklist [LAN-013 — Rolling &amp; levelling of lawn.]" id="283"/>
    <tableColumn name="Landscape Development || Checklist [LAN-014 — Irrigation system — drip / sprinkler layout.]" id="284"/>
    <tableColumn name="Landscape Development || Checklist [LAN-015 — Water source, pumps, controllers.]" id="285"/>
    <tableColumn name="Landscape Development || Checklist [LAN-016 — Pressure &amp; flow check at extremities.]" id="286"/>
    <tableColumn name="Landscape Development || Checklist [LAN-017 — Pathways — material, level, slope.]" id="287"/>
    <tableColumn name="Landscape Development || Checklist [LAN-018 — Kerb stones — alignment, jointing.]" id="288"/>
    <tableColumn name="Landscape Development || Checklist [LAN-019 — Decorative elements (pergolas, benches, planters).]" id="289"/>
    <tableColumn name="Landscape Development || Checklist [LAN-020 — Garden lights / bollards / spike lights.]" id="290"/>
    <tableColumn name="Landscape Development || Checklist [LAN-021 — Cable laid in conduit, depth ≥ 600mm.]" id="291"/>
    <tableColumn name="Landscape Development || Checklist [LAN-022 — Earthing of metallic posts.]" id="292"/>
    <tableColumn name="Landscape Development || Checklist [LAN-023 — Plant survival rate during defects period.]" id="293"/>
    <tableColumn name="Landscape Development || Checklist [LAN-024 — Mulching, weeding, pruning schedule.]" id="294"/>
    <tableColumn name="Section Remarks  [Landscape Development]" id="295"/>
    <tableColumn name="Fire Fighting Work || Checklist [FIR-001 — Fire NOC / approved drawings on site.]" id="296"/>
    <tableColumn name="Fire Fighting Work || Checklist [FIR-002 — Equipment make &amp; model as approved.]" id="297"/>
    <tableColumn name="Fire Fighting Work || Checklist [FIR-003 — Pipe material — MS heavy / GI as specified.]" id="298"/>
    <tableColumn name="Fire Fighting Work || Checklist [FIR-004 — Pipe routing &amp; supports.]" id="299"/>
    <tableColumn name="Fire Fighting Work || Checklist [FIR-005 — Welded / flanged joints — quality.]" id="300"/>
    <tableColumn name="Fire Fighting Work || Checklist [FIR-006 — Pipe painting — fire red.]" id="301"/>
    <tableColumn name="Fire Fighting Work || Checklist [FIR-007 — Pipe identification &amp; flow direction.]" id="302"/>
    <tableColumn name="Fire Fighting Work || Checklist [FIR-008 — Wet riser size &amp; location.]" id="303"/>
    <tableColumn name="Fire Fighting Work || Checklist [FIR-009 — Landing valves on each floor.]" id="304"/>
    <tableColumn name="Fire Fighting Work || Checklist [FIR-010 — Hose reel (rubber-lined) on each floor.]" id="305"/>
    <tableColumn name="Fire Fighting Work || Checklist [FIR-011 — Hose box &amp; accessories.]" id="306"/>
    <tableColumn name="Fire Fighting Work || Checklist [FIR-012 — External yard hydrants.]" id="307"/>
    <tableColumn name="Fire Fighting Work || Checklist [FIR-013 — Sprinkler heads — type, K-factor, temp rating.]" id="308"/>
    <tableColumn name="Fire Fighting Work || Checklist [FIR-014 — Sprinkler spacing &amp; coverage.]" id="309"/>
    <tableColumn name="Fire Fighting Work || Checklist [FIR-015 — Distance from wall / obstruction.]" id="310"/>
    <tableColumn name="Fire Fighting Work || Checklist [FIR-016 — Flow switch, test &amp; drain valves.]" id="311"/>
    <tableColumn name="Fire Fighting Work || Checklist [FIR-017 — Main fire pump — capacity &amp; head.]" id="312"/>
    <tableColumn name="Fire Fighting Work || Checklist [FIR-018 — Jockey pump capacity.]" id="313"/>
    <tableColumn name="Fire Fighting Work || Checklist [FIR-019 — Diesel engine pump — fuel tank, battery.]" id="314"/>
    <tableColumn name="Fire Fighting Work || Checklist [FIR-020 — Pump auto-start at set pressure.]" id="315"/>
    <tableColumn name="Fire Fighting Work || Checklist [FIR-021 — Suction / delivery — gauges, NRV, gate valve.]" id="316"/>
    <tableColumn name="Fire Fighting Work || Checklist [FIR-022 — Dedicated fire water tank capacity.]" id="317"/>
    <tableColumn name="Fire Fighting Work || Checklist [FIR-023 — Low-level alarm &amp; breather.]" id="318"/>
    <tableColumn name="Fire Fighting Work || Checklist [FIR-024 — Hydrostatic test on pipework.]" id="319"/>
    <tableColumn name="Fire Fighting Work || Checklist [FIR-025 — Flow &amp; pressure test at remotest hydrant.]" id="320"/>
    <tableColumn name="Fire Fighting Work || Checklist [FIR-026 — Sprinkler trip test (each zone).]" id="321"/>
    <tableColumn name="Fire Fighting Work || Checklist [FIR-027 — Fire alarm / detection — smoke, heat detectors.]" id="322"/>
    <tableColumn name="Fire Fighting Work || Checklist [FIR-028 — MCP (manual call point) — tested every floor.]" id="323"/>
    <tableColumn name="Fire Fighting Work || Checklist [FIR-029 — PA system &amp; hooter audibility.]" id="324"/>
    <tableColumn name="Fire Fighting Work || Checklist [FIR-030 — Fire extinguishers — type, capacity, location.]" id="325"/>
    <tableColumn name="Fire Fighting Work || Checklist [FIR-031 — Mounting height &amp; signage.]" id="326"/>
    <tableColumn name="Fire Fighting Work || Checklist [FIR-032 — Refill / inspection due date marked.]" id="327"/>
    <tableColumn name="Fire Fighting Work || Checklist [FIR-033 — Final fire department inspection &amp; NOC.]" id="328"/>
    <tableColumn name="Section Remarks  [Fire Fighting Work]" id="329"/>
    <tableColumn name="Overall Site Remarks" id="330"/>
    <tableColumn name="  Defect photos (name each file with its check ID)  " id="331"/>
  </tableColumns>
  <tableStyleInfo name="Form Responses 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D-Rcu9d8dhdJwtNeBqxAOgvrnHQTzXc" TargetMode="External"/><Relationship Id="rId2" Type="http://schemas.openxmlformats.org/officeDocument/2006/relationships/hyperlink" Target="https://drive.google.com/open?id=1zkLEw_IT4yqcFxTf6JRlpNM2gzDEZtph" TargetMode="External"/><Relationship Id="rId3" Type="http://schemas.openxmlformats.org/officeDocument/2006/relationships/hyperlink" Target="https://drive.google.com/open?id=1td6vtf3DnYjfEC1h4Ba09Q3-AGoHT_Lw" TargetMode="External"/><Relationship Id="rId4" Type="http://schemas.openxmlformats.org/officeDocument/2006/relationships/hyperlink" Target="https://drive.google.com/open?id=1DOC9z7z08goOzWXp3yRuPEDarGkwAhsr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open?id=15lyshyfSsQ0xwhwjBJrYzFHCACAoNhGe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rive.google.com/open?id=1URMe4FRkDwzhFg7ekC9mNFriwp6W0iLv" TargetMode="External"/><Relationship Id="rId5" Type="http://schemas.openxmlformats.org/officeDocument/2006/relationships/hyperlink" Target="https://drive.google.com/open?id=1KEC4BMqwegLIs7bFd7daXWf2LvGaHxk9" TargetMode="External"/><Relationship Id="rId6" Type="http://schemas.openxmlformats.org/officeDocument/2006/relationships/hyperlink" Target="https://drive.google.com/open?id=1m226tGmrBub-mJfyiZP7HXv3VJrsRGNY" TargetMode="External"/><Relationship Id="rId7" Type="http://schemas.openxmlformats.org/officeDocument/2006/relationships/hyperlink" Target="https://drive.google.com/open?id=13XVgqG9jXvpkjaFgga7vN_XAM2uJnP12" TargetMode="External"/><Relationship Id="rId8" Type="http://schemas.openxmlformats.org/officeDocument/2006/relationships/hyperlink" Target="https://drive.google.com/open?id=1sjmVRAURimE4qfdx-Bb_4ZyJuKjHrCR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-fSMuccx1cg" TargetMode="External"/><Relationship Id="rId190" Type="http://schemas.openxmlformats.org/officeDocument/2006/relationships/hyperlink" Target="https://www.youtube.com/watch?v=_yCllHMvQ_0" TargetMode="External"/><Relationship Id="rId42" Type="http://schemas.openxmlformats.org/officeDocument/2006/relationships/hyperlink" Target="https://youtu.be/-fSMuccx1cg" TargetMode="External"/><Relationship Id="rId41" Type="http://schemas.openxmlformats.org/officeDocument/2006/relationships/hyperlink" Target="https://youtu.be/-fSMuccx1cg" TargetMode="External"/><Relationship Id="rId44" Type="http://schemas.openxmlformats.org/officeDocument/2006/relationships/hyperlink" Target="https://youtu.be/-fSMuccx1cg" TargetMode="External"/><Relationship Id="rId43" Type="http://schemas.openxmlformats.org/officeDocument/2006/relationships/hyperlink" Target="https://youtu.be/-fSMuccx1cg" TargetMode="External"/><Relationship Id="rId46" Type="http://schemas.openxmlformats.org/officeDocument/2006/relationships/hyperlink" Target="https://www.youtube.com/watch?v=1HGK4SFyCXU" TargetMode="External"/><Relationship Id="rId192" Type="http://schemas.openxmlformats.org/officeDocument/2006/relationships/vmlDrawing" Target="../drawings/vmlDrawing1.vml"/><Relationship Id="rId45" Type="http://schemas.openxmlformats.org/officeDocument/2006/relationships/hyperlink" Target="https://youtu.be/-fSMuccx1cg" TargetMode="External"/><Relationship Id="rId191" Type="http://schemas.openxmlformats.org/officeDocument/2006/relationships/drawing" Target="../drawings/drawing5.xml"/><Relationship Id="rId107" Type="http://schemas.openxmlformats.org/officeDocument/2006/relationships/hyperlink" Target="https://www.youtube.com/watch?v=IO1QT7MQn1U" TargetMode="External"/><Relationship Id="rId106" Type="http://schemas.openxmlformats.org/officeDocument/2006/relationships/hyperlink" Target="https://youtu.be/t8fD7dE1G5w" TargetMode="External"/><Relationship Id="rId105" Type="http://schemas.openxmlformats.org/officeDocument/2006/relationships/hyperlink" Target="https://youtu.be/t8fD7dE1G5w" TargetMode="External"/><Relationship Id="rId104" Type="http://schemas.openxmlformats.org/officeDocument/2006/relationships/hyperlink" Target="https://youtu.be/t8fD7dE1G5w" TargetMode="External"/><Relationship Id="rId109" Type="http://schemas.openxmlformats.org/officeDocument/2006/relationships/hyperlink" Target="https://www.youtube.com/watch?v=IO1QT7MQn1U" TargetMode="External"/><Relationship Id="rId108" Type="http://schemas.openxmlformats.org/officeDocument/2006/relationships/hyperlink" Target="https://www.youtube.com/watch?v=IO1QT7MQn1U" TargetMode="External"/><Relationship Id="rId48" Type="http://schemas.openxmlformats.org/officeDocument/2006/relationships/hyperlink" Target="https://www.youtube.com/watch?v=1HGK4SFyCXU" TargetMode="External"/><Relationship Id="rId187" Type="http://schemas.openxmlformats.org/officeDocument/2006/relationships/hyperlink" Target="https://www.youtube.com/watch?v=_yCllHMvQ_0" TargetMode="External"/><Relationship Id="rId47" Type="http://schemas.openxmlformats.org/officeDocument/2006/relationships/hyperlink" Target="https://www.youtube.com/watch?v=1HGK4SFyCXU" TargetMode="External"/><Relationship Id="rId186" Type="http://schemas.openxmlformats.org/officeDocument/2006/relationships/hyperlink" Target="https://www.youtube.com/watch?v=_yCllHMvQ_0" TargetMode="External"/><Relationship Id="rId185" Type="http://schemas.openxmlformats.org/officeDocument/2006/relationships/hyperlink" Target="https://www.youtube.com/watch?v=_yCllHMvQ_0" TargetMode="External"/><Relationship Id="rId49" Type="http://schemas.openxmlformats.org/officeDocument/2006/relationships/hyperlink" Target="https://www.youtube.com/watch?v=1HGK4SFyCXU" TargetMode="External"/><Relationship Id="rId184" Type="http://schemas.openxmlformats.org/officeDocument/2006/relationships/hyperlink" Target="https://www.youtube.com/watch?v=_yCllHMvQ_0" TargetMode="External"/><Relationship Id="rId103" Type="http://schemas.openxmlformats.org/officeDocument/2006/relationships/hyperlink" Target="https://youtu.be/t8fD7dE1G5w" TargetMode="External"/><Relationship Id="rId102" Type="http://schemas.openxmlformats.org/officeDocument/2006/relationships/hyperlink" Target="https://youtu.be/t8fD7dE1G5w" TargetMode="External"/><Relationship Id="rId101" Type="http://schemas.openxmlformats.org/officeDocument/2006/relationships/hyperlink" Target="https://youtu.be/t8fD7dE1G5w" TargetMode="External"/><Relationship Id="rId189" Type="http://schemas.openxmlformats.org/officeDocument/2006/relationships/hyperlink" Target="https://www.youtube.com/watch?v=_yCllHMvQ_0" TargetMode="External"/><Relationship Id="rId100" Type="http://schemas.openxmlformats.org/officeDocument/2006/relationships/hyperlink" Target="https://youtu.be/t8fD7dE1G5w" TargetMode="External"/><Relationship Id="rId188" Type="http://schemas.openxmlformats.org/officeDocument/2006/relationships/hyperlink" Target="https://www.youtube.com/watch?v=_yCllHMvQ_0" TargetMode="External"/><Relationship Id="rId31" Type="http://schemas.openxmlformats.org/officeDocument/2006/relationships/hyperlink" Target="https://youtu.be/-fSMuccx1cg" TargetMode="External"/><Relationship Id="rId30" Type="http://schemas.openxmlformats.org/officeDocument/2006/relationships/hyperlink" Target="https://youtu.be/-fSMuccx1cg" TargetMode="External"/><Relationship Id="rId33" Type="http://schemas.openxmlformats.org/officeDocument/2006/relationships/hyperlink" Target="https://youtu.be/-fSMuccx1cg" TargetMode="External"/><Relationship Id="rId183" Type="http://schemas.openxmlformats.org/officeDocument/2006/relationships/hyperlink" Target="https://www.youtube.com/watch?v=_yCllHMvQ_0" TargetMode="External"/><Relationship Id="rId32" Type="http://schemas.openxmlformats.org/officeDocument/2006/relationships/hyperlink" Target="https://youtu.be/-fSMuccx1cg" TargetMode="External"/><Relationship Id="rId182" Type="http://schemas.openxmlformats.org/officeDocument/2006/relationships/hyperlink" Target="https://www.youtube.com/watch?v=_yCllHMvQ_0" TargetMode="External"/><Relationship Id="rId35" Type="http://schemas.openxmlformats.org/officeDocument/2006/relationships/hyperlink" Target="https://youtu.be/-fSMuccx1cg" TargetMode="External"/><Relationship Id="rId181" Type="http://schemas.openxmlformats.org/officeDocument/2006/relationships/hyperlink" Target="https://www.youtube.com/watch?v=_yCllHMvQ_0" TargetMode="External"/><Relationship Id="rId34" Type="http://schemas.openxmlformats.org/officeDocument/2006/relationships/hyperlink" Target="https://youtu.be/-fSMuccx1cg" TargetMode="External"/><Relationship Id="rId180" Type="http://schemas.openxmlformats.org/officeDocument/2006/relationships/hyperlink" Target="https://www.youtube.com/watch?v=_yCllHMvQ_0" TargetMode="External"/><Relationship Id="rId37" Type="http://schemas.openxmlformats.org/officeDocument/2006/relationships/hyperlink" Target="https://youtu.be/-fSMuccx1cg" TargetMode="External"/><Relationship Id="rId176" Type="http://schemas.openxmlformats.org/officeDocument/2006/relationships/hyperlink" Target="https://www.youtube.com/watch?v=_yCllHMvQ_0" TargetMode="External"/><Relationship Id="rId36" Type="http://schemas.openxmlformats.org/officeDocument/2006/relationships/hyperlink" Target="https://youtu.be/-fSMuccx1cg" TargetMode="External"/><Relationship Id="rId175" Type="http://schemas.openxmlformats.org/officeDocument/2006/relationships/hyperlink" Target="https://www.youtube.com/watch?v=_yCllHMvQ_0" TargetMode="External"/><Relationship Id="rId39" Type="http://schemas.openxmlformats.org/officeDocument/2006/relationships/hyperlink" Target="https://youtu.be/-fSMuccx1cg" TargetMode="External"/><Relationship Id="rId174" Type="http://schemas.openxmlformats.org/officeDocument/2006/relationships/hyperlink" Target="https://www.youtube.com/watch?v=_yCllHMvQ_0" TargetMode="External"/><Relationship Id="rId38" Type="http://schemas.openxmlformats.org/officeDocument/2006/relationships/hyperlink" Target="https://youtu.be/-fSMuccx1cg" TargetMode="External"/><Relationship Id="rId173" Type="http://schemas.openxmlformats.org/officeDocument/2006/relationships/hyperlink" Target="https://www.youtube.com/watch?v=_yCllHMvQ_0" TargetMode="External"/><Relationship Id="rId179" Type="http://schemas.openxmlformats.org/officeDocument/2006/relationships/hyperlink" Target="https://www.youtube.com/watch?v=_yCllHMvQ_0" TargetMode="External"/><Relationship Id="rId178" Type="http://schemas.openxmlformats.org/officeDocument/2006/relationships/hyperlink" Target="https://www.youtube.com/watch?v=_yCllHMvQ_0" TargetMode="External"/><Relationship Id="rId177" Type="http://schemas.openxmlformats.org/officeDocument/2006/relationships/hyperlink" Target="https://www.youtube.com/watch?v=_yCllHMvQ_0" TargetMode="External"/><Relationship Id="rId20" Type="http://schemas.openxmlformats.org/officeDocument/2006/relationships/hyperlink" Target="https://youtu.be/r8k0q1BYDqs" TargetMode="External"/><Relationship Id="rId22" Type="http://schemas.openxmlformats.org/officeDocument/2006/relationships/hyperlink" Target="https://youtu.be/r8k0q1BYDqs" TargetMode="External"/><Relationship Id="rId21" Type="http://schemas.openxmlformats.org/officeDocument/2006/relationships/hyperlink" Target="https://youtu.be/r8k0q1BYDqs" TargetMode="External"/><Relationship Id="rId24" Type="http://schemas.openxmlformats.org/officeDocument/2006/relationships/hyperlink" Target="https://youtu.be/r8k0q1BYDqs" TargetMode="External"/><Relationship Id="rId23" Type="http://schemas.openxmlformats.org/officeDocument/2006/relationships/hyperlink" Target="https://youtu.be/r8k0q1BYDqs" TargetMode="External"/><Relationship Id="rId129" Type="http://schemas.openxmlformats.org/officeDocument/2006/relationships/hyperlink" Target="https://youtu.be/gp3Kie8fdf0" TargetMode="External"/><Relationship Id="rId128" Type="http://schemas.openxmlformats.org/officeDocument/2006/relationships/hyperlink" Target="https://youtu.be/gp3Kie8fdf0" TargetMode="External"/><Relationship Id="rId127" Type="http://schemas.openxmlformats.org/officeDocument/2006/relationships/hyperlink" Target="https://youtu.be/gp3Kie8fdf0" TargetMode="External"/><Relationship Id="rId126" Type="http://schemas.openxmlformats.org/officeDocument/2006/relationships/hyperlink" Target="https://youtu.be/gp3Kie8fdf0" TargetMode="External"/><Relationship Id="rId26" Type="http://schemas.openxmlformats.org/officeDocument/2006/relationships/hyperlink" Target="https://youtu.be/r8k0q1BYDqs" TargetMode="External"/><Relationship Id="rId121" Type="http://schemas.openxmlformats.org/officeDocument/2006/relationships/hyperlink" Target="https://youtu.be/gp3Kie8fdf0" TargetMode="External"/><Relationship Id="rId25" Type="http://schemas.openxmlformats.org/officeDocument/2006/relationships/hyperlink" Target="https://youtu.be/r8k0q1BYDqs" TargetMode="External"/><Relationship Id="rId120" Type="http://schemas.openxmlformats.org/officeDocument/2006/relationships/hyperlink" Target="https://youtu.be/gp3Kie8fdf0" TargetMode="External"/><Relationship Id="rId28" Type="http://schemas.openxmlformats.org/officeDocument/2006/relationships/hyperlink" Target="https://youtu.be/r8k0q1BYDqs" TargetMode="External"/><Relationship Id="rId27" Type="http://schemas.openxmlformats.org/officeDocument/2006/relationships/hyperlink" Target="https://youtu.be/r8k0q1BYDqs" TargetMode="External"/><Relationship Id="rId125" Type="http://schemas.openxmlformats.org/officeDocument/2006/relationships/hyperlink" Target="https://youtu.be/gp3Kie8fdf0" TargetMode="External"/><Relationship Id="rId29" Type="http://schemas.openxmlformats.org/officeDocument/2006/relationships/hyperlink" Target="https://youtu.be/kjaSZqrC_d0" TargetMode="External"/><Relationship Id="rId124" Type="http://schemas.openxmlformats.org/officeDocument/2006/relationships/hyperlink" Target="https://youtu.be/gp3Kie8fdf0" TargetMode="External"/><Relationship Id="rId123" Type="http://schemas.openxmlformats.org/officeDocument/2006/relationships/hyperlink" Target="https://youtu.be/gp3Kie8fdf0" TargetMode="External"/><Relationship Id="rId122" Type="http://schemas.openxmlformats.org/officeDocument/2006/relationships/hyperlink" Target="https://youtu.be/gp3Kie8fdf0" TargetMode="External"/><Relationship Id="rId95" Type="http://schemas.openxmlformats.org/officeDocument/2006/relationships/hyperlink" Target="https://youtu.be/t8fD7dE1G5w" TargetMode="External"/><Relationship Id="rId94" Type="http://schemas.openxmlformats.org/officeDocument/2006/relationships/hyperlink" Target="https://youtu.be/t8fD7dE1G5w" TargetMode="External"/><Relationship Id="rId97" Type="http://schemas.openxmlformats.org/officeDocument/2006/relationships/hyperlink" Target="https://youtu.be/t8fD7dE1G5w" TargetMode="External"/><Relationship Id="rId96" Type="http://schemas.openxmlformats.org/officeDocument/2006/relationships/hyperlink" Target="https://youtu.be/t8fD7dE1G5w" TargetMode="External"/><Relationship Id="rId11" Type="http://schemas.openxmlformats.org/officeDocument/2006/relationships/hyperlink" Target="https://youtu.be/r8k0q1BYDqs" TargetMode="External"/><Relationship Id="rId99" Type="http://schemas.openxmlformats.org/officeDocument/2006/relationships/hyperlink" Target="https://youtu.be/t8fD7dE1G5w" TargetMode="External"/><Relationship Id="rId10" Type="http://schemas.openxmlformats.org/officeDocument/2006/relationships/hyperlink" Target="https://youtu.be/AF5i_Yuv2cQ" TargetMode="External"/><Relationship Id="rId98" Type="http://schemas.openxmlformats.org/officeDocument/2006/relationships/hyperlink" Target="https://youtu.be/t8fD7dE1G5w" TargetMode="External"/><Relationship Id="rId13" Type="http://schemas.openxmlformats.org/officeDocument/2006/relationships/hyperlink" Target="https://youtu.be/r8k0q1BYDqs" TargetMode="External"/><Relationship Id="rId12" Type="http://schemas.openxmlformats.org/officeDocument/2006/relationships/hyperlink" Target="https://www.youtube.com/watch?v=pTsLuaXOJWY" TargetMode="External"/><Relationship Id="rId91" Type="http://schemas.openxmlformats.org/officeDocument/2006/relationships/hyperlink" Target="https://youtu.be/t8fD7dE1G5w" TargetMode="External"/><Relationship Id="rId90" Type="http://schemas.openxmlformats.org/officeDocument/2006/relationships/hyperlink" Target="https://www.youtube.com/watch?v=1HGK4SFyCXU" TargetMode="External"/><Relationship Id="rId93" Type="http://schemas.openxmlformats.org/officeDocument/2006/relationships/hyperlink" Target="https://youtu.be/t8fD7dE1G5w" TargetMode="External"/><Relationship Id="rId92" Type="http://schemas.openxmlformats.org/officeDocument/2006/relationships/hyperlink" Target="https://youtu.be/t8fD7dE1G5w" TargetMode="External"/><Relationship Id="rId118" Type="http://schemas.openxmlformats.org/officeDocument/2006/relationships/hyperlink" Target="https://youtu.be/gp3Kie8fdf0" TargetMode="External"/><Relationship Id="rId117" Type="http://schemas.openxmlformats.org/officeDocument/2006/relationships/hyperlink" Target="https://youtu.be/gp3Kie8fdf0" TargetMode="External"/><Relationship Id="rId116" Type="http://schemas.openxmlformats.org/officeDocument/2006/relationships/hyperlink" Target="https://youtu.be/gp3Kie8fdf0" TargetMode="External"/><Relationship Id="rId115" Type="http://schemas.openxmlformats.org/officeDocument/2006/relationships/hyperlink" Target="https://www.youtube.com/watch?v=IO1QT7MQn1U" TargetMode="External"/><Relationship Id="rId119" Type="http://schemas.openxmlformats.org/officeDocument/2006/relationships/hyperlink" Target="https://youtu.be/gp3Kie8fdf0" TargetMode="External"/><Relationship Id="rId15" Type="http://schemas.openxmlformats.org/officeDocument/2006/relationships/hyperlink" Target="https://youtu.be/kjaSZqrC_d0" TargetMode="External"/><Relationship Id="rId110" Type="http://schemas.openxmlformats.org/officeDocument/2006/relationships/hyperlink" Target="https://www.youtube.com/watch?v=IO1QT7MQn1U" TargetMode="External"/><Relationship Id="rId14" Type="http://schemas.openxmlformats.org/officeDocument/2006/relationships/hyperlink" Target="https://youtu.be/kjaSZqrC_d0" TargetMode="External"/><Relationship Id="rId17" Type="http://schemas.openxmlformats.org/officeDocument/2006/relationships/hyperlink" Target="https://youtu.be/r8k0q1BYDqs" TargetMode="External"/><Relationship Id="rId16" Type="http://schemas.openxmlformats.org/officeDocument/2006/relationships/hyperlink" Target="https://youtu.be/kjaSZqrC_d0" TargetMode="External"/><Relationship Id="rId19" Type="http://schemas.openxmlformats.org/officeDocument/2006/relationships/hyperlink" Target="https://youtu.be/r8k0q1BYDqs" TargetMode="External"/><Relationship Id="rId114" Type="http://schemas.openxmlformats.org/officeDocument/2006/relationships/hyperlink" Target="https://youtu.be/TJpQ3fZIt20" TargetMode="External"/><Relationship Id="rId18" Type="http://schemas.openxmlformats.org/officeDocument/2006/relationships/hyperlink" Target="https://youtu.be/kjaSZqrC_d0" TargetMode="External"/><Relationship Id="rId113" Type="http://schemas.openxmlformats.org/officeDocument/2006/relationships/hyperlink" Target="https://www.youtube.com/watch?v=IO1QT7MQn1U" TargetMode="External"/><Relationship Id="rId112" Type="http://schemas.openxmlformats.org/officeDocument/2006/relationships/hyperlink" Target="https://www.youtube.com/watch?v=IO1QT7MQn1U" TargetMode="External"/><Relationship Id="rId111" Type="http://schemas.openxmlformats.org/officeDocument/2006/relationships/hyperlink" Target="https://www.youtube.com/watch?v=IO1QT7MQn1U" TargetMode="External"/><Relationship Id="rId84" Type="http://schemas.openxmlformats.org/officeDocument/2006/relationships/hyperlink" Target="https://www.youtube.com/watch?v=1HGK4SFyCXU" TargetMode="External"/><Relationship Id="rId83" Type="http://schemas.openxmlformats.org/officeDocument/2006/relationships/hyperlink" Target="https://www.youtube.com/watch?v=1HGK4SFyCXU" TargetMode="External"/><Relationship Id="rId86" Type="http://schemas.openxmlformats.org/officeDocument/2006/relationships/hyperlink" Target="https://www.youtube.com/watch?v=1HGK4SFyCXU" TargetMode="External"/><Relationship Id="rId85" Type="http://schemas.openxmlformats.org/officeDocument/2006/relationships/hyperlink" Target="https://www.youtube.com/watch?v=1HGK4SFyCXU" TargetMode="External"/><Relationship Id="rId88" Type="http://schemas.openxmlformats.org/officeDocument/2006/relationships/hyperlink" Target="https://www.youtube.com/watch?v=1HGK4SFyCXU" TargetMode="External"/><Relationship Id="rId150" Type="http://schemas.openxmlformats.org/officeDocument/2006/relationships/hyperlink" Target="https://youtu.be/ox8dFf_BBmA" TargetMode="External"/><Relationship Id="rId87" Type="http://schemas.openxmlformats.org/officeDocument/2006/relationships/hyperlink" Target="https://www.youtube.com/watch?v=1HGK4SFyCXU" TargetMode="External"/><Relationship Id="rId89" Type="http://schemas.openxmlformats.org/officeDocument/2006/relationships/hyperlink" Target="https://www.youtube.com/watch?v=1HGK4SFyCXU" TargetMode="External"/><Relationship Id="rId80" Type="http://schemas.openxmlformats.org/officeDocument/2006/relationships/hyperlink" Target="https://www.youtube.com/watch?v=1HGK4SFyCXU" TargetMode="External"/><Relationship Id="rId82" Type="http://schemas.openxmlformats.org/officeDocument/2006/relationships/hyperlink" Target="https://www.youtube.com/watch?v=1HGK4SFyCXU" TargetMode="External"/><Relationship Id="rId81" Type="http://schemas.openxmlformats.org/officeDocument/2006/relationships/hyperlink" Target="https://www.youtube.com/watch?v=1HGK4SFyCXU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r8k0q1BYDqs" TargetMode="External"/><Relationship Id="rId3" Type="http://schemas.openxmlformats.org/officeDocument/2006/relationships/hyperlink" Target="https://youtu.be/r8k0q1BYDqs" TargetMode="External"/><Relationship Id="rId149" Type="http://schemas.openxmlformats.org/officeDocument/2006/relationships/hyperlink" Target="https://youtu.be/ox8dFf_BBmA" TargetMode="External"/><Relationship Id="rId4" Type="http://schemas.openxmlformats.org/officeDocument/2006/relationships/hyperlink" Target="https://youtu.be/r8k0q1BYDqs" TargetMode="External"/><Relationship Id="rId148" Type="http://schemas.openxmlformats.org/officeDocument/2006/relationships/hyperlink" Target="https://youtu.be/ox8dFf_BBmA" TargetMode="External"/><Relationship Id="rId9" Type="http://schemas.openxmlformats.org/officeDocument/2006/relationships/hyperlink" Target="https://youtu.be/r8k0q1BYDqs" TargetMode="External"/><Relationship Id="rId143" Type="http://schemas.openxmlformats.org/officeDocument/2006/relationships/hyperlink" Target="https://youtu.be/gp3Kie8fdf0" TargetMode="External"/><Relationship Id="rId142" Type="http://schemas.openxmlformats.org/officeDocument/2006/relationships/hyperlink" Target="https://youtu.be/gp3Kie8fdf0" TargetMode="External"/><Relationship Id="rId141" Type="http://schemas.openxmlformats.org/officeDocument/2006/relationships/hyperlink" Target="https://youtu.be/gp3Kie8fdf0" TargetMode="External"/><Relationship Id="rId140" Type="http://schemas.openxmlformats.org/officeDocument/2006/relationships/hyperlink" Target="https://youtu.be/gp3Kie8fdf0" TargetMode="External"/><Relationship Id="rId5" Type="http://schemas.openxmlformats.org/officeDocument/2006/relationships/hyperlink" Target="https://youtu.be/r8k0q1BYDqs" TargetMode="External"/><Relationship Id="rId147" Type="http://schemas.openxmlformats.org/officeDocument/2006/relationships/hyperlink" Target="https://youtu.be/ox8dFf_BBmA" TargetMode="External"/><Relationship Id="rId6" Type="http://schemas.openxmlformats.org/officeDocument/2006/relationships/hyperlink" Target="https://youtu.be/r8k0q1BYDqs" TargetMode="External"/><Relationship Id="rId146" Type="http://schemas.openxmlformats.org/officeDocument/2006/relationships/hyperlink" Target="https://youtu.be/gp3Kie8fdf0" TargetMode="External"/><Relationship Id="rId7" Type="http://schemas.openxmlformats.org/officeDocument/2006/relationships/hyperlink" Target="https://youtu.be/r8k0q1BYDqs" TargetMode="External"/><Relationship Id="rId145" Type="http://schemas.openxmlformats.org/officeDocument/2006/relationships/hyperlink" Target="https://youtu.be/gp3Kie8fdf0" TargetMode="External"/><Relationship Id="rId8" Type="http://schemas.openxmlformats.org/officeDocument/2006/relationships/hyperlink" Target="https://youtu.be/r8k0q1BYDqs" TargetMode="External"/><Relationship Id="rId144" Type="http://schemas.openxmlformats.org/officeDocument/2006/relationships/hyperlink" Target="https://youtu.be/gp3Kie8fdf0" TargetMode="External"/><Relationship Id="rId73" Type="http://schemas.openxmlformats.org/officeDocument/2006/relationships/hyperlink" Target="https://www.youtube.com/watch?v=1HGK4SFyCXU" TargetMode="External"/><Relationship Id="rId72" Type="http://schemas.openxmlformats.org/officeDocument/2006/relationships/hyperlink" Target="https://www.youtube.com/watch?v=1HGK4SFyCXU" TargetMode="External"/><Relationship Id="rId75" Type="http://schemas.openxmlformats.org/officeDocument/2006/relationships/hyperlink" Target="https://youtu.be/BlMeWgEM2Ng" TargetMode="External"/><Relationship Id="rId74" Type="http://schemas.openxmlformats.org/officeDocument/2006/relationships/hyperlink" Target="https://www.youtube.com/watch?v=1HGK4SFyCXU" TargetMode="External"/><Relationship Id="rId77" Type="http://schemas.openxmlformats.org/officeDocument/2006/relationships/hyperlink" Target="https://www.youtube.com/watch?v=1HGK4SFyCXU" TargetMode="External"/><Relationship Id="rId76" Type="http://schemas.openxmlformats.org/officeDocument/2006/relationships/hyperlink" Target="https://www.youtube.com/watch?v=1HGK4SFyCXU" TargetMode="External"/><Relationship Id="rId79" Type="http://schemas.openxmlformats.org/officeDocument/2006/relationships/hyperlink" Target="https://www.youtube.com/watch?v=1HGK4SFyCXU" TargetMode="External"/><Relationship Id="rId78" Type="http://schemas.openxmlformats.org/officeDocument/2006/relationships/hyperlink" Target="https://www.youtube.com/watch?v=1HGK4SFyCXU" TargetMode="External"/><Relationship Id="rId71" Type="http://schemas.openxmlformats.org/officeDocument/2006/relationships/hyperlink" Target="https://www.youtube.com/watch?v=1HGK4SFyCXU" TargetMode="External"/><Relationship Id="rId70" Type="http://schemas.openxmlformats.org/officeDocument/2006/relationships/hyperlink" Target="https://www.youtube.com/watch?v=1HGK4SFyCXU" TargetMode="External"/><Relationship Id="rId139" Type="http://schemas.openxmlformats.org/officeDocument/2006/relationships/hyperlink" Target="https://youtu.be/gp3Kie8fdf0" TargetMode="External"/><Relationship Id="rId138" Type="http://schemas.openxmlformats.org/officeDocument/2006/relationships/hyperlink" Target="https://youtu.be/gp3Kie8fdf0" TargetMode="External"/><Relationship Id="rId137" Type="http://schemas.openxmlformats.org/officeDocument/2006/relationships/hyperlink" Target="https://youtu.be/gp3Kie8fdf0" TargetMode="External"/><Relationship Id="rId132" Type="http://schemas.openxmlformats.org/officeDocument/2006/relationships/hyperlink" Target="https://youtu.be/gp3Kie8fdf0" TargetMode="External"/><Relationship Id="rId131" Type="http://schemas.openxmlformats.org/officeDocument/2006/relationships/hyperlink" Target="https://youtu.be/gp3Kie8fdf0" TargetMode="External"/><Relationship Id="rId130" Type="http://schemas.openxmlformats.org/officeDocument/2006/relationships/hyperlink" Target="https://youtu.be/gp3Kie8fdf0" TargetMode="External"/><Relationship Id="rId136" Type="http://schemas.openxmlformats.org/officeDocument/2006/relationships/hyperlink" Target="https://youtu.be/gp3Kie8fdf0" TargetMode="External"/><Relationship Id="rId135" Type="http://schemas.openxmlformats.org/officeDocument/2006/relationships/hyperlink" Target="https://youtu.be/gp3Kie8fdf0" TargetMode="External"/><Relationship Id="rId134" Type="http://schemas.openxmlformats.org/officeDocument/2006/relationships/hyperlink" Target="https://youtu.be/gp3Kie8fdf0" TargetMode="External"/><Relationship Id="rId133" Type="http://schemas.openxmlformats.org/officeDocument/2006/relationships/hyperlink" Target="https://youtu.be/gp3Kie8fdf0" TargetMode="External"/><Relationship Id="rId62" Type="http://schemas.openxmlformats.org/officeDocument/2006/relationships/hyperlink" Target="https://www.youtube.com/watch?v=1HGK4SFyCXU" TargetMode="External"/><Relationship Id="rId61" Type="http://schemas.openxmlformats.org/officeDocument/2006/relationships/hyperlink" Target="https://www.youtube.com/watch?v=1HGK4SFyCXU" TargetMode="External"/><Relationship Id="rId64" Type="http://schemas.openxmlformats.org/officeDocument/2006/relationships/hyperlink" Target="https://www.youtube.com/watch?v=1HGK4SFyCXU" TargetMode="External"/><Relationship Id="rId63" Type="http://schemas.openxmlformats.org/officeDocument/2006/relationships/hyperlink" Target="https://www.youtube.com/watch?v=1HGK4SFyCXU" TargetMode="External"/><Relationship Id="rId66" Type="http://schemas.openxmlformats.org/officeDocument/2006/relationships/hyperlink" Target="https://www.youtube.com/watch?v=1HGK4SFyCXU" TargetMode="External"/><Relationship Id="rId172" Type="http://schemas.openxmlformats.org/officeDocument/2006/relationships/hyperlink" Target="https://www.youtube.com/watch?v=_yCllHMvQ_0" TargetMode="External"/><Relationship Id="rId65" Type="http://schemas.openxmlformats.org/officeDocument/2006/relationships/hyperlink" Target="https://www.youtube.com/watch?v=1HGK4SFyCXU" TargetMode="External"/><Relationship Id="rId171" Type="http://schemas.openxmlformats.org/officeDocument/2006/relationships/hyperlink" Target="https://www.youtube.com/watch?v=_yCllHMvQ_0" TargetMode="External"/><Relationship Id="rId68" Type="http://schemas.openxmlformats.org/officeDocument/2006/relationships/hyperlink" Target="https://www.youtube.com/watch?v=1HGK4SFyCXU" TargetMode="External"/><Relationship Id="rId170" Type="http://schemas.openxmlformats.org/officeDocument/2006/relationships/hyperlink" Target="https://www.youtube.com/watch?v=_yCllHMvQ_0" TargetMode="External"/><Relationship Id="rId67" Type="http://schemas.openxmlformats.org/officeDocument/2006/relationships/hyperlink" Target="https://www.youtube.com/watch?v=1HGK4SFyCXU" TargetMode="External"/><Relationship Id="rId60" Type="http://schemas.openxmlformats.org/officeDocument/2006/relationships/hyperlink" Target="https://www.youtube.com/watch?v=1HGK4SFyCXU" TargetMode="External"/><Relationship Id="rId165" Type="http://schemas.openxmlformats.org/officeDocument/2006/relationships/hyperlink" Target="https://www.youtube.com/watch?v=_yCllHMvQ_0" TargetMode="External"/><Relationship Id="rId69" Type="http://schemas.openxmlformats.org/officeDocument/2006/relationships/hyperlink" Target="https://www.youtube.com/watch?v=1HGK4SFyCXU" TargetMode="External"/><Relationship Id="rId164" Type="http://schemas.openxmlformats.org/officeDocument/2006/relationships/hyperlink" Target="https://www.youtube.com/watch?v=_yCllHMvQ_0" TargetMode="External"/><Relationship Id="rId163" Type="http://schemas.openxmlformats.org/officeDocument/2006/relationships/hyperlink" Target="https://www.youtube.com/watch?v=_yCllHMvQ_0" TargetMode="External"/><Relationship Id="rId162" Type="http://schemas.openxmlformats.org/officeDocument/2006/relationships/hyperlink" Target="https://www.youtube.com/watch?v=_yCllHMvQ_0" TargetMode="External"/><Relationship Id="rId169" Type="http://schemas.openxmlformats.org/officeDocument/2006/relationships/hyperlink" Target="https://www.youtube.com/watch?v=_yCllHMvQ_0" TargetMode="External"/><Relationship Id="rId168" Type="http://schemas.openxmlformats.org/officeDocument/2006/relationships/hyperlink" Target="https://www.youtube.com/watch?v=_yCllHMvQ_0" TargetMode="External"/><Relationship Id="rId167" Type="http://schemas.openxmlformats.org/officeDocument/2006/relationships/hyperlink" Target="https://www.youtube.com/watch?v=_yCllHMvQ_0" TargetMode="External"/><Relationship Id="rId166" Type="http://schemas.openxmlformats.org/officeDocument/2006/relationships/hyperlink" Target="https://www.youtube.com/watch?v=_yCllHMvQ_0" TargetMode="External"/><Relationship Id="rId51" Type="http://schemas.openxmlformats.org/officeDocument/2006/relationships/hyperlink" Target="https://www.youtube.com/watch?v=1HGK4SFyCXU" TargetMode="External"/><Relationship Id="rId50" Type="http://schemas.openxmlformats.org/officeDocument/2006/relationships/hyperlink" Target="https://www.youtube.com/watch?v=1HGK4SFyCXU" TargetMode="External"/><Relationship Id="rId53" Type="http://schemas.openxmlformats.org/officeDocument/2006/relationships/hyperlink" Target="https://youtu.be/_vVzJ773Bxs" TargetMode="External"/><Relationship Id="rId52" Type="http://schemas.openxmlformats.org/officeDocument/2006/relationships/hyperlink" Target="https://youtu.be/BlMeWgEM2Ng" TargetMode="External"/><Relationship Id="rId55" Type="http://schemas.openxmlformats.org/officeDocument/2006/relationships/hyperlink" Target="https://www.youtube.com/watch?v=1HGK4SFyCXU" TargetMode="External"/><Relationship Id="rId161" Type="http://schemas.openxmlformats.org/officeDocument/2006/relationships/hyperlink" Target="https://www.youtube.com/watch?v=_yCllHMvQ_0" TargetMode="External"/><Relationship Id="rId54" Type="http://schemas.openxmlformats.org/officeDocument/2006/relationships/hyperlink" Target="https://www.youtube.com/watch?v=1HGK4SFyCXU" TargetMode="External"/><Relationship Id="rId160" Type="http://schemas.openxmlformats.org/officeDocument/2006/relationships/hyperlink" Target="https://www.youtube.com/watch?v=_yCllHMvQ_0" TargetMode="External"/><Relationship Id="rId57" Type="http://schemas.openxmlformats.org/officeDocument/2006/relationships/hyperlink" Target="https://www.youtube.com/watch?v=1HGK4SFyCXU" TargetMode="External"/><Relationship Id="rId56" Type="http://schemas.openxmlformats.org/officeDocument/2006/relationships/hyperlink" Target="https://www.youtube.com/watch?v=1HGK4SFyCXU" TargetMode="External"/><Relationship Id="rId159" Type="http://schemas.openxmlformats.org/officeDocument/2006/relationships/hyperlink" Target="https://www.youtube.com/watch?v=_yCllHMvQ_0" TargetMode="External"/><Relationship Id="rId59" Type="http://schemas.openxmlformats.org/officeDocument/2006/relationships/hyperlink" Target="https://www.youtube.com/watch?v=1HGK4SFyCXU" TargetMode="External"/><Relationship Id="rId154" Type="http://schemas.openxmlformats.org/officeDocument/2006/relationships/hyperlink" Target="https://youtu.be/ox8dFf_BBmA" TargetMode="External"/><Relationship Id="rId58" Type="http://schemas.openxmlformats.org/officeDocument/2006/relationships/hyperlink" Target="https://www.youtube.com/watch?v=1HGK4SFyCXU" TargetMode="External"/><Relationship Id="rId153" Type="http://schemas.openxmlformats.org/officeDocument/2006/relationships/hyperlink" Target="https://youtu.be/ox8dFf_BBmA" TargetMode="External"/><Relationship Id="rId152" Type="http://schemas.openxmlformats.org/officeDocument/2006/relationships/hyperlink" Target="https://youtu.be/ox8dFf_BBmA" TargetMode="External"/><Relationship Id="rId151" Type="http://schemas.openxmlformats.org/officeDocument/2006/relationships/hyperlink" Target="https://youtu.be/ox8dFf_BBmA" TargetMode="External"/><Relationship Id="rId158" Type="http://schemas.openxmlformats.org/officeDocument/2006/relationships/hyperlink" Target="https://www.youtube.com/watch?v=_yCllHMvQ_0" TargetMode="External"/><Relationship Id="rId157" Type="http://schemas.openxmlformats.org/officeDocument/2006/relationships/hyperlink" Target="https://youtu.be/ox8dFf_BBmA" TargetMode="External"/><Relationship Id="rId156" Type="http://schemas.openxmlformats.org/officeDocument/2006/relationships/hyperlink" Target="https://youtu.be/ox8dFf_BBmA" TargetMode="External"/><Relationship Id="rId155" Type="http://schemas.openxmlformats.org/officeDocument/2006/relationships/hyperlink" Target="https://youtu.be/ox8dFf_BBmA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31" Type="http://schemas.openxmlformats.org/officeDocument/2006/relationships/vmlDrawing" Target="../drawings/vmlDrawing2.vml"/><Relationship Id="rId30" Type="http://schemas.openxmlformats.org/officeDocument/2006/relationships/drawing" Target="../drawings/drawing7.xml"/><Relationship Id="rId20" Type="http://schemas.openxmlformats.org/officeDocument/2006/relationships/hyperlink" Target="https://youtu.be/r8k0q1BYDqs" TargetMode="External"/><Relationship Id="rId22" Type="http://schemas.openxmlformats.org/officeDocument/2006/relationships/hyperlink" Target="https://youtu.be/r8k0q1BYDqs" TargetMode="External"/><Relationship Id="rId21" Type="http://schemas.openxmlformats.org/officeDocument/2006/relationships/hyperlink" Target="https://youtu.be/r8k0q1BYDqs" TargetMode="External"/><Relationship Id="rId24" Type="http://schemas.openxmlformats.org/officeDocument/2006/relationships/hyperlink" Target="https://youtu.be/r8k0q1BYDqs" TargetMode="External"/><Relationship Id="rId23" Type="http://schemas.openxmlformats.org/officeDocument/2006/relationships/hyperlink" Target="https://youtu.be/r8k0q1BYDqs" TargetMode="External"/><Relationship Id="rId26" Type="http://schemas.openxmlformats.org/officeDocument/2006/relationships/hyperlink" Target="https://youtu.be/r8k0q1BYDqs" TargetMode="External"/><Relationship Id="rId25" Type="http://schemas.openxmlformats.org/officeDocument/2006/relationships/hyperlink" Target="https://youtu.be/r8k0q1BYDqs" TargetMode="External"/><Relationship Id="rId28" Type="http://schemas.openxmlformats.org/officeDocument/2006/relationships/hyperlink" Target="https://youtu.be/r8k0q1BYDqs" TargetMode="External"/><Relationship Id="rId27" Type="http://schemas.openxmlformats.org/officeDocument/2006/relationships/hyperlink" Target="https://youtu.be/r8k0q1BYDqs" TargetMode="External"/><Relationship Id="rId29" Type="http://schemas.openxmlformats.org/officeDocument/2006/relationships/hyperlink" Target="https://youtu.be/kjaSZqrC_d0" TargetMode="External"/><Relationship Id="rId11" Type="http://schemas.openxmlformats.org/officeDocument/2006/relationships/hyperlink" Target="https://youtu.be/r8k0q1BYDqs" TargetMode="External"/><Relationship Id="rId10" Type="http://schemas.openxmlformats.org/officeDocument/2006/relationships/hyperlink" Target="https://youtu.be/AF5i_Yuv2cQ" TargetMode="External"/><Relationship Id="rId13" Type="http://schemas.openxmlformats.org/officeDocument/2006/relationships/hyperlink" Target="https://youtu.be/r8k0q1BYDqs" TargetMode="External"/><Relationship Id="rId12" Type="http://schemas.openxmlformats.org/officeDocument/2006/relationships/hyperlink" Target="https://www.youtube.com/watch?v=pTsLuaXOJWY" TargetMode="External"/><Relationship Id="rId15" Type="http://schemas.openxmlformats.org/officeDocument/2006/relationships/hyperlink" Target="https://youtu.be/kjaSZqrC_d0" TargetMode="External"/><Relationship Id="rId14" Type="http://schemas.openxmlformats.org/officeDocument/2006/relationships/hyperlink" Target="https://youtu.be/kjaSZqrC_d0" TargetMode="External"/><Relationship Id="rId17" Type="http://schemas.openxmlformats.org/officeDocument/2006/relationships/hyperlink" Target="https://youtu.be/r8k0q1BYDqs" TargetMode="External"/><Relationship Id="rId16" Type="http://schemas.openxmlformats.org/officeDocument/2006/relationships/hyperlink" Target="https://youtu.be/kjaSZqrC_d0" TargetMode="External"/><Relationship Id="rId19" Type="http://schemas.openxmlformats.org/officeDocument/2006/relationships/hyperlink" Target="https://youtu.be/r8k0q1BYDqs" TargetMode="External"/><Relationship Id="rId18" Type="http://schemas.openxmlformats.org/officeDocument/2006/relationships/hyperlink" Target="https://youtu.be/kjaSZqrC_d0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youtu.be/r8k0q1BYDqs" TargetMode="External"/><Relationship Id="rId3" Type="http://schemas.openxmlformats.org/officeDocument/2006/relationships/hyperlink" Target="https://youtu.be/r8k0q1BYDqs" TargetMode="External"/><Relationship Id="rId4" Type="http://schemas.openxmlformats.org/officeDocument/2006/relationships/hyperlink" Target="https://youtu.be/r8k0q1BYDqs" TargetMode="External"/><Relationship Id="rId9" Type="http://schemas.openxmlformats.org/officeDocument/2006/relationships/hyperlink" Target="https://youtu.be/r8k0q1BYDqs" TargetMode="External"/><Relationship Id="rId5" Type="http://schemas.openxmlformats.org/officeDocument/2006/relationships/hyperlink" Target="https://youtu.be/r8k0q1BYDqs" TargetMode="External"/><Relationship Id="rId6" Type="http://schemas.openxmlformats.org/officeDocument/2006/relationships/hyperlink" Target="https://youtu.be/r8k0q1BYDqs" TargetMode="External"/><Relationship Id="rId7" Type="http://schemas.openxmlformats.org/officeDocument/2006/relationships/hyperlink" Target="https://youtu.be/r8k0q1BYDqs" TargetMode="External"/><Relationship Id="rId8" Type="http://schemas.openxmlformats.org/officeDocument/2006/relationships/hyperlink" Target="https://youtu.be/r8k0q1BYDqs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-fSMuccx1cg" TargetMode="External"/><Relationship Id="rId10" Type="http://schemas.openxmlformats.org/officeDocument/2006/relationships/hyperlink" Target="https://youtu.be/-fSMuccx1cg" TargetMode="External"/><Relationship Id="rId13" Type="http://schemas.openxmlformats.org/officeDocument/2006/relationships/hyperlink" Target="https://youtu.be/-fSMuccx1cg" TargetMode="External"/><Relationship Id="rId12" Type="http://schemas.openxmlformats.org/officeDocument/2006/relationships/hyperlink" Target="https://youtu.be/-fSMuccx1cg" TargetMode="External"/><Relationship Id="rId15" Type="http://schemas.openxmlformats.org/officeDocument/2006/relationships/hyperlink" Target="https://youtu.be/-fSMuccx1cg" TargetMode="External"/><Relationship Id="rId14" Type="http://schemas.openxmlformats.org/officeDocument/2006/relationships/hyperlink" Target="https://youtu.be/-fSMuccx1cg" TargetMode="External"/><Relationship Id="rId17" Type="http://schemas.openxmlformats.org/officeDocument/2006/relationships/hyperlink" Target="https://youtu.be/-fSMuccx1cg" TargetMode="External"/><Relationship Id="rId16" Type="http://schemas.openxmlformats.org/officeDocument/2006/relationships/hyperlink" Target="https://youtu.be/-fSMuccx1cg" TargetMode="External"/><Relationship Id="rId19" Type="http://schemas.openxmlformats.org/officeDocument/2006/relationships/vmlDrawing" Target="../drawings/vmlDrawing3.vml"/><Relationship Id="rId18" Type="http://schemas.openxmlformats.org/officeDocument/2006/relationships/drawing" Target="../drawings/drawing8.xml"/><Relationship Id="rId1" Type="http://schemas.openxmlformats.org/officeDocument/2006/relationships/comments" Target="../comments3.xml"/><Relationship Id="rId2" Type="http://schemas.openxmlformats.org/officeDocument/2006/relationships/hyperlink" Target="https://youtu.be/-fSMuccx1cg" TargetMode="External"/><Relationship Id="rId3" Type="http://schemas.openxmlformats.org/officeDocument/2006/relationships/hyperlink" Target="https://youtu.be/-fSMuccx1cg" TargetMode="External"/><Relationship Id="rId4" Type="http://schemas.openxmlformats.org/officeDocument/2006/relationships/hyperlink" Target="https://youtu.be/-fSMuccx1cg" TargetMode="External"/><Relationship Id="rId9" Type="http://schemas.openxmlformats.org/officeDocument/2006/relationships/hyperlink" Target="https://youtu.be/-fSMuccx1cg" TargetMode="External"/><Relationship Id="rId5" Type="http://schemas.openxmlformats.org/officeDocument/2006/relationships/hyperlink" Target="https://youtu.be/-fSMuccx1cg" TargetMode="External"/><Relationship Id="rId6" Type="http://schemas.openxmlformats.org/officeDocument/2006/relationships/hyperlink" Target="https://youtu.be/-fSMuccx1cg" TargetMode="External"/><Relationship Id="rId7" Type="http://schemas.openxmlformats.org/officeDocument/2006/relationships/hyperlink" Target="https://youtu.be/-fSMuccx1cg" TargetMode="External"/><Relationship Id="rId8" Type="http://schemas.openxmlformats.org/officeDocument/2006/relationships/hyperlink" Target="https://youtu.be/-fSMuccx1c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1HGK4SFyCXU" TargetMode="External"/><Relationship Id="rId22" Type="http://schemas.openxmlformats.org/officeDocument/2006/relationships/hyperlink" Target="https://www.youtube.com/watch?v=1HGK4SFyCXU" TargetMode="External"/><Relationship Id="rId21" Type="http://schemas.openxmlformats.org/officeDocument/2006/relationships/hyperlink" Target="https://www.youtube.com/watch?v=1HGK4SFyCXU" TargetMode="External"/><Relationship Id="rId24" Type="http://schemas.openxmlformats.org/officeDocument/2006/relationships/hyperlink" Target="https://www.youtube.com/watch?v=1HGK4SFyCXU" TargetMode="External"/><Relationship Id="rId23" Type="http://schemas.openxmlformats.org/officeDocument/2006/relationships/hyperlink" Target="https://www.youtube.com/watch?v=1HGK4SFyCXU" TargetMode="External"/><Relationship Id="rId26" Type="http://schemas.openxmlformats.org/officeDocument/2006/relationships/vmlDrawing" Target="../drawings/vmlDrawing5.vml"/><Relationship Id="rId25" Type="http://schemas.openxmlformats.org/officeDocument/2006/relationships/drawing" Target="../drawings/drawing10.xml"/><Relationship Id="rId11" Type="http://schemas.openxmlformats.org/officeDocument/2006/relationships/hyperlink" Target="https://www.youtube.com/watch?v=1HGK4SFyCXU" TargetMode="External"/><Relationship Id="rId10" Type="http://schemas.openxmlformats.org/officeDocument/2006/relationships/hyperlink" Target="https://www.youtube.com/watch?v=1HGK4SFyCXU" TargetMode="External"/><Relationship Id="rId13" Type="http://schemas.openxmlformats.org/officeDocument/2006/relationships/hyperlink" Target="https://www.youtube.com/watch?v=1HGK4SFyCXU" TargetMode="External"/><Relationship Id="rId12" Type="http://schemas.openxmlformats.org/officeDocument/2006/relationships/hyperlink" Target="https://www.youtube.com/watch?v=1HGK4SFyCXU" TargetMode="External"/><Relationship Id="rId15" Type="http://schemas.openxmlformats.org/officeDocument/2006/relationships/hyperlink" Target="https://www.youtube.com/watch?v=1HGK4SFyCXU" TargetMode="External"/><Relationship Id="rId14" Type="http://schemas.openxmlformats.org/officeDocument/2006/relationships/hyperlink" Target="https://www.youtube.com/watch?v=1HGK4SFyCXU" TargetMode="External"/><Relationship Id="rId17" Type="http://schemas.openxmlformats.org/officeDocument/2006/relationships/hyperlink" Target="https://www.youtube.com/watch?v=1HGK4SFyCXU" TargetMode="External"/><Relationship Id="rId16" Type="http://schemas.openxmlformats.org/officeDocument/2006/relationships/hyperlink" Target="https://www.youtube.com/watch?v=1HGK4SFyCXU" TargetMode="External"/><Relationship Id="rId19" Type="http://schemas.openxmlformats.org/officeDocument/2006/relationships/hyperlink" Target="https://www.youtube.com/watch?v=1HGK4SFyCXU" TargetMode="External"/><Relationship Id="rId18" Type="http://schemas.openxmlformats.org/officeDocument/2006/relationships/hyperlink" Target="https://www.youtube.com/watch?v=1HGK4SFyCXU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www.youtube.com/watch?v=1HGK4SFyCXU" TargetMode="External"/><Relationship Id="rId3" Type="http://schemas.openxmlformats.org/officeDocument/2006/relationships/hyperlink" Target="https://www.youtube.com/watch?v=1HGK4SFyCXU" TargetMode="External"/><Relationship Id="rId4" Type="http://schemas.openxmlformats.org/officeDocument/2006/relationships/hyperlink" Target="https://www.youtube.com/watch?v=1HGK4SFyCXU" TargetMode="External"/><Relationship Id="rId9" Type="http://schemas.openxmlformats.org/officeDocument/2006/relationships/hyperlink" Target="https://youtu.be/_vVzJ773Bxs" TargetMode="External"/><Relationship Id="rId5" Type="http://schemas.openxmlformats.org/officeDocument/2006/relationships/hyperlink" Target="https://www.youtube.com/watch?v=1HGK4SFyCXU" TargetMode="External"/><Relationship Id="rId6" Type="http://schemas.openxmlformats.org/officeDocument/2006/relationships/hyperlink" Target="https://www.youtube.com/watch?v=1HGK4SFyCXU" TargetMode="External"/><Relationship Id="rId7" Type="http://schemas.openxmlformats.org/officeDocument/2006/relationships/hyperlink" Target="https://www.youtube.com/watch?v=1HGK4SFyCXU" TargetMode="External"/><Relationship Id="rId8" Type="http://schemas.openxmlformats.org/officeDocument/2006/relationships/hyperlink" Target="https://youtu.be/BlMeWgEM2Ng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1HGK4SFyCXU" TargetMode="External"/><Relationship Id="rId22" Type="http://schemas.openxmlformats.org/officeDocument/2006/relationships/hyperlink" Target="https://www.youtube.com/watch?v=1HGK4SFyCXU" TargetMode="External"/><Relationship Id="rId21" Type="http://schemas.openxmlformats.org/officeDocument/2006/relationships/hyperlink" Target="https://www.youtube.com/watch?v=1HGK4SFyCXU" TargetMode="External"/><Relationship Id="rId24" Type="http://schemas.openxmlformats.org/officeDocument/2006/relationships/drawing" Target="../drawings/drawing11.xml"/><Relationship Id="rId23" Type="http://schemas.openxmlformats.org/officeDocument/2006/relationships/hyperlink" Target="https://www.youtube.com/watch?v=1HGK4SFyCXU" TargetMode="External"/><Relationship Id="rId25" Type="http://schemas.openxmlformats.org/officeDocument/2006/relationships/vmlDrawing" Target="../drawings/vmlDrawing6.vml"/><Relationship Id="rId11" Type="http://schemas.openxmlformats.org/officeDocument/2006/relationships/hyperlink" Target="https://www.youtube.com/watch?v=1HGK4SFyCXU" TargetMode="External"/><Relationship Id="rId10" Type="http://schemas.openxmlformats.org/officeDocument/2006/relationships/hyperlink" Target="https://www.youtube.com/watch?v=1HGK4SFyCXU" TargetMode="External"/><Relationship Id="rId13" Type="http://schemas.openxmlformats.org/officeDocument/2006/relationships/hyperlink" Target="https://www.youtube.com/watch?v=1HGK4SFyCXU" TargetMode="External"/><Relationship Id="rId12" Type="http://schemas.openxmlformats.org/officeDocument/2006/relationships/hyperlink" Target="https://www.youtube.com/watch?v=1HGK4SFyCXU" TargetMode="External"/><Relationship Id="rId15" Type="http://schemas.openxmlformats.org/officeDocument/2006/relationships/hyperlink" Target="https://www.youtube.com/watch?v=1HGK4SFyCXU" TargetMode="External"/><Relationship Id="rId14" Type="http://schemas.openxmlformats.org/officeDocument/2006/relationships/hyperlink" Target="https://www.youtube.com/watch?v=1HGK4SFyCXU" TargetMode="External"/><Relationship Id="rId17" Type="http://schemas.openxmlformats.org/officeDocument/2006/relationships/hyperlink" Target="https://www.youtube.com/watch?v=1HGK4SFyCXU" TargetMode="External"/><Relationship Id="rId16" Type="http://schemas.openxmlformats.org/officeDocument/2006/relationships/hyperlink" Target="https://www.youtube.com/watch?v=1HGK4SFyCXU" TargetMode="External"/><Relationship Id="rId19" Type="http://schemas.openxmlformats.org/officeDocument/2006/relationships/hyperlink" Target="https://www.youtube.com/watch?v=1HGK4SFyCXU" TargetMode="External"/><Relationship Id="rId18" Type="http://schemas.openxmlformats.org/officeDocument/2006/relationships/hyperlink" Target="https://www.youtube.com/watch?v=1HGK4SFyCXU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www.youtube.com/watch?v=1HGK4SFyCXU" TargetMode="External"/><Relationship Id="rId3" Type="http://schemas.openxmlformats.org/officeDocument/2006/relationships/hyperlink" Target="https://www.youtube.com/watch?v=1HGK4SFyCXU" TargetMode="External"/><Relationship Id="rId4" Type="http://schemas.openxmlformats.org/officeDocument/2006/relationships/hyperlink" Target="https://www.youtube.com/watch?v=1HGK4SFyCXU" TargetMode="External"/><Relationship Id="rId9" Type="http://schemas.openxmlformats.org/officeDocument/2006/relationships/hyperlink" Target="https://www.youtube.com/watch?v=1HGK4SFyCXU" TargetMode="External"/><Relationship Id="rId5" Type="http://schemas.openxmlformats.org/officeDocument/2006/relationships/hyperlink" Target="https://www.youtube.com/watch?v=1HGK4SFyCXU" TargetMode="External"/><Relationship Id="rId6" Type="http://schemas.openxmlformats.org/officeDocument/2006/relationships/hyperlink" Target="https://www.youtube.com/watch?v=1HGK4SFyCXU" TargetMode="External"/><Relationship Id="rId7" Type="http://schemas.openxmlformats.org/officeDocument/2006/relationships/hyperlink" Target="https://www.youtube.com/watch?v=1HGK4SFyCXU" TargetMode="External"/><Relationship Id="rId8" Type="http://schemas.openxmlformats.org/officeDocument/2006/relationships/hyperlink" Target="https://youtu.be/BlMeWgEM2Ng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t8fD7dE1G5w" TargetMode="External"/><Relationship Id="rId10" Type="http://schemas.openxmlformats.org/officeDocument/2006/relationships/hyperlink" Target="https://youtu.be/t8fD7dE1G5w" TargetMode="External"/><Relationship Id="rId13" Type="http://schemas.openxmlformats.org/officeDocument/2006/relationships/hyperlink" Target="https://youtu.be/t8fD7dE1G5w" TargetMode="External"/><Relationship Id="rId12" Type="http://schemas.openxmlformats.org/officeDocument/2006/relationships/hyperlink" Target="https://youtu.be/t8fD7dE1G5w" TargetMode="External"/><Relationship Id="rId15" Type="http://schemas.openxmlformats.org/officeDocument/2006/relationships/hyperlink" Target="https://youtu.be/t8fD7dE1G5w" TargetMode="External"/><Relationship Id="rId14" Type="http://schemas.openxmlformats.org/officeDocument/2006/relationships/hyperlink" Target="https://youtu.be/t8fD7dE1G5w" TargetMode="External"/><Relationship Id="rId17" Type="http://schemas.openxmlformats.org/officeDocument/2006/relationships/hyperlink" Target="https://youtu.be/t8fD7dE1G5w" TargetMode="External"/><Relationship Id="rId16" Type="http://schemas.openxmlformats.org/officeDocument/2006/relationships/hyperlink" Target="https://youtu.be/t8fD7dE1G5w" TargetMode="External"/><Relationship Id="rId19" Type="http://schemas.openxmlformats.org/officeDocument/2006/relationships/vmlDrawing" Target="../drawings/vmlDrawing7.vml"/><Relationship Id="rId18" Type="http://schemas.openxmlformats.org/officeDocument/2006/relationships/drawing" Target="../drawings/drawing12.xml"/><Relationship Id="rId1" Type="http://schemas.openxmlformats.org/officeDocument/2006/relationships/comments" Target="../comments7.xml"/><Relationship Id="rId2" Type="http://schemas.openxmlformats.org/officeDocument/2006/relationships/hyperlink" Target="https://youtu.be/t8fD7dE1G5w" TargetMode="External"/><Relationship Id="rId3" Type="http://schemas.openxmlformats.org/officeDocument/2006/relationships/hyperlink" Target="https://youtu.be/t8fD7dE1G5w" TargetMode="External"/><Relationship Id="rId4" Type="http://schemas.openxmlformats.org/officeDocument/2006/relationships/hyperlink" Target="https://youtu.be/t8fD7dE1G5w" TargetMode="External"/><Relationship Id="rId9" Type="http://schemas.openxmlformats.org/officeDocument/2006/relationships/hyperlink" Target="https://youtu.be/t8fD7dE1G5w" TargetMode="External"/><Relationship Id="rId5" Type="http://schemas.openxmlformats.org/officeDocument/2006/relationships/hyperlink" Target="https://youtu.be/t8fD7dE1G5w" TargetMode="External"/><Relationship Id="rId6" Type="http://schemas.openxmlformats.org/officeDocument/2006/relationships/hyperlink" Target="https://youtu.be/t8fD7dE1G5w" TargetMode="External"/><Relationship Id="rId7" Type="http://schemas.openxmlformats.org/officeDocument/2006/relationships/hyperlink" Target="https://youtu.be/t8fD7dE1G5w" TargetMode="External"/><Relationship Id="rId8" Type="http://schemas.openxmlformats.org/officeDocument/2006/relationships/hyperlink" Target="https://youtu.be/t8fD7dE1G5w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3.xml"/><Relationship Id="rId10" Type="http://schemas.openxmlformats.org/officeDocument/2006/relationships/hyperlink" Target="https://www.youtube.com/watch?v=IO1QT7MQn1U" TargetMode="External"/><Relationship Id="rId12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openxmlformats.org/officeDocument/2006/relationships/hyperlink" Target="https://www.youtube.com/watch?v=IO1QT7MQn1U" TargetMode="External"/><Relationship Id="rId3" Type="http://schemas.openxmlformats.org/officeDocument/2006/relationships/hyperlink" Target="https://www.youtube.com/watch?v=IO1QT7MQn1U" TargetMode="External"/><Relationship Id="rId4" Type="http://schemas.openxmlformats.org/officeDocument/2006/relationships/hyperlink" Target="https://www.youtube.com/watch?v=IO1QT7MQn1U" TargetMode="External"/><Relationship Id="rId9" Type="http://schemas.openxmlformats.org/officeDocument/2006/relationships/hyperlink" Target="https://youtu.be/TJpQ3fZIt20" TargetMode="External"/><Relationship Id="rId5" Type="http://schemas.openxmlformats.org/officeDocument/2006/relationships/hyperlink" Target="https://www.youtube.com/watch?v=IO1QT7MQn1U" TargetMode="External"/><Relationship Id="rId6" Type="http://schemas.openxmlformats.org/officeDocument/2006/relationships/hyperlink" Target="https://www.youtube.com/watch?v=IO1QT7MQn1U" TargetMode="External"/><Relationship Id="rId7" Type="http://schemas.openxmlformats.org/officeDocument/2006/relationships/hyperlink" Target="https://www.youtube.com/watch?v=IO1QT7MQn1U" TargetMode="External"/><Relationship Id="rId8" Type="http://schemas.openxmlformats.org/officeDocument/2006/relationships/hyperlink" Target="https://www.youtube.com/watch?v=IO1QT7MQn1U" TargetMode="External"/></Relationships>
</file>

<file path=xl/worksheets/_rels/sheet14.xml.rels><?xml version="1.0" encoding="UTF-8" standalone="yes"?><Relationships xmlns="http://schemas.openxmlformats.org/package/2006/relationships"><Relationship Id="rId31" Type="http://schemas.openxmlformats.org/officeDocument/2006/relationships/hyperlink" Target="https://youtu.be/gp3Kie8fdf0" TargetMode="External"/><Relationship Id="rId30" Type="http://schemas.openxmlformats.org/officeDocument/2006/relationships/hyperlink" Target="https://youtu.be/gp3Kie8fdf0" TargetMode="External"/><Relationship Id="rId33" Type="http://schemas.openxmlformats.org/officeDocument/2006/relationships/drawing" Target="../drawings/drawing14.xml"/><Relationship Id="rId32" Type="http://schemas.openxmlformats.org/officeDocument/2006/relationships/hyperlink" Target="https://youtu.be/gp3Kie8fdf0" TargetMode="External"/><Relationship Id="rId34" Type="http://schemas.openxmlformats.org/officeDocument/2006/relationships/vmlDrawing" Target="../drawings/vmlDrawing9.vml"/><Relationship Id="rId20" Type="http://schemas.openxmlformats.org/officeDocument/2006/relationships/hyperlink" Target="https://youtu.be/gp3Kie8fdf0" TargetMode="External"/><Relationship Id="rId22" Type="http://schemas.openxmlformats.org/officeDocument/2006/relationships/hyperlink" Target="https://youtu.be/gp3Kie8fdf0" TargetMode="External"/><Relationship Id="rId21" Type="http://schemas.openxmlformats.org/officeDocument/2006/relationships/hyperlink" Target="https://youtu.be/gp3Kie8fdf0" TargetMode="External"/><Relationship Id="rId24" Type="http://schemas.openxmlformats.org/officeDocument/2006/relationships/hyperlink" Target="https://youtu.be/gp3Kie8fdf0" TargetMode="External"/><Relationship Id="rId23" Type="http://schemas.openxmlformats.org/officeDocument/2006/relationships/hyperlink" Target="https://youtu.be/gp3Kie8fdf0" TargetMode="External"/><Relationship Id="rId26" Type="http://schemas.openxmlformats.org/officeDocument/2006/relationships/hyperlink" Target="https://youtu.be/gp3Kie8fdf0" TargetMode="External"/><Relationship Id="rId25" Type="http://schemas.openxmlformats.org/officeDocument/2006/relationships/hyperlink" Target="https://youtu.be/gp3Kie8fdf0" TargetMode="External"/><Relationship Id="rId28" Type="http://schemas.openxmlformats.org/officeDocument/2006/relationships/hyperlink" Target="https://youtu.be/gp3Kie8fdf0" TargetMode="External"/><Relationship Id="rId27" Type="http://schemas.openxmlformats.org/officeDocument/2006/relationships/hyperlink" Target="https://youtu.be/gp3Kie8fdf0" TargetMode="External"/><Relationship Id="rId29" Type="http://schemas.openxmlformats.org/officeDocument/2006/relationships/hyperlink" Target="https://youtu.be/gp3Kie8fdf0" TargetMode="External"/><Relationship Id="rId11" Type="http://schemas.openxmlformats.org/officeDocument/2006/relationships/hyperlink" Target="https://youtu.be/gp3Kie8fdf0" TargetMode="External"/><Relationship Id="rId10" Type="http://schemas.openxmlformats.org/officeDocument/2006/relationships/hyperlink" Target="https://youtu.be/gp3Kie8fdf0" TargetMode="External"/><Relationship Id="rId13" Type="http://schemas.openxmlformats.org/officeDocument/2006/relationships/hyperlink" Target="https://youtu.be/gp3Kie8fdf0" TargetMode="External"/><Relationship Id="rId12" Type="http://schemas.openxmlformats.org/officeDocument/2006/relationships/hyperlink" Target="https://youtu.be/gp3Kie8fdf0" TargetMode="External"/><Relationship Id="rId15" Type="http://schemas.openxmlformats.org/officeDocument/2006/relationships/hyperlink" Target="https://youtu.be/gp3Kie8fdf0" TargetMode="External"/><Relationship Id="rId14" Type="http://schemas.openxmlformats.org/officeDocument/2006/relationships/hyperlink" Target="https://youtu.be/gp3Kie8fdf0" TargetMode="External"/><Relationship Id="rId17" Type="http://schemas.openxmlformats.org/officeDocument/2006/relationships/hyperlink" Target="https://youtu.be/gp3Kie8fdf0" TargetMode="External"/><Relationship Id="rId16" Type="http://schemas.openxmlformats.org/officeDocument/2006/relationships/hyperlink" Target="https://youtu.be/gp3Kie8fdf0" TargetMode="External"/><Relationship Id="rId19" Type="http://schemas.openxmlformats.org/officeDocument/2006/relationships/hyperlink" Target="https://youtu.be/gp3Kie8fdf0" TargetMode="External"/><Relationship Id="rId18" Type="http://schemas.openxmlformats.org/officeDocument/2006/relationships/hyperlink" Target="https://youtu.be/gp3Kie8fdf0" TargetMode="External"/><Relationship Id="rId1" Type="http://schemas.openxmlformats.org/officeDocument/2006/relationships/comments" Target="../comments9.xml"/><Relationship Id="rId2" Type="http://schemas.openxmlformats.org/officeDocument/2006/relationships/hyperlink" Target="https://youtu.be/gp3Kie8fdf0" TargetMode="External"/><Relationship Id="rId3" Type="http://schemas.openxmlformats.org/officeDocument/2006/relationships/hyperlink" Target="https://youtu.be/gp3Kie8fdf0" TargetMode="External"/><Relationship Id="rId4" Type="http://schemas.openxmlformats.org/officeDocument/2006/relationships/hyperlink" Target="https://youtu.be/gp3Kie8fdf0" TargetMode="External"/><Relationship Id="rId9" Type="http://schemas.openxmlformats.org/officeDocument/2006/relationships/hyperlink" Target="https://youtu.be/gp3Kie8fdf0" TargetMode="External"/><Relationship Id="rId5" Type="http://schemas.openxmlformats.org/officeDocument/2006/relationships/hyperlink" Target="https://youtu.be/gp3Kie8fdf0" TargetMode="External"/><Relationship Id="rId6" Type="http://schemas.openxmlformats.org/officeDocument/2006/relationships/hyperlink" Target="https://youtu.be/gp3Kie8fdf0" TargetMode="External"/><Relationship Id="rId7" Type="http://schemas.openxmlformats.org/officeDocument/2006/relationships/hyperlink" Target="https://youtu.be/gp3Kie8fdf0" TargetMode="External"/><Relationship Id="rId8" Type="http://schemas.openxmlformats.org/officeDocument/2006/relationships/hyperlink" Target="https://youtu.be/gp3Kie8fdf0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0.vm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ox8dFf_BBmA" TargetMode="External"/><Relationship Id="rId10" Type="http://schemas.openxmlformats.org/officeDocument/2006/relationships/hyperlink" Target="https://youtu.be/ox8dFf_BBmA" TargetMode="External"/><Relationship Id="rId13" Type="http://schemas.openxmlformats.org/officeDocument/2006/relationships/drawing" Target="../drawings/drawing16.xml"/><Relationship Id="rId12" Type="http://schemas.openxmlformats.org/officeDocument/2006/relationships/hyperlink" Target="https://youtu.be/ox8dFf_BBmA" TargetMode="External"/><Relationship Id="rId14" Type="http://schemas.openxmlformats.org/officeDocument/2006/relationships/vmlDrawing" Target="../drawings/vmlDrawing11.vml"/><Relationship Id="rId1" Type="http://schemas.openxmlformats.org/officeDocument/2006/relationships/comments" Target="../comments11.xml"/><Relationship Id="rId2" Type="http://schemas.openxmlformats.org/officeDocument/2006/relationships/hyperlink" Target="https://youtu.be/ox8dFf_BBmA" TargetMode="External"/><Relationship Id="rId3" Type="http://schemas.openxmlformats.org/officeDocument/2006/relationships/hyperlink" Target="https://youtu.be/ox8dFf_BBmA" TargetMode="External"/><Relationship Id="rId4" Type="http://schemas.openxmlformats.org/officeDocument/2006/relationships/hyperlink" Target="https://youtu.be/ox8dFf_BBmA" TargetMode="External"/><Relationship Id="rId9" Type="http://schemas.openxmlformats.org/officeDocument/2006/relationships/hyperlink" Target="https://youtu.be/ox8dFf_BBmA" TargetMode="External"/><Relationship Id="rId5" Type="http://schemas.openxmlformats.org/officeDocument/2006/relationships/hyperlink" Target="https://youtu.be/ox8dFf_BBmA" TargetMode="External"/><Relationship Id="rId6" Type="http://schemas.openxmlformats.org/officeDocument/2006/relationships/hyperlink" Target="https://youtu.be/ox8dFf_BBmA" TargetMode="External"/><Relationship Id="rId7" Type="http://schemas.openxmlformats.org/officeDocument/2006/relationships/hyperlink" Target="https://youtu.be/ox8dFf_BBmA" TargetMode="External"/><Relationship Id="rId8" Type="http://schemas.openxmlformats.org/officeDocument/2006/relationships/hyperlink" Target="https://youtu.be/ox8dFf_BBmA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2.vml"/></Relationships>
</file>

<file path=xl/worksheets/_rels/sheet18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youtube.com/watch?v=_yCllHMvQ_0" TargetMode="External"/><Relationship Id="rId30" Type="http://schemas.openxmlformats.org/officeDocument/2006/relationships/hyperlink" Target="https://www.youtube.com/watch?v=_yCllHMvQ_0" TargetMode="External"/><Relationship Id="rId33" Type="http://schemas.openxmlformats.org/officeDocument/2006/relationships/hyperlink" Target="https://www.youtube.com/watch?v=_yCllHMvQ_0" TargetMode="External"/><Relationship Id="rId32" Type="http://schemas.openxmlformats.org/officeDocument/2006/relationships/hyperlink" Target="https://www.youtube.com/watch?v=_yCllHMvQ_0" TargetMode="External"/><Relationship Id="rId35" Type="http://schemas.openxmlformats.org/officeDocument/2006/relationships/drawing" Target="../drawings/drawing18.xml"/><Relationship Id="rId34" Type="http://schemas.openxmlformats.org/officeDocument/2006/relationships/hyperlink" Target="https://www.youtube.com/watch?v=_yCllHMvQ_0" TargetMode="External"/><Relationship Id="rId36" Type="http://schemas.openxmlformats.org/officeDocument/2006/relationships/vmlDrawing" Target="../drawings/vmlDrawing13.vml"/><Relationship Id="rId20" Type="http://schemas.openxmlformats.org/officeDocument/2006/relationships/hyperlink" Target="https://www.youtube.com/watch?v=_yCllHMvQ_0" TargetMode="External"/><Relationship Id="rId22" Type="http://schemas.openxmlformats.org/officeDocument/2006/relationships/hyperlink" Target="https://www.youtube.com/watch?v=_yCllHMvQ_0" TargetMode="External"/><Relationship Id="rId21" Type="http://schemas.openxmlformats.org/officeDocument/2006/relationships/hyperlink" Target="https://www.youtube.com/watch?v=_yCllHMvQ_0" TargetMode="External"/><Relationship Id="rId24" Type="http://schemas.openxmlformats.org/officeDocument/2006/relationships/hyperlink" Target="https://www.youtube.com/watch?v=_yCllHMvQ_0" TargetMode="External"/><Relationship Id="rId23" Type="http://schemas.openxmlformats.org/officeDocument/2006/relationships/hyperlink" Target="https://www.youtube.com/watch?v=_yCllHMvQ_0" TargetMode="External"/><Relationship Id="rId26" Type="http://schemas.openxmlformats.org/officeDocument/2006/relationships/hyperlink" Target="https://www.youtube.com/watch?v=_yCllHMvQ_0" TargetMode="External"/><Relationship Id="rId25" Type="http://schemas.openxmlformats.org/officeDocument/2006/relationships/hyperlink" Target="https://www.youtube.com/watch?v=_yCllHMvQ_0" TargetMode="External"/><Relationship Id="rId28" Type="http://schemas.openxmlformats.org/officeDocument/2006/relationships/hyperlink" Target="https://www.youtube.com/watch?v=_yCllHMvQ_0" TargetMode="External"/><Relationship Id="rId27" Type="http://schemas.openxmlformats.org/officeDocument/2006/relationships/hyperlink" Target="https://www.youtube.com/watch?v=_yCllHMvQ_0" TargetMode="External"/><Relationship Id="rId29" Type="http://schemas.openxmlformats.org/officeDocument/2006/relationships/hyperlink" Target="https://www.youtube.com/watch?v=_yCllHMvQ_0" TargetMode="External"/><Relationship Id="rId11" Type="http://schemas.openxmlformats.org/officeDocument/2006/relationships/hyperlink" Target="https://www.youtube.com/watch?v=_yCllHMvQ_0" TargetMode="External"/><Relationship Id="rId10" Type="http://schemas.openxmlformats.org/officeDocument/2006/relationships/hyperlink" Target="https://www.youtube.com/watch?v=_yCllHMvQ_0" TargetMode="External"/><Relationship Id="rId13" Type="http://schemas.openxmlformats.org/officeDocument/2006/relationships/hyperlink" Target="https://www.youtube.com/watch?v=_yCllHMvQ_0" TargetMode="External"/><Relationship Id="rId12" Type="http://schemas.openxmlformats.org/officeDocument/2006/relationships/hyperlink" Target="https://www.youtube.com/watch?v=_yCllHMvQ_0" TargetMode="External"/><Relationship Id="rId15" Type="http://schemas.openxmlformats.org/officeDocument/2006/relationships/hyperlink" Target="https://www.youtube.com/watch?v=_yCllHMvQ_0" TargetMode="External"/><Relationship Id="rId14" Type="http://schemas.openxmlformats.org/officeDocument/2006/relationships/hyperlink" Target="https://www.youtube.com/watch?v=_yCllHMvQ_0" TargetMode="External"/><Relationship Id="rId17" Type="http://schemas.openxmlformats.org/officeDocument/2006/relationships/hyperlink" Target="https://www.youtube.com/watch?v=_yCllHMvQ_0" TargetMode="External"/><Relationship Id="rId16" Type="http://schemas.openxmlformats.org/officeDocument/2006/relationships/hyperlink" Target="https://www.youtube.com/watch?v=_yCllHMvQ_0" TargetMode="External"/><Relationship Id="rId19" Type="http://schemas.openxmlformats.org/officeDocument/2006/relationships/hyperlink" Target="https://www.youtube.com/watch?v=_yCllHMvQ_0" TargetMode="External"/><Relationship Id="rId18" Type="http://schemas.openxmlformats.org/officeDocument/2006/relationships/hyperlink" Target="https://www.youtube.com/watch?v=_yCllHMvQ_0" TargetMode="External"/><Relationship Id="rId1" Type="http://schemas.openxmlformats.org/officeDocument/2006/relationships/comments" Target="../comments13.xml"/><Relationship Id="rId2" Type="http://schemas.openxmlformats.org/officeDocument/2006/relationships/hyperlink" Target="https://www.youtube.com/watch?v=_yCllHMvQ_0" TargetMode="External"/><Relationship Id="rId3" Type="http://schemas.openxmlformats.org/officeDocument/2006/relationships/hyperlink" Target="https://www.youtube.com/watch?v=_yCllHMvQ_0" TargetMode="External"/><Relationship Id="rId4" Type="http://schemas.openxmlformats.org/officeDocument/2006/relationships/hyperlink" Target="https://www.youtube.com/watch?v=_yCllHMvQ_0" TargetMode="External"/><Relationship Id="rId9" Type="http://schemas.openxmlformats.org/officeDocument/2006/relationships/hyperlink" Target="https://www.youtube.com/watch?v=_yCllHMvQ_0" TargetMode="External"/><Relationship Id="rId5" Type="http://schemas.openxmlformats.org/officeDocument/2006/relationships/hyperlink" Target="https://www.youtube.com/watch?v=_yCllHMvQ_0" TargetMode="External"/><Relationship Id="rId6" Type="http://schemas.openxmlformats.org/officeDocument/2006/relationships/hyperlink" Target="https://www.youtube.com/watch?v=_yCllHMvQ_0" TargetMode="External"/><Relationship Id="rId7" Type="http://schemas.openxmlformats.org/officeDocument/2006/relationships/hyperlink" Target="https://www.youtube.com/watch?v=_yCllHMvQ_0" TargetMode="External"/><Relationship Id="rId8" Type="http://schemas.openxmlformats.org/officeDocument/2006/relationships/hyperlink" Target="https://www.youtube.com/watch?v=_yCllHMvQ_0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itHsBtoePCA" TargetMode="External"/><Relationship Id="rId42" Type="http://schemas.openxmlformats.org/officeDocument/2006/relationships/hyperlink" Target="https://youtu.be/T5jjbx8EaBk" TargetMode="External"/><Relationship Id="rId41" Type="http://schemas.openxmlformats.org/officeDocument/2006/relationships/hyperlink" Target="https://www.youtube.com/watch?v=1YT5m-r2cv8" TargetMode="External"/><Relationship Id="rId44" Type="http://schemas.openxmlformats.org/officeDocument/2006/relationships/hyperlink" Target="https://youtu.be/IkjEQIHnPZ4" TargetMode="External"/><Relationship Id="rId43" Type="http://schemas.openxmlformats.org/officeDocument/2006/relationships/hyperlink" Target="https://youtu.be/nYMNfNcYf7s" TargetMode="External"/><Relationship Id="rId46" Type="http://schemas.openxmlformats.org/officeDocument/2006/relationships/hyperlink" Target="https://youtu.be/dLrY5Daztws" TargetMode="External"/><Relationship Id="rId45" Type="http://schemas.openxmlformats.org/officeDocument/2006/relationships/hyperlink" Target="https://youtu.be/pcB5nZFzzeM" TargetMode="External"/><Relationship Id="rId48" Type="http://schemas.openxmlformats.org/officeDocument/2006/relationships/hyperlink" Target="https://youtu.be/r8gMlZi3srU" TargetMode="External"/><Relationship Id="rId47" Type="http://schemas.openxmlformats.org/officeDocument/2006/relationships/hyperlink" Target="https://youtu.be/uyfIEUqm-N0" TargetMode="External"/><Relationship Id="rId49" Type="http://schemas.openxmlformats.org/officeDocument/2006/relationships/drawing" Target="../drawings/drawing19.xml"/><Relationship Id="rId31" Type="http://schemas.openxmlformats.org/officeDocument/2006/relationships/hyperlink" Target="https://youtu.be/MgvUDs5tcu0" TargetMode="External"/><Relationship Id="rId30" Type="http://schemas.openxmlformats.org/officeDocument/2006/relationships/hyperlink" Target="https://youtu.be/gp3Kie8fdf0" TargetMode="External"/><Relationship Id="rId33" Type="http://schemas.openxmlformats.org/officeDocument/2006/relationships/hyperlink" Target="https://youtu.be/IOWFtsKEJkg" TargetMode="External"/><Relationship Id="rId32" Type="http://schemas.openxmlformats.org/officeDocument/2006/relationships/hyperlink" Target="https://youtu.be/rUatTQP_rDA" TargetMode="External"/><Relationship Id="rId35" Type="http://schemas.openxmlformats.org/officeDocument/2006/relationships/hyperlink" Target="https://youtu.be/F_fj6Tqk8jQ" TargetMode="External"/><Relationship Id="rId34" Type="http://schemas.openxmlformats.org/officeDocument/2006/relationships/hyperlink" Target="https://youtu.be/_Hw9oG263ik" TargetMode="External"/><Relationship Id="rId37" Type="http://schemas.openxmlformats.org/officeDocument/2006/relationships/hyperlink" Target="https://www.youtube.com/watch?v=_yCllHMvQ_0" TargetMode="External"/><Relationship Id="rId36" Type="http://schemas.openxmlformats.org/officeDocument/2006/relationships/hyperlink" Target="https://youtu.be/t8fD7dE1G5w" TargetMode="External"/><Relationship Id="rId39" Type="http://schemas.openxmlformats.org/officeDocument/2006/relationships/hyperlink" Target="https://youtu.be/f1-YGw28aPw" TargetMode="External"/><Relationship Id="rId38" Type="http://schemas.openxmlformats.org/officeDocument/2006/relationships/hyperlink" Target="https://youtu.be/x4UTbxkRdAU" TargetMode="External"/><Relationship Id="rId20" Type="http://schemas.openxmlformats.org/officeDocument/2006/relationships/hyperlink" Target="https://youtu.be/C3Qa9dbn9go" TargetMode="External"/><Relationship Id="rId22" Type="http://schemas.openxmlformats.org/officeDocument/2006/relationships/hyperlink" Target="https://youtu.be/xCq9br9bWwc" TargetMode="External"/><Relationship Id="rId21" Type="http://schemas.openxmlformats.org/officeDocument/2006/relationships/hyperlink" Target="https://youtu.be/kjaSZqrC_d0" TargetMode="External"/><Relationship Id="rId24" Type="http://schemas.openxmlformats.org/officeDocument/2006/relationships/hyperlink" Target="https://youtu.be/BCpg6Mpt7qs" TargetMode="External"/><Relationship Id="rId23" Type="http://schemas.openxmlformats.org/officeDocument/2006/relationships/hyperlink" Target="https://www.youtube.com/watch?v=6i64dHnxo7k" TargetMode="External"/><Relationship Id="rId26" Type="http://schemas.openxmlformats.org/officeDocument/2006/relationships/hyperlink" Target="https://youtu.be/TJpQ3fZIt20" TargetMode="External"/><Relationship Id="rId25" Type="http://schemas.openxmlformats.org/officeDocument/2006/relationships/hyperlink" Target="https://youtu.be/7Ms5HGWBiAk" TargetMode="External"/><Relationship Id="rId28" Type="http://schemas.openxmlformats.org/officeDocument/2006/relationships/hyperlink" Target="https://youtu.be/_TehFpRIOEw" TargetMode="External"/><Relationship Id="rId27" Type="http://schemas.openxmlformats.org/officeDocument/2006/relationships/hyperlink" Target="https://youtu.be/ox8dFf_BBmA" TargetMode="External"/><Relationship Id="rId29" Type="http://schemas.openxmlformats.org/officeDocument/2006/relationships/hyperlink" Target="https://youtu.be/8rwk3paHOO0" TargetMode="External"/><Relationship Id="rId11" Type="http://schemas.openxmlformats.org/officeDocument/2006/relationships/hyperlink" Target="https://youtu.be/9jhQL-lOxwA" TargetMode="External"/><Relationship Id="rId10" Type="http://schemas.openxmlformats.org/officeDocument/2006/relationships/hyperlink" Target="https://www.youtube.com/watch?v=pTsLuaXOJWY" TargetMode="External"/><Relationship Id="rId13" Type="http://schemas.openxmlformats.org/officeDocument/2006/relationships/hyperlink" Target="https://youtu.be/57sIg9NnEzE" TargetMode="External"/><Relationship Id="rId12" Type="http://schemas.openxmlformats.org/officeDocument/2006/relationships/hyperlink" Target="https://youtu.be/mHCPf-w-3qY" TargetMode="External"/><Relationship Id="rId15" Type="http://schemas.openxmlformats.org/officeDocument/2006/relationships/hyperlink" Target="https://youtu.be/pGvtph6YTno" TargetMode="External"/><Relationship Id="rId14" Type="http://schemas.openxmlformats.org/officeDocument/2006/relationships/hyperlink" Target="https://youtu.be/hwYc3-THv1s" TargetMode="External"/><Relationship Id="rId17" Type="http://schemas.openxmlformats.org/officeDocument/2006/relationships/hyperlink" Target="https://youtu.be/AF5i_Yuv2cQ" TargetMode="External"/><Relationship Id="rId16" Type="http://schemas.openxmlformats.org/officeDocument/2006/relationships/hyperlink" Target="https://youtu.be/ctJphfaaE1M" TargetMode="External"/><Relationship Id="rId19" Type="http://schemas.openxmlformats.org/officeDocument/2006/relationships/hyperlink" Target="https://youtu.be/gMuHKefbx1E" TargetMode="External"/><Relationship Id="rId18" Type="http://schemas.openxmlformats.org/officeDocument/2006/relationships/hyperlink" Target="https://youtu.be/Ln1R1TdBLeQ" TargetMode="External"/><Relationship Id="rId1" Type="http://schemas.openxmlformats.org/officeDocument/2006/relationships/hyperlink" Target="https://youtu.be/r8k0q1BYDqs" TargetMode="External"/><Relationship Id="rId2" Type="http://schemas.openxmlformats.org/officeDocument/2006/relationships/hyperlink" Target="https://youtu.be/-fSMuccx1cg" TargetMode="External"/><Relationship Id="rId3" Type="http://schemas.openxmlformats.org/officeDocument/2006/relationships/hyperlink" Target="https://youtu.be/cHX40vZKHxc" TargetMode="External"/><Relationship Id="rId4" Type="http://schemas.openxmlformats.org/officeDocument/2006/relationships/hyperlink" Target="https://youtu.be/BlMeWgEM2Ng" TargetMode="External"/><Relationship Id="rId9" Type="http://schemas.openxmlformats.org/officeDocument/2006/relationships/hyperlink" Target="https://www.youtube.com/watch?v=IO1QT7MQn1U" TargetMode="External"/><Relationship Id="rId5" Type="http://schemas.openxmlformats.org/officeDocument/2006/relationships/hyperlink" Target="https://youtu.be/_vVzJ773Bxs" TargetMode="External"/><Relationship Id="rId6" Type="http://schemas.openxmlformats.org/officeDocument/2006/relationships/hyperlink" Target="https://youtu.be/o-4AFE4Avlc" TargetMode="External"/><Relationship Id="rId7" Type="http://schemas.openxmlformats.org/officeDocument/2006/relationships/hyperlink" Target="https://youtu.be/iFoGWrbxof8" TargetMode="External"/><Relationship Id="rId8" Type="http://schemas.openxmlformats.org/officeDocument/2006/relationships/hyperlink" Target="https://www.youtube.com/watch?v=1HGK4SFyCX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1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1.57"/>
    <col customWidth="1" min="7" max="53" width="43.0"/>
    <col customWidth="1" min="54" max="54" width="32.71"/>
    <col customWidth="1" min="55" max="70" width="43.0"/>
    <col customWidth="1" min="71" max="71" width="36.71"/>
    <col customWidth="1" min="72" max="129" width="43.0"/>
    <col customWidth="1" min="130" max="130" width="32.14"/>
    <col customWidth="1" min="131" max="146" width="43.0"/>
    <col customWidth="1" min="147" max="147" width="33.57"/>
    <col customWidth="1" min="148" max="179" width="43.0"/>
    <col customWidth="1" min="180" max="180" width="37.14"/>
    <col customWidth="1" min="181" max="211" width="43.0"/>
    <col customWidth="1" min="212" max="212" width="37.43"/>
    <col customWidth="1" min="213" max="233" width="43.0"/>
    <col customWidth="1" min="234" max="234" width="40.29"/>
    <col customWidth="1" min="235" max="269" width="43.0"/>
    <col customWidth="1" min="270" max="270" width="33.57"/>
    <col customWidth="1" min="271" max="328" width="43.0"/>
    <col customWidth="1" min="329" max="329" width="40.0"/>
    <col customWidth="1" min="330" max="330" width="24.86"/>
    <col customWidth="1" min="331" max="337" width="21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2" t="s">
        <v>330</v>
      </c>
    </row>
    <row r="2" ht="22.5" customHeight="1">
      <c r="A2" s="3">
        <v>46174.01529462963</v>
      </c>
      <c r="B2" s="4" t="s">
        <v>331</v>
      </c>
      <c r="C2" s="4">
        <v>4.0</v>
      </c>
      <c r="D2" s="4">
        <v>5.0</v>
      </c>
      <c r="E2" s="4" t="s">
        <v>332</v>
      </c>
      <c r="F2" s="4" t="s">
        <v>333</v>
      </c>
      <c r="G2" s="4" t="s">
        <v>334</v>
      </c>
      <c r="H2" s="4" t="s">
        <v>334</v>
      </c>
      <c r="I2" s="4" t="s">
        <v>334</v>
      </c>
      <c r="J2" s="4" t="s">
        <v>334</v>
      </c>
      <c r="K2" s="4" t="s">
        <v>334</v>
      </c>
      <c r="L2" s="4" t="s">
        <v>334</v>
      </c>
      <c r="M2" s="4" t="s">
        <v>334</v>
      </c>
      <c r="N2" s="4" t="s">
        <v>334</v>
      </c>
      <c r="O2" s="4" t="s">
        <v>334</v>
      </c>
      <c r="P2" s="4" t="s">
        <v>334</v>
      </c>
      <c r="Q2" s="4" t="s">
        <v>334</v>
      </c>
      <c r="R2" s="4" t="s">
        <v>334</v>
      </c>
      <c r="S2" s="4" t="s">
        <v>334</v>
      </c>
      <c r="T2" s="4" t="s">
        <v>334</v>
      </c>
      <c r="U2" s="4" t="s">
        <v>334</v>
      </c>
      <c r="V2" s="4" t="s">
        <v>334</v>
      </c>
      <c r="W2" s="4" t="s">
        <v>334</v>
      </c>
      <c r="X2" s="4" t="s">
        <v>334</v>
      </c>
      <c r="Y2" s="4" t="s">
        <v>334</v>
      </c>
      <c r="Z2" s="4" t="s">
        <v>334</v>
      </c>
      <c r="AA2" s="4" t="s">
        <v>334</v>
      </c>
      <c r="AB2" s="4" t="s">
        <v>334</v>
      </c>
      <c r="AC2" s="4" t="s">
        <v>334</v>
      </c>
      <c r="AD2" s="4" t="s">
        <v>334</v>
      </c>
      <c r="AE2" s="4" t="s">
        <v>334</v>
      </c>
      <c r="AF2" s="4" t="s">
        <v>334</v>
      </c>
      <c r="AG2" s="4" t="s">
        <v>334</v>
      </c>
      <c r="AH2" s="4" t="s">
        <v>334</v>
      </c>
      <c r="AI2" s="4" t="s">
        <v>334</v>
      </c>
      <c r="AJ2" s="4" t="s">
        <v>334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4" t="s">
        <v>335</v>
      </c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6" t="s">
        <v>336</v>
      </c>
    </row>
    <row r="3" ht="22.5" customHeight="1">
      <c r="A3" s="7">
        <v>46174.01661184028</v>
      </c>
      <c r="B3" s="8" t="s">
        <v>337</v>
      </c>
      <c r="C3" s="8">
        <v>6.0</v>
      </c>
      <c r="D3" s="8" t="s">
        <v>338</v>
      </c>
      <c r="E3" s="8" t="s">
        <v>339</v>
      </c>
      <c r="F3" s="8" t="s">
        <v>340</v>
      </c>
      <c r="LQ3" s="8" t="s">
        <v>341</v>
      </c>
      <c r="LR3" s="8" t="s">
        <v>342</v>
      </c>
      <c r="LS3" s="9" t="s">
        <v>343</v>
      </c>
    </row>
    <row r="4" ht="22.5" customHeight="1">
      <c r="A4" s="7">
        <v>46174.018346770834</v>
      </c>
      <c r="B4" s="8" t="s">
        <v>344</v>
      </c>
      <c r="C4" s="8">
        <v>5.0</v>
      </c>
      <c r="D4" s="8">
        <v>7.0</v>
      </c>
      <c r="E4" s="8" t="s">
        <v>345</v>
      </c>
      <c r="F4" s="8" t="s">
        <v>346</v>
      </c>
      <c r="JK4" s="8" t="s">
        <v>334</v>
      </c>
      <c r="JL4" s="8" t="s">
        <v>334</v>
      </c>
      <c r="JM4" s="8" t="s">
        <v>334</v>
      </c>
      <c r="JN4" s="8" t="s">
        <v>334</v>
      </c>
      <c r="JO4" s="8" t="s">
        <v>334</v>
      </c>
      <c r="JP4" s="8" t="s">
        <v>334</v>
      </c>
      <c r="JQ4" s="8" t="s">
        <v>334</v>
      </c>
      <c r="JR4" s="8" t="s">
        <v>334</v>
      </c>
      <c r="JS4" s="8" t="s">
        <v>334</v>
      </c>
      <c r="JT4" s="8" t="s">
        <v>334</v>
      </c>
      <c r="JU4" s="8" t="s">
        <v>334</v>
      </c>
      <c r="JV4" s="8" t="s">
        <v>334</v>
      </c>
      <c r="JW4" s="8" t="s">
        <v>334</v>
      </c>
      <c r="JX4" s="8" t="s">
        <v>334</v>
      </c>
      <c r="JY4" s="8" t="s">
        <v>334</v>
      </c>
      <c r="JZ4" s="8" t="s">
        <v>334</v>
      </c>
      <c r="KA4" s="8" t="s">
        <v>334</v>
      </c>
      <c r="KB4" s="8" t="s">
        <v>334</v>
      </c>
      <c r="KC4" s="8" t="s">
        <v>334</v>
      </c>
      <c r="KD4" s="8" t="s">
        <v>334</v>
      </c>
      <c r="KE4" s="8" t="s">
        <v>334</v>
      </c>
      <c r="KF4" s="8" t="s">
        <v>334</v>
      </c>
      <c r="KG4" s="8" t="s">
        <v>334</v>
      </c>
      <c r="KH4" s="8" t="s">
        <v>334</v>
      </c>
      <c r="KI4" s="8" t="s">
        <v>347</v>
      </c>
      <c r="LR4" s="8" t="s">
        <v>348</v>
      </c>
      <c r="LS4" s="9" t="s">
        <v>349</v>
      </c>
    </row>
    <row r="5" ht="22.5" customHeight="1">
      <c r="A5" s="7">
        <v>46174.05895157407</v>
      </c>
      <c r="B5" s="8" t="s">
        <v>350</v>
      </c>
      <c r="C5" s="8">
        <v>2.0</v>
      </c>
      <c r="D5" s="8">
        <v>3.0</v>
      </c>
      <c r="E5" s="8" t="s">
        <v>351</v>
      </c>
      <c r="F5" s="8" t="s">
        <v>333</v>
      </c>
      <c r="G5" s="8" t="s">
        <v>352</v>
      </c>
      <c r="H5" s="8" t="s">
        <v>352</v>
      </c>
      <c r="I5" s="8" t="s">
        <v>352</v>
      </c>
      <c r="J5" s="8" t="s">
        <v>352</v>
      </c>
      <c r="K5" s="8" t="s">
        <v>352</v>
      </c>
      <c r="L5" s="8" t="s">
        <v>352</v>
      </c>
      <c r="M5" s="8" t="s">
        <v>352</v>
      </c>
      <c r="N5" s="8" t="s">
        <v>352</v>
      </c>
      <c r="O5" s="8" t="s">
        <v>352</v>
      </c>
      <c r="P5" s="8" t="s">
        <v>352</v>
      </c>
      <c r="Q5" s="8" t="s">
        <v>352</v>
      </c>
      <c r="R5" s="8" t="s">
        <v>334</v>
      </c>
      <c r="S5" s="8" t="s">
        <v>334</v>
      </c>
      <c r="T5" s="8" t="s">
        <v>334</v>
      </c>
      <c r="U5" s="8" t="s">
        <v>334</v>
      </c>
      <c r="V5" s="8" t="s">
        <v>334</v>
      </c>
      <c r="W5" s="8" t="s">
        <v>334</v>
      </c>
      <c r="X5" s="8" t="s">
        <v>334</v>
      </c>
      <c r="Y5" s="8" t="s">
        <v>334</v>
      </c>
      <c r="Z5" s="8" t="s">
        <v>334</v>
      </c>
      <c r="AA5" s="8" t="s">
        <v>334</v>
      </c>
      <c r="AB5" s="8" t="s">
        <v>334</v>
      </c>
      <c r="AC5" s="8" t="s">
        <v>352</v>
      </c>
      <c r="AD5" s="8" t="s">
        <v>352</v>
      </c>
      <c r="AE5" s="8" t="s">
        <v>352</v>
      </c>
      <c r="AF5" s="8" t="s">
        <v>352</v>
      </c>
      <c r="AG5" s="8" t="s">
        <v>352</v>
      </c>
      <c r="AH5" s="8" t="s">
        <v>352</v>
      </c>
      <c r="AI5" s="8" t="s">
        <v>352</v>
      </c>
      <c r="AJ5" s="8" t="s">
        <v>352</v>
      </c>
      <c r="AK5" s="8" t="s">
        <v>352</v>
      </c>
      <c r="AL5" s="8" t="s">
        <v>334</v>
      </c>
      <c r="AM5" s="8" t="s">
        <v>334</v>
      </c>
      <c r="AN5" s="8" t="s">
        <v>334</v>
      </c>
      <c r="AP5" s="8" t="s">
        <v>352</v>
      </c>
      <c r="BB5" s="8" t="s">
        <v>353</v>
      </c>
      <c r="LR5" s="8" t="s">
        <v>354</v>
      </c>
      <c r="LS5" s="9" t="s">
        <v>355</v>
      </c>
    </row>
    <row r="6" ht="22.5" customHeight="1">
      <c r="A6" s="7">
        <v>46174.11364652778</v>
      </c>
      <c r="B6" s="8" t="s">
        <v>356</v>
      </c>
      <c r="C6" s="8">
        <v>6.0</v>
      </c>
      <c r="D6" s="8" t="s">
        <v>338</v>
      </c>
      <c r="E6" s="8" t="s">
        <v>351</v>
      </c>
      <c r="F6" s="8" t="s">
        <v>357</v>
      </c>
      <c r="EB6" s="8" t="s">
        <v>334</v>
      </c>
      <c r="EC6" s="8" t="s">
        <v>334</v>
      </c>
      <c r="EE6" s="8" t="s">
        <v>352</v>
      </c>
      <c r="EH6" s="8" t="s">
        <v>334</v>
      </c>
      <c r="EQ6" s="8" t="s">
        <v>358</v>
      </c>
      <c r="LR6" s="8" t="s">
        <v>358</v>
      </c>
      <c r="LS6" s="9" t="s">
        <v>359</v>
      </c>
    </row>
    <row r="7" ht="22.5" customHeight="1">
      <c r="A7" s="7">
        <v>46174.14776247685</v>
      </c>
      <c r="B7" s="8" t="s">
        <v>360</v>
      </c>
      <c r="C7" s="8">
        <v>7.0</v>
      </c>
      <c r="D7" s="8">
        <v>3.0</v>
      </c>
      <c r="E7" s="8" t="s">
        <v>361</v>
      </c>
      <c r="F7" s="8" t="s">
        <v>333</v>
      </c>
      <c r="G7" s="8" t="s">
        <v>334</v>
      </c>
      <c r="H7" s="8" t="s">
        <v>334</v>
      </c>
      <c r="I7" s="8" t="s">
        <v>334</v>
      </c>
      <c r="J7" s="8" t="s">
        <v>334</v>
      </c>
      <c r="K7" s="8" t="s">
        <v>334</v>
      </c>
      <c r="BB7" s="8" t="s">
        <v>362</v>
      </c>
    </row>
    <row r="8" ht="22.5" customHeight="1">
      <c r="A8" s="7">
        <v>46174.14984466435</v>
      </c>
      <c r="B8" s="8" t="s">
        <v>363</v>
      </c>
      <c r="C8" s="8">
        <v>1.0</v>
      </c>
      <c r="D8" s="8">
        <v>1.0</v>
      </c>
      <c r="E8" s="8" t="s">
        <v>364</v>
      </c>
      <c r="F8" s="8" t="s">
        <v>365</v>
      </c>
      <c r="BT8" s="8" t="s">
        <v>334</v>
      </c>
      <c r="BU8" s="8" t="s">
        <v>334</v>
      </c>
      <c r="BV8" s="8" t="s">
        <v>334</v>
      </c>
      <c r="BW8" s="8" t="s">
        <v>334</v>
      </c>
      <c r="BX8" s="8" t="s">
        <v>334</v>
      </c>
      <c r="BY8" s="8" t="s">
        <v>334</v>
      </c>
      <c r="BZ8" s="8" t="s">
        <v>334</v>
      </c>
      <c r="CA8" s="8" t="s">
        <v>334</v>
      </c>
      <c r="CB8" s="8" t="s">
        <v>334</v>
      </c>
      <c r="CC8" s="8" t="s">
        <v>334</v>
      </c>
      <c r="CD8" s="8" t="s">
        <v>334</v>
      </c>
      <c r="CE8" s="8" t="s">
        <v>364</v>
      </c>
      <c r="LR8" s="8" t="s">
        <v>364</v>
      </c>
      <c r="LS8" s="9" t="s">
        <v>366</v>
      </c>
    </row>
    <row r="9" ht="22.5" customHeight="1">
      <c r="A9" s="7">
        <v>46174.16070706019</v>
      </c>
      <c r="B9" s="8" t="s">
        <v>367</v>
      </c>
      <c r="C9" s="8">
        <v>11.0</v>
      </c>
      <c r="D9" s="8">
        <v>13.0</v>
      </c>
      <c r="E9" s="8" t="s">
        <v>339</v>
      </c>
      <c r="F9" s="8" t="s">
        <v>368</v>
      </c>
      <c r="FY9" s="8" t="s">
        <v>352</v>
      </c>
      <c r="FZ9" s="8" t="s">
        <v>352</v>
      </c>
      <c r="GA9" s="8" t="s">
        <v>352</v>
      </c>
      <c r="GB9" s="8" t="s">
        <v>352</v>
      </c>
      <c r="GC9" s="8" t="s">
        <v>352</v>
      </c>
      <c r="GD9" s="8" t="s">
        <v>352</v>
      </c>
      <c r="GE9" s="8" t="s">
        <v>352</v>
      </c>
      <c r="GF9" s="8" t="s">
        <v>352</v>
      </c>
      <c r="GG9" s="8" t="s">
        <v>352</v>
      </c>
      <c r="GH9" s="8" t="s">
        <v>352</v>
      </c>
      <c r="GI9" s="8" t="s">
        <v>352</v>
      </c>
      <c r="GJ9" s="8" t="s">
        <v>352</v>
      </c>
      <c r="GK9" s="8" t="s">
        <v>352</v>
      </c>
      <c r="GL9" s="8" t="s">
        <v>352</v>
      </c>
      <c r="GM9" s="8" t="s">
        <v>352</v>
      </c>
      <c r="GN9" s="8" t="s">
        <v>352</v>
      </c>
      <c r="GO9" s="8" t="s">
        <v>352</v>
      </c>
      <c r="GP9" s="8" t="s">
        <v>352</v>
      </c>
      <c r="GQ9" s="8" t="s">
        <v>352</v>
      </c>
      <c r="GR9" s="8" t="s">
        <v>352</v>
      </c>
      <c r="GS9" s="8" t="s">
        <v>352</v>
      </c>
      <c r="GT9" s="8" t="s">
        <v>352</v>
      </c>
      <c r="GU9" s="8" t="s">
        <v>352</v>
      </c>
      <c r="GV9" s="8" t="s">
        <v>352</v>
      </c>
      <c r="GW9" s="8" t="s">
        <v>352</v>
      </c>
      <c r="GX9" s="8" t="s">
        <v>352</v>
      </c>
      <c r="GY9" s="8" t="s">
        <v>352</v>
      </c>
      <c r="GZ9" s="8" t="s">
        <v>352</v>
      </c>
      <c r="HA9" s="8" t="s">
        <v>352</v>
      </c>
      <c r="HB9" s="8" t="s">
        <v>352</v>
      </c>
      <c r="HC9" s="8" t="s">
        <v>352</v>
      </c>
      <c r="HD9" s="8" t="s">
        <v>369</v>
      </c>
      <c r="LR9" s="8" t="s">
        <v>370</v>
      </c>
    </row>
    <row r="10" ht="22.5" customHeight="1">
      <c r="A10" s="7">
        <v>46174.1630703125</v>
      </c>
      <c r="B10" s="8" t="s">
        <v>371</v>
      </c>
      <c r="C10" s="8">
        <v>10.0</v>
      </c>
      <c r="D10" s="8">
        <v>10.0</v>
      </c>
      <c r="E10" s="8" t="s">
        <v>339</v>
      </c>
      <c r="F10" s="8" t="s">
        <v>372</v>
      </c>
      <c r="DD10" s="8" t="s">
        <v>334</v>
      </c>
      <c r="DE10" s="8" t="s">
        <v>334</v>
      </c>
      <c r="DF10" s="8" t="s">
        <v>334</v>
      </c>
      <c r="DG10" s="8" t="s">
        <v>334</v>
      </c>
      <c r="DH10" s="8" t="s">
        <v>334</v>
      </c>
      <c r="DI10" s="8" t="s">
        <v>334</v>
      </c>
      <c r="DJ10" s="8" t="s">
        <v>334</v>
      </c>
      <c r="DK10" s="8" t="s">
        <v>373</v>
      </c>
      <c r="DL10" s="8" t="s">
        <v>373</v>
      </c>
      <c r="DM10" s="8" t="s">
        <v>373</v>
      </c>
      <c r="DN10" s="8" t="s">
        <v>373</v>
      </c>
      <c r="DO10" s="8" t="s">
        <v>334</v>
      </c>
      <c r="DP10" s="8" t="s">
        <v>334</v>
      </c>
      <c r="DQ10" s="8" t="s">
        <v>334</v>
      </c>
      <c r="DR10" s="8" t="s">
        <v>334</v>
      </c>
      <c r="DS10" s="8" t="s">
        <v>334</v>
      </c>
      <c r="DT10" s="8" t="s">
        <v>334</v>
      </c>
      <c r="DU10" s="8" t="s">
        <v>334</v>
      </c>
      <c r="DV10" s="8" t="s">
        <v>334</v>
      </c>
      <c r="DW10" s="8" t="s">
        <v>334</v>
      </c>
      <c r="DX10" s="8" t="s">
        <v>334</v>
      </c>
      <c r="DY10" s="8" t="s">
        <v>334</v>
      </c>
      <c r="DZ10" s="8" t="s">
        <v>374</v>
      </c>
      <c r="LR10" s="8" t="s">
        <v>375</v>
      </c>
      <c r="LS10" s="9" t="s">
        <v>376</v>
      </c>
    </row>
    <row r="11" ht="22.5" customHeight="1">
      <c r="A11" s="7">
        <v>46174.17251875</v>
      </c>
      <c r="B11" s="8" t="s">
        <v>377</v>
      </c>
      <c r="C11" s="8">
        <v>9.0</v>
      </c>
      <c r="D11" s="8">
        <v>5.0</v>
      </c>
      <c r="E11" s="8" t="s">
        <v>378</v>
      </c>
      <c r="F11" s="8" t="s">
        <v>379</v>
      </c>
      <c r="HE11" s="8" t="s">
        <v>334</v>
      </c>
      <c r="HF11" s="8" t="s">
        <v>334</v>
      </c>
      <c r="HG11" s="8" t="s">
        <v>334</v>
      </c>
      <c r="HH11" s="8" t="s">
        <v>334</v>
      </c>
      <c r="HI11" s="8" t="s">
        <v>334</v>
      </c>
      <c r="HJ11" s="8" t="s">
        <v>334</v>
      </c>
      <c r="HK11" s="8" t="s">
        <v>334</v>
      </c>
      <c r="HL11" s="8" t="s">
        <v>334</v>
      </c>
      <c r="HM11" s="8" t="s">
        <v>334</v>
      </c>
      <c r="HN11" s="8" t="s">
        <v>334</v>
      </c>
      <c r="HO11" s="8" t="s">
        <v>334</v>
      </c>
      <c r="HP11" s="8" t="s">
        <v>334</v>
      </c>
      <c r="HQ11" s="8" t="s">
        <v>334</v>
      </c>
      <c r="HR11" s="8" t="s">
        <v>334</v>
      </c>
      <c r="HS11" s="8" t="s">
        <v>334</v>
      </c>
      <c r="HT11" s="8" t="s">
        <v>334</v>
      </c>
      <c r="HU11" s="8" t="s">
        <v>334</v>
      </c>
      <c r="HV11" s="8" t="s">
        <v>334</v>
      </c>
      <c r="HW11" s="8" t="s">
        <v>334</v>
      </c>
      <c r="HX11" s="8" t="s">
        <v>334</v>
      </c>
      <c r="HY11" s="8" t="s">
        <v>352</v>
      </c>
      <c r="LS11" s="9" t="s">
        <v>380</v>
      </c>
    </row>
    <row r="12" ht="22.5" customHeight="1">
      <c r="A12" s="7">
        <v>46174.18301127315</v>
      </c>
      <c r="B12" s="8" t="s">
        <v>381</v>
      </c>
      <c r="C12" s="8">
        <v>1.0</v>
      </c>
      <c r="D12" s="8">
        <v>2.0</v>
      </c>
      <c r="E12" s="8" t="s">
        <v>332</v>
      </c>
      <c r="F12" s="8" t="s">
        <v>382</v>
      </c>
      <c r="BC12" s="8" t="s">
        <v>334</v>
      </c>
      <c r="BD12" s="8" t="s">
        <v>334</v>
      </c>
      <c r="BE12" s="8" t="s">
        <v>334</v>
      </c>
      <c r="BF12" s="8" t="s">
        <v>334</v>
      </c>
      <c r="BG12" s="8" t="s">
        <v>334</v>
      </c>
    </row>
    <row r="13" ht="22.5" customHeight="1">
      <c r="A13" s="7">
        <v>46174.19339305555</v>
      </c>
      <c r="B13" s="8" t="s">
        <v>383</v>
      </c>
      <c r="C13" s="8">
        <v>6.0</v>
      </c>
      <c r="D13" s="8" t="s">
        <v>338</v>
      </c>
      <c r="E13" s="8" t="s">
        <v>351</v>
      </c>
      <c r="F13" s="8" t="s">
        <v>357</v>
      </c>
      <c r="EE13" s="8" t="s">
        <v>334</v>
      </c>
    </row>
    <row r="14" ht="22.5" customHeight="1">
      <c r="A14" s="7">
        <v>46174.211721898144</v>
      </c>
      <c r="B14" s="8" t="s">
        <v>384</v>
      </c>
      <c r="C14" s="8">
        <v>15.0</v>
      </c>
      <c r="D14" s="8">
        <v>40.0</v>
      </c>
      <c r="E14" s="8" t="s">
        <v>345</v>
      </c>
      <c r="F14" s="8" t="s">
        <v>340</v>
      </c>
      <c r="KJ14" s="8" t="s">
        <v>334</v>
      </c>
      <c r="KK14" s="8" t="s">
        <v>352</v>
      </c>
      <c r="KL14" s="8" t="s">
        <v>373</v>
      </c>
      <c r="KM14" s="8" t="s">
        <v>385</v>
      </c>
      <c r="KN14" s="8" t="s">
        <v>373</v>
      </c>
      <c r="KO14" s="8" t="s">
        <v>352</v>
      </c>
      <c r="KP14" s="8" t="s">
        <v>334</v>
      </c>
      <c r="KQ14" s="8" t="s">
        <v>352</v>
      </c>
      <c r="KR14" s="8" t="s">
        <v>373</v>
      </c>
      <c r="KS14" s="8" t="s">
        <v>385</v>
      </c>
      <c r="KT14" s="8" t="s">
        <v>373</v>
      </c>
      <c r="KU14" s="8" t="s">
        <v>352</v>
      </c>
      <c r="KV14" s="8" t="s">
        <v>334</v>
      </c>
      <c r="KW14" s="8" t="s">
        <v>352</v>
      </c>
      <c r="KX14" s="8" t="s">
        <v>373</v>
      </c>
      <c r="KY14" s="8" t="s">
        <v>385</v>
      </c>
      <c r="KZ14" s="8" t="s">
        <v>373</v>
      </c>
      <c r="LA14" s="8" t="s">
        <v>352</v>
      </c>
      <c r="LB14" s="8" t="s">
        <v>334</v>
      </c>
      <c r="LC14" s="8" t="s">
        <v>352</v>
      </c>
      <c r="LD14" s="8" t="s">
        <v>373</v>
      </c>
      <c r="LE14" s="8" t="s">
        <v>385</v>
      </c>
      <c r="LF14" s="8" t="s">
        <v>373</v>
      </c>
      <c r="LG14" s="8" t="s">
        <v>352</v>
      </c>
      <c r="LH14" s="8" t="s">
        <v>334</v>
      </c>
      <c r="LI14" s="8" t="s">
        <v>352</v>
      </c>
      <c r="LJ14" s="8" t="s">
        <v>373</v>
      </c>
      <c r="LK14" s="8" t="s">
        <v>385</v>
      </c>
      <c r="LL14" s="8" t="s">
        <v>373</v>
      </c>
      <c r="LM14" s="8" t="s">
        <v>352</v>
      </c>
      <c r="LN14" s="8" t="s">
        <v>334</v>
      </c>
      <c r="LO14" s="8" t="s">
        <v>352</v>
      </c>
      <c r="LP14" s="8" t="s">
        <v>373</v>
      </c>
      <c r="LQ14" s="8" t="s">
        <v>386</v>
      </c>
      <c r="LR14" s="8" t="s">
        <v>387</v>
      </c>
      <c r="LS14" s="9" t="s">
        <v>388</v>
      </c>
    </row>
    <row r="15" ht="22.5" customHeight="1">
      <c r="A15" s="7">
        <v>46174.25019388889</v>
      </c>
      <c r="B15" s="8" t="s">
        <v>389</v>
      </c>
      <c r="C15" s="8">
        <v>14.0</v>
      </c>
      <c r="D15" s="8">
        <v>39.0</v>
      </c>
      <c r="E15" s="8" t="s">
        <v>390</v>
      </c>
      <c r="F15" s="8" t="s">
        <v>346</v>
      </c>
      <c r="JK15" s="8" t="s">
        <v>334</v>
      </c>
      <c r="JL15" s="8" t="s">
        <v>352</v>
      </c>
      <c r="JM15" s="8" t="s">
        <v>373</v>
      </c>
      <c r="JN15" s="8" t="s">
        <v>385</v>
      </c>
      <c r="JO15" s="8" t="s">
        <v>373</v>
      </c>
      <c r="JP15" s="8" t="s">
        <v>352</v>
      </c>
      <c r="JQ15" s="8" t="s">
        <v>334</v>
      </c>
      <c r="JR15" s="8" t="s">
        <v>352</v>
      </c>
      <c r="JS15" s="8" t="s">
        <v>373</v>
      </c>
      <c r="JT15" s="8" t="s">
        <v>385</v>
      </c>
      <c r="JU15" s="8" t="s">
        <v>373</v>
      </c>
      <c r="JV15" s="8" t="s">
        <v>352</v>
      </c>
      <c r="JW15" s="8" t="s">
        <v>334</v>
      </c>
      <c r="JX15" s="8" t="s">
        <v>352</v>
      </c>
      <c r="JY15" s="8" t="s">
        <v>373</v>
      </c>
      <c r="JZ15" s="8" t="s">
        <v>385</v>
      </c>
      <c r="KA15" s="8" t="s">
        <v>373</v>
      </c>
      <c r="KB15" s="8" t="s">
        <v>352</v>
      </c>
      <c r="KC15" s="8" t="s">
        <v>334</v>
      </c>
      <c r="KD15" s="8" t="s">
        <v>352</v>
      </c>
      <c r="KE15" s="8" t="s">
        <v>373</v>
      </c>
      <c r="KF15" s="8" t="s">
        <v>385</v>
      </c>
      <c r="KG15" s="8" t="s">
        <v>373</v>
      </c>
      <c r="KH15" s="8" t="s">
        <v>352</v>
      </c>
      <c r="KI15" s="8" t="s">
        <v>391</v>
      </c>
      <c r="LR15" s="8" t="s">
        <v>392</v>
      </c>
      <c r="LS15" s="9" t="s">
        <v>393</v>
      </c>
    </row>
    <row r="16" ht="22.5" customHeight="1">
      <c r="A16" s="7">
        <v>46174.94499916666</v>
      </c>
      <c r="B16" s="8" t="s">
        <v>394</v>
      </c>
      <c r="C16" s="8">
        <v>6.0</v>
      </c>
      <c r="D16" s="8">
        <v>7.0</v>
      </c>
      <c r="E16" s="8" t="s">
        <v>351</v>
      </c>
      <c r="F16" s="8" t="s">
        <v>357</v>
      </c>
      <c r="EA16" s="8" t="s">
        <v>352</v>
      </c>
      <c r="EB16" s="8" t="s">
        <v>334</v>
      </c>
      <c r="EP16" s="8" t="s">
        <v>373</v>
      </c>
    </row>
  </sheetData>
  <hyperlinks>
    <hyperlink r:id="rId1" ref="LS2"/>
    <hyperlink r:id="rId2" ref="LS3"/>
    <hyperlink r:id="rId3" ref="LS4"/>
    <hyperlink r:id="rId4" ref="LS5"/>
    <hyperlink r:id="rId5" ref="LS6"/>
    <hyperlink r:id="rId6" ref="LS8"/>
    <hyperlink r:id="rId7" ref="LS10"/>
    <hyperlink r:id="rId8" ref="LS11"/>
    <hyperlink r:id="rId9" ref="LS14"/>
    <hyperlink r:id="rId10" ref="LS15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1D22"/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4" width="16.0"/>
    <col customWidth="1" min="5" max="5" width="18.0"/>
    <col customWidth="1" min="6" max="8" width="8.71"/>
    <col customWidth="1" min="9" max="9" width="22.0"/>
    <col customWidth="1" min="10" max="26" width="8.71"/>
  </cols>
  <sheetData>
    <row r="1" ht="15.0" customHeight="1">
      <c r="A1" s="10" t="s">
        <v>395</v>
      </c>
      <c r="B1" s="10" t="s">
        <v>396</v>
      </c>
      <c r="C1" s="10" t="s">
        <v>397</v>
      </c>
      <c r="D1" s="10" t="s">
        <v>398</v>
      </c>
      <c r="E1" s="10" t="s">
        <v>399</v>
      </c>
      <c r="F1" s="11" t="s">
        <v>400</v>
      </c>
      <c r="G1" s="11" t="s">
        <v>401</v>
      </c>
      <c r="H1" s="11" t="s">
        <v>402</v>
      </c>
      <c r="I1" s="11" t="s">
        <v>403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0" customHeight="1">
      <c r="A2" s="13" t="s">
        <v>404</v>
      </c>
      <c r="B2" s="13" t="s">
        <v>405</v>
      </c>
      <c r="C2" s="13" t="s">
        <v>364</v>
      </c>
      <c r="D2" s="13" t="s">
        <v>334</v>
      </c>
      <c r="E2" s="13" t="s">
        <v>406</v>
      </c>
      <c r="F2" s="12" t="s">
        <v>407</v>
      </c>
      <c r="G2" s="12" t="s">
        <v>407</v>
      </c>
      <c r="H2" s="12" t="s">
        <v>407</v>
      </c>
      <c r="I2" s="12" t="s">
        <v>407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0" customHeight="1">
      <c r="A3" s="13" t="s">
        <v>408</v>
      </c>
      <c r="B3" s="13" t="s">
        <v>409</v>
      </c>
      <c r="C3" s="13" t="s">
        <v>332</v>
      </c>
      <c r="D3" s="13" t="s">
        <v>352</v>
      </c>
      <c r="E3" s="13" t="s">
        <v>410</v>
      </c>
      <c r="F3" s="12" t="s">
        <v>404</v>
      </c>
      <c r="G3" s="12" t="s">
        <v>405</v>
      </c>
      <c r="H3" s="12" t="s">
        <v>364</v>
      </c>
      <c r="I3" s="12" t="s">
        <v>333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0" customHeight="1">
      <c r="A4" s="13" t="s">
        <v>411</v>
      </c>
      <c r="B4" s="13" t="s">
        <v>338</v>
      </c>
      <c r="C4" s="13" t="s">
        <v>378</v>
      </c>
      <c r="D4" s="13" t="s">
        <v>373</v>
      </c>
      <c r="E4" s="13" t="s">
        <v>412</v>
      </c>
      <c r="F4" s="12" t="s">
        <v>408</v>
      </c>
      <c r="G4" s="12" t="s">
        <v>409</v>
      </c>
      <c r="H4" s="12" t="s">
        <v>332</v>
      </c>
      <c r="I4" s="12" t="s">
        <v>382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0" customHeight="1">
      <c r="A5" s="13" t="s">
        <v>413</v>
      </c>
      <c r="B5" s="13" t="s">
        <v>404</v>
      </c>
      <c r="C5" s="13" t="s">
        <v>339</v>
      </c>
      <c r="D5" s="13" t="s">
        <v>385</v>
      </c>
      <c r="E5" s="13" t="s">
        <v>385</v>
      </c>
      <c r="F5" s="12" t="s">
        <v>411</v>
      </c>
      <c r="G5" s="12" t="s">
        <v>338</v>
      </c>
      <c r="H5" s="12" t="s">
        <v>378</v>
      </c>
      <c r="I5" s="12" t="s">
        <v>365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0" customHeight="1">
      <c r="A6" s="13" t="s">
        <v>414</v>
      </c>
      <c r="B6" s="13" t="s">
        <v>408</v>
      </c>
      <c r="C6" s="13" t="s">
        <v>351</v>
      </c>
      <c r="D6" s="13"/>
      <c r="E6" s="13"/>
      <c r="F6" s="12" t="s">
        <v>413</v>
      </c>
      <c r="G6" s="12" t="s">
        <v>404</v>
      </c>
      <c r="H6" s="12" t="s">
        <v>339</v>
      </c>
      <c r="I6" s="12" t="s">
        <v>415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0" customHeight="1">
      <c r="A7" s="13" t="s">
        <v>416</v>
      </c>
      <c r="B7" s="13" t="s">
        <v>411</v>
      </c>
      <c r="C7" s="13" t="s">
        <v>361</v>
      </c>
      <c r="D7" s="13"/>
      <c r="E7" s="13"/>
      <c r="F7" s="12" t="s">
        <v>414</v>
      </c>
      <c r="G7" s="12" t="s">
        <v>408</v>
      </c>
      <c r="H7" s="12" t="s">
        <v>351</v>
      </c>
      <c r="I7" s="12" t="s">
        <v>372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0" customHeight="1">
      <c r="A8" s="13" t="s">
        <v>417</v>
      </c>
      <c r="B8" s="13" t="s">
        <v>413</v>
      </c>
      <c r="C8" s="13" t="s">
        <v>390</v>
      </c>
      <c r="D8" s="13"/>
      <c r="E8" s="13"/>
      <c r="F8" s="12" t="s">
        <v>416</v>
      </c>
      <c r="G8" s="12" t="s">
        <v>411</v>
      </c>
      <c r="H8" s="12" t="s">
        <v>361</v>
      </c>
      <c r="I8" s="12" t="s">
        <v>357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0" customHeight="1">
      <c r="A9" s="13" t="s">
        <v>418</v>
      </c>
      <c r="B9" s="13" t="s">
        <v>414</v>
      </c>
      <c r="C9" s="13" t="s">
        <v>345</v>
      </c>
      <c r="D9" s="13"/>
      <c r="E9" s="13"/>
      <c r="F9" s="12" t="s">
        <v>417</v>
      </c>
      <c r="G9" s="12" t="s">
        <v>413</v>
      </c>
      <c r="H9" s="12" t="s">
        <v>390</v>
      </c>
      <c r="I9" s="12" t="s">
        <v>419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0" customHeight="1">
      <c r="A10" s="13" t="s">
        <v>420</v>
      </c>
      <c r="B10" s="13" t="s">
        <v>416</v>
      </c>
      <c r="C10" s="13"/>
      <c r="D10" s="13"/>
      <c r="E10" s="13"/>
      <c r="F10" s="12" t="s">
        <v>418</v>
      </c>
      <c r="G10" s="12" t="s">
        <v>414</v>
      </c>
      <c r="H10" s="12" t="s">
        <v>345</v>
      </c>
      <c r="I10" s="12" t="s">
        <v>368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0" customHeight="1">
      <c r="A11" s="13" t="s">
        <v>421</v>
      </c>
      <c r="B11" s="13" t="s">
        <v>417</v>
      </c>
      <c r="C11" s="13"/>
      <c r="D11" s="13"/>
      <c r="E11" s="13"/>
      <c r="F11" s="12" t="s">
        <v>420</v>
      </c>
      <c r="G11" s="12" t="s">
        <v>416</v>
      </c>
      <c r="H11" s="12"/>
      <c r="I11" s="12" t="s">
        <v>379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0" customHeight="1">
      <c r="A12" s="13" t="s">
        <v>422</v>
      </c>
      <c r="B12" s="13" t="s">
        <v>418</v>
      </c>
      <c r="C12" s="13"/>
      <c r="D12" s="13"/>
      <c r="E12" s="13"/>
      <c r="F12" s="12" t="s">
        <v>421</v>
      </c>
      <c r="G12" s="12" t="s">
        <v>417</v>
      </c>
      <c r="H12" s="12"/>
      <c r="I12" s="12" t="s">
        <v>423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0" customHeight="1">
      <c r="A13" s="13" t="s">
        <v>424</v>
      </c>
      <c r="B13" s="13" t="s">
        <v>420</v>
      </c>
      <c r="C13" s="13"/>
      <c r="D13" s="13"/>
      <c r="E13" s="13"/>
      <c r="F13" s="12" t="s">
        <v>422</v>
      </c>
      <c r="G13" s="12" t="s">
        <v>418</v>
      </c>
      <c r="H13" s="12"/>
      <c r="I13" s="12" t="s">
        <v>346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0" customHeight="1">
      <c r="A14" s="13" t="s">
        <v>425</v>
      </c>
      <c r="B14" s="13" t="s">
        <v>421</v>
      </c>
      <c r="C14" s="13"/>
      <c r="D14" s="13"/>
      <c r="E14" s="13"/>
      <c r="F14" s="12" t="s">
        <v>424</v>
      </c>
      <c r="G14" s="12" t="s">
        <v>420</v>
      </c>
      <c r="H14" s="12"/>
      <c r="I14" s="12" t="s">
        <v>340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0" customHeight="1">
      <c r="A15" s="13" t="s">
        <v>426</v>
      </c>
      <c r="B15" s="13" t="s">
        <v>422</v>
      </c>
      <c r="C15" s="13"/>
      <c r="D15" s="13"/>
      <c r="E15" s="13"/>
      <c r="F15" s="12" t="s">
        <v>425</v>
      </c>
      <c r="G15" s="12" t="s">
        <v>421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0" customHeight="1">
      <c r="A16" s="13" t="s">
        <v>427</v>
      </c>
      <c r="B16" s="13" t="s">
        <v>424</v>
      </c>
      <c r="C16" s="13"/>
      <c r="D16" s="13"/>
      <c r="E16" s="13"/>
      <c r="F16" s="12" t="s">
        <v>426</v>
      </c>
      <c r="G16" s="12" t="s">
        <v>422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0" customHeight="1">
      <c r="A17" s="13"/>
      <c r="B17" s="13" t="s">
        <v>425</v>
      </c>
      <c r="C17" s="13"/>
      <c r="D17" s="13"/>
      <c r="E17" s="13"/>
      <c r="F17" s="12" t="s">
        <v>427</v>
      </c>
      <c r="G17" s="12" t="s">
        <v>424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0" customHeight="1">
      <c r="A18" s="13"/>
      <c r="B18" s="13" t="s">
        <v>426</v>
      </c>
      <c r="C18" s="13"/>
      <c r="D18" s="13"/>
      <c r="E18" s="13"/>
      <c r="F18" s="12"/>
      <c r="G18" s="12" t="s">
        <v>425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0" customHeight="1">
      <c r="A19" s="13"/>
      <c r="B19" s="13" t="s">
        <v>427</v>
      </c>
      <c r="C19" s="13"/>
      <c r="D19" s="13"/>
      <c r="E19" s="13"/>
      <c r="F19" s="12"/>
      <c r="G19" s="12" t="s">
        <v>426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0" customHeight="1">
      <c r="A20" s="13"/>
      <c r="B20" s="13" t="s">
        <v>428</v>
      </c>
      <c r="C20" s="13"/>
      <c r="D20" s="13"/>
      <c r="E20" s="13"/>
      <c r="F20" s="12"/>
      <c r="G20" s="12" t="s">
        <v>427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0" customHeight="1">
      <c r="A21" s="13"/>
      <c r="B21" s="13" t="s">
        <v>429</v>
      </c>
      <c r="C21" s="13"/>
      <c r="D21" s="13"/>
      <c r="E21" s="13"/>
      <c r="F21" s="12"/>
      <c r="G21" s="12" t="s">
        <v>428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0" customHeight="1">
      <c r="A22" s="13"/>
      <c r="B22" s="13" t="s">
        <v>430</v>
      </c>
      <c r="C22" s="13"/>
      <c r="D22" s="13"/>
      <c r="E22" s="13"/>
      <c r="F22" s="12"/>
      <c r="G22" s="12" t="s">
        <v>429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0" customHeight="1">
      <c r="A23" s="13"/>
      <c r="B23" s="13" t="s">
        <v>431</v>
      </c>
      <c r="C23" s="13"/>
      <c r="D23" s="13"/>
      <c r="E23" s="13"/>
      <c r="F23" s="12"/>
      <c r="G23" s="12" t="s">
        <v>430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0" customHeight="1">
      <c r="A24" s="13"/>
      <c r="B24" s="13" t="s">
        <v>432</v>
      </c>
      <c r="C24" s="13"/>
      <c r="D24" s="13"/>
      <c r="E24" s="13"/>
      <c r="F24" s="12"/>
      <c r="G24" s="12" t="s">
        <v>431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0" customHeight="1">
      <c r="A25" s="13"/>
      <c r="B25" s="13" t="s">
        <v>433</v>
      </c>
      <c r="C25" s="13"/>
      <c r="D25" s="13"/>
      <c r="E25" s="13"/>
      <c r="F25" s="12"/>
      <c r="G25" s="12" t="s">
        <v>432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0" customHeight="1">
      <c r="A26" s="13"/>
      <c r="B26" s="13" t="s">
        <v>434</v>
      </c>
      <c r="C26" s="13"/>
      <c r="D26" s="13"/>
      <c r="E26" s="13"/>
      <c r="F26" s="12"/>
      <c r="G26" s="12" t="s">
        <v>433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0" customHeight="1">
      <c r="A27" s="13"/>
      <c r="B27" s="13" t="s">
        <v>435</v>
      </c>
      <c r="C27" s="13"/>
      <c r="D27" s="13"/>
      <c r="E27" s="13"/>
      <c r="F27" s="12"/>
      <c r="G27" s="12" t="s">
        <v>434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0" customHeight="1">
      <c r="A28" s="13"/>
      <c r="B28" s="13" t="s">
        <v>436</v>
      </c>
      <c r="C28" s="13"/>
      <c r="D28" s="13"/>
      <c r="E28" s="13"/>
      <c r="F28" s="12"/>
      <c r="G28" s="12" t="s">
        <v>435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0" customHeight="1">
      <c r="A29" s="13"/>
      <c r="B29" s="13" t="s">
        <v>437</v>
      </c>
      <c r="C29" s="13"/>
      <c r="D29" s="13"/>
      <c r="E29" s="13"/>
      <c r="F29" s="12"/>
      <c r="G29" s="12" t="s">
        <v>436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0" customHeight="1">
      <c r="A30" s="13"/>
      <c r="B30" s="13" t="s">
        <v>438</v>
      </c>
      <c r="C30" s="13"/>
      <c r="D30" s="13"/>
      <c r="E30" s="13"/>
      <c r="F30" s="12"/>
      <c r="G30" s="12" t="s">
        <v>437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0" customHeight="1">
      <c r="A31" s="13"/>
      <c r="B31" s="13" t="s">
        <v>439</v>
      </c>
      <c r="C31" s="13"/>
      <c r="D31" s="13"/>
      <c r="E31" s="13"/>
      <c r="F31" s="12"/>
      <c r="G31" s="12" t="s">
        <v>438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0" customHeight="1">
      <c r="A32" s="13"/>
      <c r="B32" s="13" t="s">
        <v>440</v>
      </c>
      <c r="C32" s="13"/>
      <c r="D32" s="13"/>
      <c r="E32" s="13"/>
      <c r="F32" s="12"/>
      <c r="G32" s="12" t="s">
        <v>439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0" customHeight="1">
      <c r="A33" s="13"/>
      <c r="B33" s="13" t="s">
        <v>441</v>
      </c>
      <c r="C33" s="13"/>
      <c r="D33" s="13"/>
      <c r="E33" s="13"/>
      <c r="F33" s="12"/>
      <c r="G33" s="12" t="s">
        <v>440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0" customHeight="1">
      <c r="A34" s="13"/>
      <c r="B34" s="13" t="s">
        <v>442</v>
      </c>
      <c r="C34" s="13"/>
      <c r="D34" s="13"/>
      <c r="E34" s="13"/>
      <c r="F34" s="12"/>
      <c r="G34" s="12" t="s">
        <v>441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0" customHeight="1">
      <c r="A35" s="13"/>
      <c r="B35" s="13" t="s">
        <v>443</v>
      </c>
      <c r="C35" s="13"/>
      <c r="D35" s="13"/>
      <c r="E35" s="13"/>
      <c r="F35" s="12"/>
      <c r="G35" s="12" t="s">
        <v>442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0" customHeight="1">
      <c r="A36" s="13"/>
      <c r="B36" s="13" t="s">
        <v>444</v>
      </c>
      <c r="C36" s="13"/>
      <c r="D36" s="13"/>
      <c r="E36" s="13"/>
      <c r="F36" s="12"/>
      <c r="G36" s="12" t="s">
        <v>443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0" customHeight="1">
      <c r="A37" s="13"/>
      <c r="B37" s="13" t="s">
        <v>445</v>
      </c>
      <c r="C37" s="13"/>
      <c r="D37" s="13"/>
      <c r="E37" s="13"/>
      <c r="F37" s="12"/>
      <c r="G37" s="12" t="s">
        <v>444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0" customHeight="1">
      <c r="A38" s="13"/>
      <c r="B38" s="13" t="s">
        <v>446</v>
      </c>
      <c r="C38" s="13"/>
      <c r="D38" s="13"/>
      <c r="E38" s="13"/>
      <c r="F38" s="12"/>
      <c r="G38" s="12" t="s">
        <v>445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0" customHeight="1">
      <c r="A39" s="13"/>
      <c r="B39" s="13" t="s">
        <v>447</v>
      </c>
      <c r="C39" s="13"/>
      <c r="D39" s="13"/>
      <c r="E39" s="13"/>
      <c r="F39" s="12"/>
      <c r="G39" s="12" t="s">
        <v>446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0" customHeight="1">
      <c r="A40" s="13"/>
      <c r="B40" s="13" t="s">
        <v>448</v>
      </c>
      <c r="C40" s="13"/>
      <c r="D40" s="13"/>
      <c r="E40" s="13"/>
      <c r="F40" s="12"/>
      <c r="G40" s="12" t="s">
        <v>447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0" customHeight="1">
      <c r="A41" s="13"/>
      <c r="B41" s="13" t="s">
        <v>449</v>
      </c>
      <c r="C41" s="13"/>
      <c r="D41" s="13"/>
      <c r="E41" s="13"/>
      <c r="F41" s="12"/>
      <c r="G41" s="12" t="s">
        <v>448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0" customHeight="1">
      <c r="A42" s="13"/>
      <c r="B42" s="13" t="s">
        <v>450</v>
      </c>
      <c r="C42" s="13"/>
      <c r="D42" s="13"/>
      <c r="E42" s="13"/>
      <c r="F42" s="12"/>
      <c r="G42" s="12" t="s">
        <v>449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0" customHeight="1">
      <c r="A43" s="13"/>
      <c r="B43" s="13" t="s">
        <v>451</v>
      </c>
      <c r="C43" s="13"/>
      <c r="D43" s="13"/>
      <c r="E43" s="13"/>
      <c r="F43" s="12"/>
      <c r="G43" s="12" t="s">
        <v>450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0" customHeight="1">
      <c r="A44" s="13"/>
      <c r="B44" s="13" t="s">
        <v>452</v>
      </c>
      <c r="C44" s="13"/>
      <c r="D44" s="13"/>
      <c r="E44" s="13"/>
      <c r="F44" s="12"/>
      <c r="G44" s="12" t="s">
        <v>451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0" customHeight="1">
      <c r="A45" s="13"/>
      <c r="B45" s="13"/>
      <c r="C45" s="13"/>
      <c r="D45" s="13"/>
      <c r="E45" s="13"/>
      <c r="F45" s="12"/>
      <c r="G45" s="12" t="s">
        <v>452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3"/>
      <c r="B46" s="13"/>
      <c r="C46" s="13"/>
      <c r="D46" s="13"/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3"/>
      <c r="B47" s="13"/>
      <c r="C47" s="13"/>
      <c r="D47" s="13"/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3"/>
      <c r="B48" s="13"/>
      <c r="C48" s="13"/>
      <c r="D48" s="13"/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3"/>
      <c r="B49" s="13"/>
      <c r="C49" s="13"/>
      <c r="D49" s="13"/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3"/>
      <c r="B50" s="13"/>
      <c r="C50" s="13"/>
      <c r="D50" s="13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3"/>
      <c r="B51" s="13"/>
      <c r="C51" s="13"/>
      <c r="D51" s="13"/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3"/>
      <c r="B52" s="13"/>
      <c r="C52" s="13"/>
      <c r="D52" s="13"/>
      <c r="E52" s="1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3"/>
      <c r="B53" s="13"/>
      <c r="C53" s="13"/>
      <c r="D53" s="13"/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3"/>
      <c r="B54" s="13"/>
      <c r="C54" s="13"/>
      <c r="D54" s="13"/>
      <c r="E54" s="1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3"/>
      <c r="B55" s="13"/>
      <c r="C55" s="13"/>
      <c r="D55" s="13"/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3"/>
      <c r="B56" s="13"/>
      <c r="C56" s="13"/>
      <c r="D56" s="13"/>
      <c r="E56" s="1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3"/>
      <c r="B57" s="13"/>
      <c r="C57" s="13"/>
      <c r="D57" s="13"/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3"/>
      <c r="B58" s="13"/>
      <c r="C58" s="13"/>
      <c r="D58" s="13"/>
      <c r="E58" s="1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3"/>
      <c r="B59" s="13"/>
      <c r="C59" s="13"/>
      <c r="D59" s="13"/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3"/>
      <c r="B60" s="13"/>
      <c r="C60" s="13"/>
      <c r="D60" s="13"/>
      <c r="E60" s="1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3"/>
      <c r="B61" s="13"/>
      <c r="C61" s="13"/>
      <c r="D61" s="13"/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3"/>
      <c r="B62" s="13"/>
      <c r="C62" s="13"/>
      <c r="D62" s="13"/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3"/>
      <c r="B63" s="13"/>
      <c r="C63" s="13"/>
      <c r="D63" s="13"/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3"/>
      <c r="B64" s="13"/>
      <c r="C64" s="13"/>
      <c r="D64" s="13"/>
      <c r="E64" s="1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3"/>
      <c r="B65" s="13"/>
      <c r="C65" s="13"/>
      <c r="D65" s="13"/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3"/>
      <c r="B66" s="13"/>
      <c r="C66" s="13"/>
      <c r="D66" s="13"/>
      <c r="E66" s="1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3"/>
      <c r="B67" s="13"/>
      <c r="C67" s="13"/>
      <c r="D67" s="13"/>
      <c r="E67" s="1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3"/>
      <c r="B68" s="13"/>
      <c r="C68" s="13"/>
      <c r="D68" s="13"/>
      <c r="E68" s="13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3"/>
      <c r="B69" s="13"/>
      <c r="C69" s="13"/>
      <c r="D69" s="13"/>
      <c r="E69" s="1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3"/>
      <c r="B70" s="13"/>
      <c r="C70" s="13"/>
      <c r="D70" s="13"/>
      <c r="E70" s="13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3"/>
      <c r="B71" s="13"/>
      <c r="C71" s="13"/>
      <c r="D71" s="13"/>
      <c r="E71" s="1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3"/>
      <c r="B72" s="13"/>
      <c r="C72" s="13"/>
      <c r="D72" s="13"/>
      <c r="E72" s="13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3"/>
      <c r="B73" s="13"/>
      <c r="C73" s="13"/>
      <c r="D73" s="13"/>
      <c r="E73" s="1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3"/>
      <c r="B74" s="13"/>
      <c r="C74" s="13"/>
      <c r="D74" s="13"/>
      <c r="E74" s="13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3"/>
      <c r="B75" s="13"/>
      <c r="C75" s="13"/>
      <c r="D75" s="13"/>
      <c r="E75" s="1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3"/>
      <c r="B76" s="13"/>
      <c r="C76" s="13"/>
      <c r="D76" s="13"/>
      <c r="E76" s="13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3"/>
      <c r="B77" s="13"/>
      <c r="C77" s="13"/>
      <c r="D77" s="13"/>
      <c r="E77" s="1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3"/>
      <c r="B78" s="13"/>
      <c r="C78" s="13"/>
      <c r="D78" s="13"/>
      <c r="E78" s="13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3"/>
      <c r="B79" s="13"/>
      <c r="C79" s="13"/>
      <c r="D79" s="13"/>
      <c r="E79" s="1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3"/>
      <c r="B80" s="13"/>
      <c r="C80" s="13"/>
      <c r="D80" s="13"/>
      <c r="E80" s="13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3"/>
      <c r="B81" s="13"/>
      <c r="C81" s="13"/>
      <c r="D81" s="13"/>
      <c r="E81" s="1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3"/>
      <c r="B82" s="13"/>
      <c r="C82" s="13"/>
      <c r="D82" s="13"/>
      <c r="E82" s="13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3"/>
      <c r="B83" s="13"/>
      <c r="C83" s="13"/>
      <c r="D83" s="13"/>
      <c r="E83" s="1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3"/>
      <c r="B84" s="13"/>
      <c r="C84" s="13"/>
      <c r="D84" s="13"/>
      <c r="E84" s="13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3"/>
      <c r="B85" s="13"/>
      <c r="C85" s="13"/>
      <c r="D85" s="13"/>
      <c r="E85" s="1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3"/>
      <c r="B86" s="13"/>
      <c r="C86" s="13"/>
      <c r="D86" s="13"/>
      <c r="E86" s="13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3"/>
      <c r="B87" s="13"/>
      <c r="C87" s="13"/>
      <c r="D87" s="13"/>
      <c r="E87" s="1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3"/>
      <c r="B88" s="13"/>
      <c r="C88" s="13"/>
      <c r="D88" s="13"/>
      <c r="E88" s="1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3"/>
      <c r="B89" s="13"/>
      <c r="C89" s="13"/>
      <c r="D89" s="13"/>
      <c r="E89" s="1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3"/>
      <c r="B90" s="13"/>
      <c r="C90" s="13"/>
      <c r="D90" s="13"/>
      <c r="E90" s="13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3"/>
      <c r="B91" s="13"/>
      <c r="C91" s="13"/>
      <c r="D91" s="13"/>
      <c r="E91" s="1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3"/>
      <c r="B92" s="13"/>
      <c r="C92" s="13"/>
      <c r="D92" s="13"/>
      <c r="E92" s="13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3"/>
      <c r="B93" s="13"/>
      <c r="C93" s="13"/>
      <c r="D93" s="13"/>
      <c r="E93" s="1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3"/>
      <c r="B94" s="13"/>
      <c r="C94" s="13"/>
      <c r="D94" s="13"/>
      <c r="E94" s="13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3"/>
      <c r="B95" s="13"/>
      <c r="C95" s="13"/>
      <c r="D95" s="13"/>
      <c r="E95" s="1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3"/>
      <c r="B96" s="13"/>
      <c r="C96" s="13"/>
      <c r="D96" s="13"/>
      <c r="E96" s="13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3"/>
      <c r="B97" s="13"/>
      <c r="C97" s="13"/>
      <c r="D97" s="13"/>
      <c r="E97" s="1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3"/>
      <c r="B98" s="13"/>
      <c r="C98" s="13"/>
      <c r="D98" s="13"/>
      <c r="E98" s="13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3"/>
      <c r="B99" s="13"/>
      <c r="C99" s="13"/>
      <c r="D99" s="13"/>
      <c r="E99" s="1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3"/>
      <c r="B100" s="13"/>
      <c r="C100" s="13"/>
      <c r="D100" s="13"/>
      <c r="E100" s="13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3"/>
      <c r="B101" s="13"/>
      <c r="C101" s="13"/>
      <c r="D101" s="13"/>
      <c r="E101" s="1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3"/>
      <c r="B102" s="13"/>
      <c r="C102" s="13"/>
      <c r="D102" s="13"/>
      <c r="E102" s="13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3"/>
      <c r="B103" s="13"/>
      <c r="C103" s="13"/>
      <c r="D103" s="13"/>
      <c r="E103" s="1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3"/>
      <c r="B104" s="13"/>
      <c r="C104" s="13"/>
      <c r="D104" s="13"/>
      <c r="E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3"/>
      <c r="B105" s="13"/>
      <c r="C105" s="13"/>
      <c r="D105" s="13"/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3"/>
      <c r="B106" s="13"/>
      <c r="C106" s="13"/>
      <c r="D106" s="13"/>
      <c r="E106" s="1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3"/>
      <c r="B107" s="13"/>
      <c r="C107" s="13"/>
      <c r="D107" s="13"/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3"/>
      <c r="B108" s="13"/>
      <c r="C108" s="13"/>
      <c r="D108" s="13"/>
      <c r="E108" s="1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3"/>
      <c r="B109" s="13"/>
      <c r="C109" s="13"/>
      <c r="D109" s="13"/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3"/>
      <c r="B110" s="13"/>
      <c r="C110" s="13"/>
      <c r="D110" s="13"/>
      <c r="E110" s="1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3"/>
      <c r="B111" s="13"/>
      <c r="C111" s="13"/>
      <c r="D111" s="13"/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3"/>
      <c r="B112" s="13"/>
      <c r="C112" s="13"/>
      <c r="D112" s="13"/>
      <c r="E112" s="1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3"/>
      <c r="B113" s="13"/>
      <c r="C113" s="13"/>
      <c r="D113" s="13"/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3"/>
      <c r="B114" s="13"/>
      <c r="C114" s="13"/>
      <c r="D114" s="13"/>
      <c r="E114" s="1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3"/>
      <c r="B115" s="13"/>
      <c r="C115" s="13"/>
      <c r="D115" s="13"/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3"/>
      <c r="B116" s="13"/>
      <c r="C116" s="13"/>
      <c r="D116" s="13"/>
      <c r="E116" s="1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3"/>
      <c r="B117" s="13"/>
      <c r="C117" s="13"/>
      <c r="D117" s="13"/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3"/>
      <c r="B118" s="13"/>
      <c r="C118" s="13"/>
      <c r="D118" s="13"/>
      <c r="E118" s="1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3"/>
      <c r="B119" s="13"/>
      <c r="C119" s="13"/>
      <c r="D119" s="13"/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3"/>
      <c r="B120" s="13"/>
      <c r="C120" s="13"/>
      <c r="D120" s="13"/>
      <c r="E120" s="1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3"/>
      <c r="B121" s="13"/>
      <c r="C121" s="13"/>
      <c r="D121" s="13"/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3"/>
      <c r="B122" s="13"/>
      <c r="C122" s="13"/>
      <c r="D122" s="13"/>
      <c r="E122" s="1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3"/>
      <c r="B123" s="13"/>
      <c r="C123" s="13"/>
      <c r="D123" s="13"/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3"/>
      <c r="B124" s="13"/>
      <c r="C124" s="13"/>
      <c r="D124" s="13"/>
      <c r="E124" s="1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3"/>
      <c r="B125" s="13"/>
      <c r="C125" s="13"/>
      <c r="D125" s="13"/>
      <c r="E125" s="1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3"/>
      <c r="B126" s="13"/>
      <c r="C126" s="13"/>
      <c r="D126" s="13"/>
      <c r="E126" s="1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3"/>
      <c r="B127" s="13"/>
      <c r="C127" s="13"/>
      <c r="D127" s="13"/>
      <c r="E127" s="1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3"/>
      <c r="B128" s="13"/>
      <c r="C128" s="13"/>
      <c r="D128" s="13"/>
      <c r="E128" s="1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3"/>
      <c r="B129" s="13"/>
      <c r="C129" s="13"/>
      <c r="D129" s="13"/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3"/>
      <c r="B130" s="13"/>
      <c r="C130" s="13"/>
      <c r="D130" s="13"/>
      <c r="E130" s="1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3"/>
      <c r="B131" s="13"/>
      <c r="C131" s="13"/>
      <c r="D131" s="13"/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3"/>
      <c r="B132" s="13"/>
      <c r="C132" s="13"/>
      <c r="D132" s="13"/>
      <c r="E132" s="1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3"/>
      <c r="B133" s="13"/>
      <c r="C133" s="13"/>
      <c r="D133" s="13"/>
      <c r="E133" s="1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3"/>
      <c r="B134" s="13"/>
      <c r="C134" s="13"/>
      <c r="D134" s="13"/>
      <c r="E134" s="1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3"/>
      <c r="B135" s="13"/>
      <c r="C135" s="13"/>
      <c r="D135" s="13"/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3"/>
      <c r="B136" s="13"/>
      <c r="C136" s="13"/>
      <c r="D136" s="13"/>
      <c r="E136" s="1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3"/>
      <c r="B137" s="13"/>
      <c r="C137" s="13"/>
      <c r="D137" s="13"/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3"/>
      <c r="B138" s="13"/>
      <c r="C138" s="13"/>
      <c r="D138" s="13"/>
      <c r="E138" s="1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3"/>
      <c r="B139" s="13"/>
      <c r="C139" s="13"/>
      <c r="D139" s="13"/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3"/>
      <c r="B140" s="13"/>
      <c r="C140" s="13"/>
      <c r="D140" s="13"/>
      <c r="E140" s="1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3"/>
      <c r="B141" s="13"/>
      <c r="C141" s="13"/>
      <c r="D141" s="13"/>
      <c r="E141" s="1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3"/>
      <c r="B142" s="13"/>
      <c r="C142" s="13"/>
      <c r="D142" s="13"/>
      <c r="E142" s="1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3"/>
      <c r="B143" s="13"/>
      <c r="C143" s="13"/>
      <c r="D143" s="13"/>
      <c r="E143" s="1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3"/>
      <c r="B144" s="13"/>
      <c r="C144" s="13"/>
      <c r="D144" s="13"/>
      <c r="E144" s="1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3"/>
      <c r="B145" s="13"/>
      <c r="C145" s="13"/>
      <c r="D145" s="13"/>
      <c r="E145" s="1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3"/>
      <c r="B146" s="13"/>
      <c r="C146" s="13"/>
      <c r="D146" s="13"/>
      <c r="E146" s="1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3"/>
      <c r="B147" s="13"/>
      <c r="C147" s="13"/>
      <c r="D147" s="13"/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3"/>
      <c r="B148" s="13"/>
      <c r="C148" s="13"/>
      <c r="D148" s="13"/>
      <c r="E148" s="1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3"/>
      <c r="B149" s="13"/>
      <c r="C149" s="13"/>
      <c r="D149" s="13"/>
      <c r="E149" s="1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3"/>
      <c r="B150" s="13"/>
      <c r="C150" s="13"/>
      <c r="D150" s="13"/>
      <c r="E150" s="1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3"/>
      <c r="B151" s="13"/>
      <c r="C151" s="13"/>
      <c r="D151" s="13"/>
      <c r="E151" s="1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3"/>
      <c r="B152" s="13"/>
      <c r="C152" s="13"/>
      <c r="D152" s="13"/>
      <c r="E152" s="1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3"/>
      <c r="B153" s="13"/>
      <c r="C153" s="13"/>
      <c r="D153" s="13"/>
      <c r="E153" s="1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3"/>
      <c r="B154" s="13"/>
      <c r="C154" s="13"/>
      <c r="D154" s="13"/>
      <c r="E154" s="1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3"/>
      <c r="B155" s="13"/>
      <c r="C155" s="13"/>
      <c r="D155" s="13"/>
      <c r="E155" s="1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3"/>
      <c r="B156" s="13"/>
      <c r="C156" s="13"/>
      <c r="D156" s="13"/>
      <c r="E156" s="1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3"/>
      <c r="B157" s="13"/>
      <c r="C157" s="13"/>
      <c r="D157" s="13"/>
      <c r="E157" s="1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3"/>
      <c r="B158" s="13"/>
      <c r="C158" s="13"/>
      <c r="D158" s="13"/>
      <c r="E158" s="1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3"/>
      <c r="B159" s="13"/>
      <c r="C159" s="13"/>
      <c r="D159" s="13"/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3"/>
      <c r="B160" s="13"/>
      <c r="C160" s="13"/>
      <c r="D160" s="13"/>
      <c r="E160" s="1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3"/>
      <c r="B161" s="13"/>
      <c r="C161" s="13"/>
      <c r="D161" s="13"/>
      <c r="E161" s="1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3"/>
      <c r="B162" s="13"/>
      <c r="C162" s="13"/>
      <c r="D162" s="13"/>
      <c r="E162" s="1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3"/>
      <c r="B163" s="13"/>
      <c r="C163" s="13"/>
      <c r="D163" s="13"/>
      <c r="E163" s="1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3"/>
      <c r="B164" s="13"/>
      <c r="C164" s="13"/>
      <c r="D164" s="13"/>
      <c r="E164" s="1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3"/>
      <c r="B165" s="13"/>
      <c r="C165" s="13"/>
      <c r="D165" s="13"/>
      <c r="E165" s="1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3"/>
      <c r="B166" s="13"/>
      <c r="C166" s="13"/>
      <c r="D166" s="13"/>
      <c r="E166" s="1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3"/>
      <c r="B167" s="13"/>
      <c r="C167" s="13"/>
      <c r="D167" s="13"/>
      <c r="E167" s="1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3"/>
      <c r="B168" s="13"/>
      <c r="C168" s="13"/>
      <c r="D168" s="13"/>
      <c r="E168" s="1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3"/>
      <c r="B169" s="13"/>
      <c r="C169" s="13"/>
      <c r="D169" s="13"/>
      <c r="E169" s="1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3"/>
      <c r="B170" s="13"/>
      <c r="C170" s="13"/>
      <c r="D170" s="13"/>
      <c r="E170" s="1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3"/>
      <c r="B171" s="13"/>
      <c r="C171" s="13"/>
      <c r="D171" s="13"/>
      <c r="E171" s="1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3"/>
      <c r="B172" s="13"/>
      <c r="C172" s="13"/>
      <c r="D172" s="13"/>
      <c r="E172" s="1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3"/>
      <c r="B173" s="13"/>
      <c r="C173" s="13"/>
      <c r="D173" s="13"/>
      <c r="E173" s="1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3"/>
      <c r="B174" s="13"/>
      <c r="C174" s="13"/>
      <c r="D174" s="13"/>
      <c r="E174" s="1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3"/>
      <c r="B175" s="13"/>
      <c r="C175" s="13"/>
      <c r="D175" s="13"/>
      <c r="E175" s="1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3"/>
      <c r="B176" s="13"/>
      <c r="C176" s="13"/>
      <c r="D176" s="13"/>
      <c r="E176" s="1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3"/>
      <c r="B177" s="13"/>
      <c r="C177" s="13"/>
      <c r="D177" s="13"/>
      <c r="E177" s="1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3"/>
      <c r="B178" s="13"/>
      <c r="C178" s="13"/>
      <c r="D178" s="13"/>
      <c r="E178" s="1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3"/>
      <c r="B179" s="13"/>
      <c r="C179" s="13"/>
      <c r="D179" s="13"/>
      <c r="E179" s="1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3"/>
      <c r="B180" s="13"/>
      <c r="C180" s="13"/>
      <c r="D180" s="13"/>
      <c r="E180" s="1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3"/>
      <c r="B181" s="13"/>
      <c r="C181" s="13"/>
      <c r="D181" s="13"/>
      <c r="E181" s="1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3"/>
      <c r="B182" s="13"/>
      <c r="C182" s="13"/>
      <c r="D182" s="13"/>
      <c r="E182" s="1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3"/>
      <c r="B183" s="13"/>
      <c r="C183" s="13"/>
      <c r="D183" s="13"/>
      <c r="E183" s="1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3"/>
      <c r="B184" s="13"/>
      <c r="C184" s="13"/>
      <c r="D184" s="13"/>
      <c r="E184" s="1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3"/>
      <c r="B185" s="13"/>
      <c r="C185" s="13"/>
      <c r="D185" s="13"/>
      <c r="E185" s="1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3"/>
      <c r="B186" s="13"/>
      <c r="C186" s="13"/>
      <c r="D186" s="13"/>
      <c r="E186" s="1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3"/>
      <c r="B187" s="13"/>
      <c r="C187" s="13"/>
      <c r="D187" s="13"/>
      <c r="E187" s="1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3"/>
      <c r="B188" s="13"/>
      <c r="C188" s="13"/>
      <c r="D188" s="13"/>
      <c r="E188" s="1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3"/>
      <c r="B189" s="13"/>
      <c r="C189" s="13"/>
      <c r="D189" s="13"/>
      <c r="E189" s="1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3"/>
      <c r="B190" s="13"/>
      <c r="C190" s="13"/>
      <c r="D190" s="13"/>
      <c r="E190" s="1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3"/>
      <c r="B191" s="13"/>
      <c r="C191" s="13"/>
      <c r="D191" s="13"/>
      <c r="E191" s="1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3"/>
      <c r="B192" s="13"/>
      <c r="C192" s="13"/>
      <c r="D192" s="13"/>
      <c r="E192" s="1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3"/>
      <c r="B193" s="13"/>
      <c r="C193" s="13"/>
      <c r="D193" s="13"/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3"/>
      <c r="B194" s="13"/>
      <c r="C194" s="13"/>
      <c r="D194" s="13"/>
      <c r="E194" s="1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3"/>
      <c r="B195" s="13"/>
      <c r="C195" s="13"/>
      <c r="D195" s="13"/>
      <c r="E195" s="1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3"/>
      <c r="B196" s="13"/>
      <c r="C196" s="13"/>
      <c r="D196" s="13"/>
      <c r="E196" s="1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3"/>
      <c r="B197" s="13"/>
      <c r="C197" s="13"/>
      <c r="D197" s="13"/>
      <c r="E197" s="1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3"/>
      <c r="B198" s="13"/>
      <c r="C198" s="13"/>
      <c r="D198" s="13"/>
      <c r="E198" s="1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3"/>
      <c r="B199" s="13"/>
      <c r="C199" s="13"/>
      <c r="D199" s="13"/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3"/>
      <c r="B200" s="13"/>
      <c r="C200" s="13"/>
      <c r="D200" s="13"/>
      <c r="E200" s="1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3"/>
      <c r="B201" s="13"/>
      <c r="C201" s="13"/>
      <c r="D201" s="13"/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3"/>
      <c r="B202" s="13"/>
      <c r="C202" s="13"/>
      <c r="D202" s="13"/>
      <c r="E202" s="1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3"/>
      <c r="B203" s="13"/>
      <c r="C203" s="13"/>
      <c r="D203" s="13"/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3"/>
      <c r="B204" s="13"/>
      <c r="C204" s="13"/>
      <c r="D204" s="13"/>
      <c r="E204" s="1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3"/>
      <c r="B205" s="13"/>
      <c r="C205" s="13"/>
      <c r="D205" s="13"/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3"/>
      <c r="B206" s="13"/>
      <c r="C206" s="13"/>
      <c r="D206" s="13"/>
      <c r="E206" s="1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3"/>
      <c r="B207" s="13"/>
      <c r="C207" s="13"/>
      <c r="D207" s="13"/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3"/>
      <c r="B208" s="13"/>
      <c r="C208" s="13"/>
      <c r="D208" s="13"/>
      <c r="E208" s="1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3"/>
      <c r="B209" s="13"/>
      <c r="C209" s="13"/>
      <c r="D209" s="13"/>
      <c r="E209" s="1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3"/>
      <c r="B210" s="13"/>
      <c r="C210" s="13"/>
      <c r="D210" s="13"/>
      <c r="E210" s="1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3"/>
      <c r="B211" s="13"/>
      <c r="C211" s="13"/>
      <c r="D211" s="13"/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3"/>
      <c r="B212" s="13"/>
      <c r="C212" s="13"/>
      <c r="D212" s="13"/>
      <c r="E212" s="1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3"/>
      <c r="B213" s="13"/>
      <c r="C213" s="13"/>
      <c r="D213" s="13"/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3"/>
      <c r="B214" s="13"/>
      <c r="C214" s="13"/>
      <c r="D214" s="13"/>
      <c r="E214" s="1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3"/>
      <c r="B215" s="13"/>
      <c r="C215" s="13"/>
      <c r="D215" s="13"/>
      <c r="E215" s="1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3"/>
      <c r="B216" s="13"/>
      <c r="C216" s="13"/>
      <c r="D216" s="13"/>
      <c r="E216" s="1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3"/>
      <c r="B217" s="13"/>
      <c r="C217" s="13"/>
      <c r="D217" s="13"/>
      <c r="E217" s="1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3"/>
      <c r="B218" s="13"/>
      <c r="C218" s="13"/>
      <c r="D218" s="13"/>
      <c r="E218" s="1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3"/>
      <c r="B219" s="13"/>
      <c r="C219" s="13"/>
      <c r="D219" s="13"/>
      <c r="E219" s="1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3"/>
      <c r="B220" s="13"/>
      <c r="C220" s="13"/>
      <c r="D220" s="13"/>
      <c r="E220" s="13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3"/>
      <c r="B221" s="13"/>
      <c r="C221" s="13"/>
      <c r="D221" s="13"/>
      <c r="E221" s="1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3"/>
      <c r="B222" s="13"/>
      <c r="C222" s="13"/>
      <c r="D222" s="13"/>
      <c r="E222" s="13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3"/>
      <c r="B223" s="13"/>
      <c r="C223" s="13"/>
      <c r="D223" s="13"/>
      <c r="E223" s="1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3"/>
      <c r="B224" s="13"/>
      <c r="C224" s="13"/>
      <c r="D224" s="13"/>
      <c r="E224" s="13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3"/>
      <c r="B225" s="13"/>
      <c r="C225" s="13"/>
      <c r="D225" s="13"/>
      <c r="E225" s="13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3"/>
      <c r="B226" s="13"/>
      <c r="C226" s="13"/>
      <c r="D226" s="13"/>
      <c r="E226" s="13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3"/>
      <c r="B227" s="13"/>
      <c r="C227" s="13"/>
      <c r="D227" s="13"/>
      <c r="E227" s="13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3"/>
      <c r="B228" s="13"/>
      <c r="C228" s="13"/>
      <c r="D228" s="13"/>
      <c r="E228" s="13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3"/>
      <c r="B229" s="13"/>
      <c r="C229" s="13"/>
      <c r="D229" s="13"/>
      <c r="E229" s="13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3"/>
      <c r="B230" s="13"/>
      <c r="C230" s="13"/>
      <c r="D230" s="13"/>
      <c r="E230" s="13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3"/>
      <c r="B231" s="13"/>
      <c r="C231" s="13"/>
      <c r="D231" s="13"/>
      <c r="E231" s="13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3"/>
      <c r="B232" s="13"/>
      <c r="C232" s="13"/>
      <c r="D232" s="13"/>
      <c r="E232" s="13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3"/>
      <c r="B233" s="13"/>
      <c r="C233" s="13"/>
      <c r="D233" s="13"/>
      <c r="E233" s="13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3"/>
      <c r="B234" s="13"/>
      <c r="C234" s="13"/>
      <c r="D234" s="13"/>
      <c r="E234" s="13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3"/>
      <c r="B235" s="13"/>
      <c r="C235" s="13"/>
      <c r="D235" s="13"/>
      <c r="E235" s="13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3"/>
      <c r="B236" s="13"/>
      <c r="C236" s="13"/>
      <c r="D236" s="13"/>
      <c r="E236" s="13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3"/>
      <c r="B237" s="13"/>
      <c r="C237" s="13"/>
      <c r="D237" s="13"/>
      <c r="E237" s="13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3"/>
      <c r="B238" s="13"/>
      <c r="C238" s="13"/>
      <c r="D238" s="13"/>
      <c r="E238" s="13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3"/>
      <c r="B239" s="13"/>
      <c r="C239" s="13"/>
      <c r="D239" s="13"/>
      <c r="E239" s="13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3"/>
      <c r="B240" s="13"/>
      <c r="C240" s="13"/>
      <c r="D240" s="13"/>
      <c r="E240" s="13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3"/>
      <c r="B241" s="13"/>
      <c r="C241" s="13"/>
      <c r="D241" s="13"/>
      <c r="E241" s="13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3"/>
      <c r="B242" s="13"/>
      <c r="C242" s="13"/>
      <c r="D242" s="13"/>
      <c r="E242" s="13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3"/>
      <c r="B243" s="13"/>
      <c r="C243" s="13"/>
      <c r="D243" s="13"/>
      <c r="E243" s="13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3"/>
      <c r="B244" s="13"/>
      <c r="C244" s="13"/>
      <c r="D244" s="13"/>
      <c r="E244" s="13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3"/>
      <c r="B245" s="13"/>
      <c r="C245" s="13"/>
      <c r="D245" s="13"/>
      <c r="E245" s="13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3"/>
      <c r="B246" s="13"/>
      <c r="C246" s="13"/>
      <c r="D246" s="13"/>
      <c r="E246" s="13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3"/>
      <c r="B247" s="13"/>
      <c r="C247" s="13"/>
      <c r="D247" s="13"/>
      <c r="E247" s="13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3"/>
      <c r="B248" s="13"/>
      <c r="C248" s="13"/>
      <c r="D248" s="13"/>
      <c r="E248" s="13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3"/>
      <c r="B249" s="13"/>
      <c r="C249" s="13"/>
      <c r="D249" s="13"/>
      <c r="E249" s="13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3"/>
      <c r="B250" s="13"/>
      <c r="C250" s="13"/>
      <c r="D250" s="13"/>
      <c r="E250" s="13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3"/>
      <c r="B251" s="13"/>
      <c r="C251" s="13"/>
      <c r="D251" s="13"/>
      <c r="E251" s="1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3"/>
      <c r="B252" s="13"/>
      <c r="C252" s="13"/>
      <c r="D252" s="13"/>
      <c r="E252" s="13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3"/>
      <c r="B253" s="13"/>
      <c r="C253" s="13"/>
      <c r="D253" s="13"/>
      <c r="E253" s="13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3"/>
      <c r="B254" s="13"/>
      <c r="C254" s="13"/>
      <c r="D254" s="13"/>
      <c r="E254" s="13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3"/>
      <c r="B255" s="13"/>
      <c r="C255" s="13"/>
      <c r="D255" s="13"/>
      <c r="E255" s="13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3"/>
      <c r="B256" s="13"/>
      <c r="C256" s="13"/>
      <c r="D256" s="13"/>
      <c r="E256" s="13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3"/>
      <c r="B257" s="13"/>
      <c r="C257" s="13"/>
      <c r="D257" s="13"/>
      <c r="E257" s="13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3"/>
      <c r="B258" s="13"/>
      <c r="C258" s="13"/>
      <c r="D258" s="13"/>
      <c r="E258" s="13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3"/>
      <c r="B259" s="13"/>
      <c r="C259" s="13"/>
      <c r="D259" s="13"/>
      <c r="E259" s="13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3"/>
      <c r="B260" s="13"/>
      <c r="C260" s="13"/>
      <c r="D260" s="13"/>
      <c r="E260" s="13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3"/>
      <c r="B261" s="13"/>
      <c r="C261" s="13"/>
      <c r="D261" s="13"/>
      <c r="E261" s="13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3"/>
      <c r="B262" s="13"/>
      <c r="C262" s="13"/>
      <c r="D262" s="13"/>
      <c r="E262" s="13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3"/>
      <c r="B263" s="13"/>
      <c r="C263" s="13"/>
      <c r="D263" s="13"/>
      <c r="E263" s="13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3"/>
      <c r="B264" s="13"/>
      <c r="C264" s="13"/>
      <c r="D264" s="13"/>
      <c r="E264" s="13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3"/>
      <c r="B265" s="13"/>
      <c r="C265" s="13"/>
      <c r="D265" s="13"/>
      <c r="E265" s="13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3"/>
      <c r="B266" s="13"/>
      <c r="C266" s="13"/>
      <c r="D266" s="13"/>
      <c r="E266" s="13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3"/>
      <c r="B267" s="13"/>
      <c r="C267" s="13"/>
      <c r="D267" s="13"/>
      <c r="E267" s="13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3"/>
      <c r="B268" s="13"/>
      <c r="C268" s="13"/>
      <c r="D268" s="13"/>
      <c r="E268" s="13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3"/>
      <c r="B269" s="13"/>
      <c r="C269" s="13"/>
      <c r="D269" s="13"/>
      <c r="E269" s="13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3"/>
      <c r="B270" s="13"/>
      <c r="C270" s="13"/>
      <c r="D270" s="13"/>
      <c r="E270" s="13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3"/>
      <c r="B271" s="13"/>
      <c r="C271" s="13"/>
      <c r="D271" s="13"/>
      <c r="E271" s="13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3"/>
      <c r="B272" s="13"/>
      <c r="C272" s="13"/>
      <c r="D272" s="13"/>
      <c r="E272" s="13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3"/>
      <c r="B273" s="13"/>
      <c r="C273" s="13"/>
      <c r="D273" s="13"/>
      <c r="E273" s="13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3"/>
      <c r="B274" s="13"/>
      <c r="C274" s="13"/>
      <c r="D274" s="13"/>
      <c r="E274" s="13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3"/>
      <c r="B275" s="13"/>
      <c r="C275" s="13"/>
      <c r="D275" s="13"/>
      <c r="E275" s="13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3"/>
      <c r="B276" s="13"/>
      <c r="C276" s="13"/>
      <c r="D276" s="13"/>
      <c r="E276" s="13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3"/>
      <c r="B277" s="13"/>
      <c r="C277" s="13"/>
      <c r="D277" s="13"/>
      <c r="E277" s="13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3"/>
      <c r="B278" s="13"/>
      <c r="C278" s="13"/>
      <c r="D278" s="13"/>
      <c r="E278" s="13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3"/>
      <c r="B279" s="13"/>
      <c r="C279" s="13"/>
      <c r="D279" s="13"/>
      <c r="E279" s="13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3"/>
      <c r="B280" s="13"/>
      <c r="C280" s="13"/>
      <c r="D280" s="13"/>
      <c r="E280" s="13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3"/>
      <c r="B281" s="13"/>
      <c r="C281" s="13"/>
      <c r="D281" s="13"/>
      <c r="E281" s="13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3"/>
      <c r="B282" s="13"/>
      <c r="C282" s="13"/>
      <c r="D282" s="13"/>
      <c r="E282" s="13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3"/>
      <c r="B283" s="13"/>
      <c r="C283" s="13"/>
      <c r="D283" s="13"/>
      <c r="E283" s="13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3"/>
      <c r="B284" s="13"/>
      <c r="C284" s="13"/>
      <c r="D284" s="13"/>
      <c r="E284" s="13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3"/>
      <c r="B285" s="13"/>
      <c r="C285" s="13"/>
      <c r="D285" s="13"/>
      <c r="E285" s="13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3"/>
      <c r="B286" s="13"/>
      <c r="C286" s="13"/>
      <c r="D286" s="13"/>
      <c r="E286" s="13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3"/>
      <c r="B287" s="13"/>
      <c r="C287" s="13"/>
      <c r="D287" s="13"/>
      <c r="E287" s="13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3"/>
      <c r="B288" s="13"/>
      <c r="C288" s="13"/>
      <c r="D288" s="13"/>
      <c r="E288" s="13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3"/>
      <c r="B289" s="13"/>
      <c r="C289" s="13"/>
      <c r="D289" s="13"/>
      <c r="E289" s="13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3"/>
      <c r="B290" s="13"/>
      <c r="C290" s="13"/>
      <c r="D290" s="13"/>
      <c r="E290" s="13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3"/>
      <c r="B291" s="13"/>
      <c r="C291" s="13"/>
      <c r="D291" s="13"/>
      <c r="E291" s="13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3"/>
      <c r="B292" s="13"/>
      <c r="C292" s="13"/>
      <c r="D292" s="13"/>
      <c r="E292" s="13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3"/>
      <c r="B293" s="13"/>
      <c r="C293" s="13"/>
      <c r="D293" s="13"/>
      <c r="E293" s="13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3"/>
      <c r="B294" s="13"/>
      <c r="C294" s="13"/>
      <c r="D294" s="13"/>
      <c r="E294" s="13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3"/>
      <c r="B295" s="13"/>
      <c r="C295" s="13"/>
      <c r="D295" s="13"/>
      <c r="E295" s="13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3"/>
      <c r="B296" s="13"/>
      <c r="C296" s="13"/>
      <c r="D296" s="13"/>
      <c r="E296" s="13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3"/>
      <c r="B297" s="13"/>
      <c r="C297" s="13"/>
      <c r="D297" s="13"/>
      <c r="E297" s="13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3"/>
      <c r="B298" s="13"/>
      <c r="C298" s="13"/>
      <c r="D298" s="13"/>
      <c r="E298" s="13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3"/>
      <c r="B299" s="13"/>
      <c r="C299" s="13"/>
      <c r="D299" s="13"/>
      <c r="E299" s="13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3"/>
      <c r="B300" s="13"/>
      <c r="C300" s="13"/>
      <c r="D300" s="13"/>
      <c r="E300" s="13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3"/>
      <c r="B301" s="13"/>
      <c r="C301" s="13"/>
      <c r="D301" s="13"/>
      <c r="E301" s="13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3"/>
      <c r="B302" s="13"/>
      <c r="C302" s="13"/>
      <c r="D302" s="13"/>
      <c r="E302" s="13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3"/>
      <c r="B303" s="13"/>
      <c r="C303" s="13"/>
      <c r="D303" s="13"/>
      <c r="E303" s="13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3"/>
      <c r="B304" s="13"/>
      <c r="C304" s="13"/>
      <c r="D304" s="13"/>
      <c r="E304" s="13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3"/>
      <c r="B305" s="13"/>
      <c r="C305" s="13"/>
      <c r="D305" s="13"/>
      <c r="E305" s="13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3"/>
      <c r="B306" s="13"/>
      <c r="C306" s="13"/>
      <c r="D306" s="13"/>
      <c r="E306" s="13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3"/>
      <c r="B307" s="13"/>
      <c r="C307" s="13"/>
      <c r="D307" s="13"/>
      <c r="E307" s="13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3"/>
      <c r="B308" s="13"/>
      <c r="C308" s="13"/>
      <c r="D308" s="13"/>
      <c r="E308" s="13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3"/>
      <c r="B309" s="13"/>
      <c r="C309" s="13"/>
      <c r="D309" s="13"/>
      <c r="E309" s="13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3"/>
      <c r="B310" s="13"/>
      <c r="C310" s="13"/>
      <c r="D310" s="13"/>
      <c r="E310" s="13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3"/>
      <c r="B311" s="13"/>
      <c r="C311" s="13"/>
      <c r="D311" s="13"/>
      <c r="E311" s="13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3"/>
      <c r="B312" s="13"/>
      <c r="C312" s="13"/>
      <c r="D312" s="13"/>
      <c r="E312" s="13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3"/>
      <c r="B313" s="13"/>
      <c r="C313" s="13"/>
      <c r="D313" s="13"/>
      <c r="E313" s="13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3"/>
      <c r="B314" s="13"/>
      <c r="C314" s="13"/>
      <c r="D314" s="13"/>
      <c r="E314" s="13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3"/>
      <c r="B315" s="13"/>
      <c r="C315" s="13"/>
      <c r="D315" s="13"/>
      <c r="E315" s="13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3"/>
      <c r="B316" s="13"/>
      <c r="C316" s="13"/>
      <c r="D316" s="13"/>
      <c r="E316" s="13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3"/>
      <c r="B317" s="13"/>
      <c r="C317" s="13"/>
      <c r="D317" s="13"/>
      <c r="E317" s="13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3"/>
      <c r="B318" s="13"/>
      <c r="C318" s="13"/>
      <c r="D318" s="13"/>
      <c r="E318" s="13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3"/>
      <c r="B319" s="13"/>
      <c r="C319" s="13"/>
      <c r="D319" s="13"/>
      <c r="E319" s="13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3"/>
      <c r="B320" s="13"/>
      <c r="C320" s="13"/>
      <c r="D320" s="13"/>
      <c r="E320" s="13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3"/>
      <c r="B321" s="13"/>
      <c r="C321" s="13"/>
      <c r="D321" s="13"/>
      <c r="E321" s="13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3"/>
      <c r="B322" s="13"/>
      <c r="C322" s="13"/>
      <c r="D322" s="13"/>
      <c r="E322" s="13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3"/>
      <c r="B323" s="13"/>
      <c r="C323" s="13"/>
      <c r="D323" s="13"/>
      <c r="E323" s="13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3"/>
      <c r="B324" s="13"/>
      <c r="C324" s="13"/>
      <c r="D324" s="13"/>
      <c r="E324" s="13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3"/>
      <c r="B325" s="13"/>
      <c r="C325" s="13"/>
      <c r="D325" s="13"/>
      <c r="E325" s="13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3"/>
      <c r="B326" s="13"/>
      <c r="C326" s="13"/>
      <c r="D326" s="13"/>
      <c r="E326" s="13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3"/>
      <c r="B327" s="13"/>
      <c r="C327" s="13"/>
      <c r="D327" s="13"/>
      <c r="E327" s="13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3"/>
      <c r="B328" s="13"/>
      <c r="C328" s="13"/>
      <c r="D328" s="13"/>
      <c r="E328" s="13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3"/>
      <c r="B329" s="13"/>
      <c r="C329" s="13"/>
      <c r="D329" s="13"/>
      <c r="E329" s="1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3"/>
      <c r="B330" s="13"/>
      <c r="C330" s="13"/>
      <c r="D330" s="13"/>
      <c r="E330" s="13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3"/>
      <c r="B331" s="13"/>
      <c r="C331" s="13"/>
      <c r="D331" s="13"/>
      <c r="E331" s="13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3"/>
      <c r="B332" s="13"/>
      <c r="C332" s="13"/>
      <c r="D332" s="13"/>
      <c r="E332" s="13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3"/>
      <c r="B333" s="13"/>
      <c r="C333" s="13"/>
      <c r="D333" s="13"/>
      <c r="E333" s="13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3"/>
      <c r="B334" s="13"/>
      <c r="C334" s="13"/>
      <c r="D334" s="13"/>
      <c r="E334" s="13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3"/>
      <c r="B335" s="13"/>
      <c r="C335" s="13"/>
      <c r="D335" s="13"/>
      <c r="E335" s="13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3"/>
      <c r="B336" s="13"/>
      <c r="C336" s="13"/>
      <c r="D336" s="13"/>
      <c r="E336" s="13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3"/>
      <c r="B337" s="13"/>
      <c r="C337" s="13"/>
      <c r="D337" s="13"/>
      <c r="E337" s="13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3"/>
      <c r="B338" s="13"/>
      <c r="C338" s="13"/>
      <c r="D338" s="13"/>
      <c r="E338" s="13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3"/>
      <c r="B339" s="13"/>
      <c r="C339" s="13"/>
      <c r="D339" s="13"/>
      <c r="E339" s="13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3"/>
      <c r="B340" s="13"/>
      <c r="C340" s="13"/>
      <c r="D340" s="13"/>
      <c r="E340" s="13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3"/>
      <c r="B341" s="13"/>
      <c r="C341" s="13"/>
      <c r="D341" s="13"/>
      <c r="E341" s="13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3"/>
      <c r="B342" s="13"/>
      <c r="C342" s="13"/>
      <c r="D342" s="13"/>
      <c r="E342" s="13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3"/>
      <c r="B343" s="13"/>
      <c r="C343" s="13"/>
      <c r="D343" s="13"/>
      <c r="E343" s="13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3"/>
      <c r="B344" s="13"/>
      <c r="C344" s="13"/>
      <c r="D344" s="13"/>
      <c r="E344" s="13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3"/>
      <c r="B345" s="13"/>
      <c r="C345" s="13"/>
      <c r="D345" s="13"/>
      <c r="E345" s="13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3"/>
      <c r="B346" s="13"/>
      <c r="C346" s="13"/>
      <c r="D346" s="13"/>
      <c r="E346" s="13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3"/>
      <c r="B347" s="13"/>
      <c r="C347" s="13"/>
      <c r="D347" s="13"/>
      <c r="E347" s="13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3"/>
      <c r="B348" s="13"/>
      <c r="C348" s="13"/>
      <c r="D348" s="13"/>
      <c r="E348" s="13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3"/>
      <c r="B349" s="13"/>
      <c r="C349" s="13"/>
      <c r="D349" s="13"/>
      <c r="E349" s="1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3"/>
      <c r="B350" s="13"/>
      <c r="C350" s="13"/>
      <c r="D350" s="13"/>
      <c r="E350" s="13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3"/>
      <c r="B351" s="13"/>
      <c r="C351" s="13"/>
      <c r="D351" s="13"/>
      <c r="E351" s="13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3"/>
      <c r="B352" s="13"/>
      <c r="C352" s="13"/>
      <c r="D352" s="13"/>
      <c r="E352" s="13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3"/>
      <c r="B353" s="13"/>
      <c r="C353" s="13"/>
      <c r="D353" s="13"/>
      <c r="E353" s="13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3"/>
      <c r="B354" s="13"/>
      <c r="C354" s="13"/>
      <c r="D354" s="13"/>
      <c r="E354" s="13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3"/>
      <c r="B355" s="13"/>
      <c r="C355" s="13"/>
      <c r="D355" s="13"/>
      <c r="E355" s="13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3"/>
      <c r="B356" s="13"/>
      <c r="C356" s="13"/>
      <c r="D356" s="13"/>
      <c r="E356" s="13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3"/>
      <c r="B357" s="13"/>
      <c r="C357" s="13"/>
      <c r="D357" s="13"/>
      <c r="E357" s="13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3"/>
      <c r="B358" s="13"/>
      <c r="C358" s="13"/>
      <c r="D358" s="13"/>
      <c r="E358" s="13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3"/>
      <c r="B359" s="13"/>
      <c r="C359" s="13"/>
      <c r="D359" s="13"/>
      <c r="E359" s="13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3"/>
      <c r="B360" s="13"/>
      <c r="C360" s="13"/>
      <c r="D360" s="13"/>
      <c r="E360" s="13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3"/>
      <c r="B361" s="13"/>
      <c r="C361" s="13"/>
      <c r="D361" s="13"/>
      <c r="E361" s="13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3"/>
      <c r="B362" s="13"/>
      <c r="C362" s="13"/>
      <c r="D362" s="13"/>
      <c r="E362" s="13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3"/>
      <c r="B363" s="13"/>
      <c r="C363" s="13"/>
      <c r="D363" s="13"/>
      <c r="E363" s="13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3"/>
      <c r="B364" s="13"/>
      <c r="C364" s="13"/>
      <c r="D364" s="13"/>
      <c r="E364" s="13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3"/>
      <c r="B365" s="13"/>
      <c r="C365" s="13"/>
      <c r="D365" s="13"/>
      <c r="E365" s="13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3"/>
      <c r="B366" s="13"/>
      <c r="C366" s="13"/>
      <c r="D366" s="13"/>
      <c r="E366" s="13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3"/>
      <c r="B367" s="13"/>
      <c r="C367" s="13"/>
      <c r="D367" s="13"/>
      <c r="E367" s="1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3"/>
      <c r="B368" s="13"/>
      <c r="C368" s="13"/>
      <c r="D368" s="13"/>
      <c r="E368" s="13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3"/>
      <c r="B369" s="13"/>
      <c r="C369" s="13"/>
      <c r="D369" s="13"/>
      <c r="E369" s="1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3"/>
      <c r="B370" s="13"/>
      <c r="C370" s="13"/>
      <c r="D370" s="13"/>
      <c r="E370" s="13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3"/>
      <c r="B371" s="13"/>
      <c r="C371" s="13"/>
      <c r="D371" s="13"/>
      <c r="E371" s="1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3"/>
      <c r="B372" s="13"/>
      <c r="C372" s="13"/>
      <c r="D372" s="13"/>
      <c r="E372" s="13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3"/>
      <c r="B373" s="13"/>
      <c r="C373" s="13"/>
      <c r="D373" s="13"/>
      <c r="E373" s="1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3"/>
      <c r="B374" s="13"/>
      <c r="C374" s="13"/>
      <c r="D374" s="13"/>
      <c r="E374" s="13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3"/>
      <c r="B375" s="13"/>
      <c r="C375" s="13"/>
      <c r="D375" s="13"/>
      <c r="E375" s="1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3"/>
      <c r="B376" s="13"/>
      <c r="C376" s="13"/>
      <c r="D376" s="13"/>
      <c r="E376" s="13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3"/>
      <c r="B377" s="13"/>
      <c r="C377" s="13"/>
      <c r="D377" s="13"/>
      <c r="E377" s="1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3"/>
      <c r="B378" s="13"/>
      <c r="C378" s="13"/>
      <c r="D378" s="13"/>
      <c r="E378" s="13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3"/>
      <c r="B379" s="13"/>
      <c r="C379" s="13"/>
      <c r="D379" s="13"/>
      <c r="E379" s="1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3"/>
      <c r="B380" s="13"/>
      <c r="C380" s="13"/>
      <c r="D380" s="13"/>
      <c r="E380" s="13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3"/>
      <c r="B381" s="13"/>
      <c r="C381" s="13"/>
      <c r="D381" s="13"/>
      <c r="E381" s="1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3"/>
      <c r="B382" s="13"/>
      <c r="C382" s="13"/>
      <c r="D382" s="13"/>
      <c r="E382" s="13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3"/>
      <c r="B383" s="13"/>
      <c r="C383" s="13"/>
      <c r="D383" s="13"/>
      <c r="E383" s="1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3"/>
      <c r="B384" s="13"/>
      <c r="C384" s="13"/>
      <c r="D384" s="13"/>
      <c r="E384" s="1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3"/>
      <c r="B385" s="13"/>
      <c r="C385" s="13"/>
      <c r="D385" s="13"/>
      <c r="E385" s="1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3"/>
      <c r="B386" s="13"/>
      <c r="C386" s="13"/>
      <c r="D386" s="13"/>
      <c r="E386" s="1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3"/>
      <c r="B387" s="13"/>
      <c r="C387" s="13"/>
      <c r="D387" s="13"/>
      <c r="E387" s="1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3"/>
      <c r="B388" s="13"/>
      <c r="C388" s="13"/>
      <c r="D388" s="13"/>
      <c r="E388" s="1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3"/>
      <c r="B389" s="13"/>
      <c r="C389" s="13"/>
      <c r="D389" s="13"/>
      <c r="E389" s="1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3"/>
      <c r="B390" s="13"/>
      <c r="C390" s="13"/>
      <c r="D390" s="13"/>
      <c r="E390" s="1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3"/>
      <c r="B391" s="13"/>
      <c r="C391" s="13"/>
      <c r="D391" s="13"/>
      <c r="E391" s="1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3"/>
      <c r="B392" s="13"/>
      <c r="C392" s="13"/>
      <c r="D392" s="13"/>
      <c r="E392" s="1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3"/>
      <c r="B393" s="13"/>
      <c r="C393" s="13"/>
      <c r="D393" s="13"/>
      <c r="E393" s="1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3"/>
      <c r="B394" s="13"/>
      <c r="C394" s="13"/>
      <c r="D394" s="13"/>
      <c r="E394" s="1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3"/>
      <c r="B395" s="13"/>
      <c r="C395" s="13"/>
      <c r="D395" s="13"/>
      <c r="E395" s="1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3"/>
      <c r="B396" s="13"/>
      <c r="C396" s="13"/>
      <c r="D396" s="13"/>
      <c r="E396" s="1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3"/>
      <c r="B397" s="13"/>
      <c r="C397" s="13"/>
      <c r="D397" s="13"/>
      <c r="E397" s="1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3"/>
      <c r="B398" s="13"/>
      <c r="C398" s="13"/>
      <c r="D398" s="13"/>
      <c r="E398" s="1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3"/>
      <c r="B399" s="13"/>
      <c r="C399" s="13"/>
      <c r="D399" s="13"/>
      <c r="E399" s="1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3"/>
      <c r="B400" s="13"/>
      <c r="C400" s="13"/>
      <c r="D400" s="13"/>
      <c r="E400" s="1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3"/>
      <c r="B401" s="13"/>
      <c r="C401" s="13"/>
      <c r="D401" s="13"/>
      <c r="E401" s="1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3"/>
      <c r="B402" s="13"/>
      <c r="C402" s="13"/>
      <c r="D402" s="13"/>
      <c r="E402" s="13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3"/>
      <c r="B403" s="13"/>
      <c r="C403" s="13"/>
      <c r="D403" s="13"/>
      <c r="E403" s="1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3"/>
      <c r="B404" s="13"/>
      <c r="C404" s="13"/>
      <c r="D404" s="13"/>
      <c r="E404" s="1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3"/>
      <c r="B405" s="13"/>
      <c r="C405" s="13"/>
      <c r="D405" s="13"/>
      <c r="E405" s="1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3"/>
      <c r="B406" s="13"/>
      <c r="C406" s="13"/>
      <c r="D406" s="13"/>
      <c r="E406" s="1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3"/>
      <c r="B407" s="13"/>
      <c r="C407" s="13"/>
      <c r="D407" s="13"/>
      <c r="E407" s="1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3"/>
      <c r="B408" s="13"/>
      <c r="C408" s="13"/>
      <c r="D408" s="13"/>
      <c r="E408" s="1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3"/>
      <c r="B409" s="13"/>
      <c r="C409" s="13"/>
      <c r="D409" s="13"/>
      <c r="E409" s="1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3"/>
      <c r="B410" s="13"/>
      <c r="C410" s="13"/>
      <c r="D410" s="13"/>
      <c r="E410" s="1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3"/>
      <c r="B411" s="13"/>
      <c r="C411" s="13"/>
      <c r="D411" s="13"/>
      <c r="E411" s="1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3"/>
      <c r="B412" s="13"/>
      <c r="C412" s="13"/>
      <c r="D412" s="13"/>
      <c r="E412" s="1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3"/>
      <c r="B413" s="13"/>
      <c r="C413" s="13"/>
      <c r="D413" s="13"/>
      <c r="E413" s="1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3"/>
      <c r="B414" s="13"/>
      <c r="C414" s="13"/>
      <c r="D414" s="13"/>
      <c r="E414" s="1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3"/>
      <c r="B415" s="13"/>
      <c r="C415" s="13"/>
      <c r="D415" s="13"/>
      <c r="E415" s="1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3"/>
      <c r="B416" s="13"/>
      <c r="C416" s="13"/>
      <c r="D416" s="13"/>
      <c r="E416" s="1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3"/>
      <c r="B417" s="13"/>
      <c r="C417" s="13"/>
      <c r="D417" s="13"/>
      <c r="E417" s="1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3"/>
      <c r="B418" s="13"/>
      <c r="C418" s="13"/>
      <c r="D418" s="13"/>
      <c r="E418" s="1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3"/>
      <c r="B419" s="13"/>
      <c r="C419" s="13"/>
      <c r="D419" s="13"/>
      <c r="E419" s="1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3"/>
      <c r="B420" s="13"/>
      <c r="C420" s="13"/>
      <c r="D420" s="13"/>
      <c r="E420" s="1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3"/>
      <c r="B421" s="13"/>
      <c r="C421" s="13"/>
      <c r="D421" s="13"/>
      <c r="E421" s="1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3"/>
      <c r="B422" s="13"/>
      <c r="C422" s="13"/>
      <c r="D422" s="13"/>
      <c r="E422" s="1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3"/>
      <c r="B423" s="13"/>
      <c r="C423" s="13"/>
      <c r="D423" s="13"/>
      <c r="E423" s="1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3"/>
      <c r="B424" s="13"/>
      <c r="C424" s="13"/>
      <c r="D424" s="13"/>
      <c r="E424" s="1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3"/>
      <c r="B425" s="13"/>
      <c r="C425" s="13"/>
      <c r="D425" s="13"/>
      <c r="E425" s="1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3"/>
      <c r="B426" s="13"/>
      <c r="C426" s="13"/>
      <c r="D426" s="13"/>
      <c r="E426" s="1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3"/>
      <c r="B427" s="13"/>
      <c r="C427" s="13"/>
      <c r="D427" s="13"/>
      <c r="E427" s="1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3"/>
      <c r="B428" s="13"/>
      <c r="C428" s="13"/>
      <c r="D428" s="13"/>
      <c r="E428" s="1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3"/>
      <c r="B429" s="13"/>
      <c r="C429" s="13"/>
      <c r="D429" s="13"/>
      <c r="E429" s="1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3"/>
      <c r="B430" s="13"/>
      <c r="C430" s="13"/>
      <c r="D430" s="13"/>
      <c r="E430" s="1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3"/>
      <c r="B431" s="13"/>
      <c r="C431" s="13"/>
      <c r="D431" s="13"/>
      <c r="E431" s="1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3"/>
      <c r="B432" s="13"/>
      <c r="C432" s="13"/>
      <c r="D432" s="13"/>
      <c r="E432" s="1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3"/>
      <c r="B433" s="13"/>
      <c r="C433" s="13"/>
      <c r="D433" s="13"/>
      <c r="E433" s="1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3"/>
      <c r="B434" s="13"/>
      <c r="C434" s="13"/>
      <c r="D434" s="13"/>
      <c r="E434" s="13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3"/>
      <c r="B435" s="13"/>
      <c r="C435" s="13"/>
      <c r="D435" s="13"/>
      <c r="E435" s="1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3"/>
      <c r="B436" s="13"/>
      <c r="C436" s="13"/>
      <c r="D436" s="13"/>
      <c r="E436" s="13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3"/>
      <c r="B437" s="13"/>
      <c r="C437" s="13"/>
      <c r="D437" s="13"/>
      <c r="E437" s="1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3"/>
      <c r="B438" s="13"/>
      <c r="C438" s="13"/>
      <c r="D438" s="13"/>
      <c r="E438" s="1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3"/>
      <c r="B439" s="13"/>
      <c r="C439" s="13"/>
      <c r="D439" s="13"/>
      <c r="E439" s="1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3"/>
      <c r="B440" s="13"/>
      <c r="C440" s="13"/>
      <c r="D440" s="13"/>
      <c r="E440" s="13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3"/>
      <c r="B441" s="13"/>
      <c r="C441" s="13"/>
      <c r="D441" s="13"/>
      <c r="E441" s="1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3"/>
      <c r="B442" s="13"/>
      <c r="C442" s="13"/>
      <c r="D442" s="13"/>
      <c r="E442" s="13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3"/>
      <c r="B443" s="13"/>
      <c r="C443" s="13"/>
      <c r="D443" s="13"/>
      <c r="E443" s="1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3"/>
      <c r="B444" s="13"/>
      <c r="C444" s="13"/>
      <c r="D444" s="13"/>
      <c r="E444" s="1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3"/>
      <c r="B445" s="13"/>
      <c r="C445" s="13"/>
      <c r="D445" s="13"/>
      <c r="E445" s="1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3"/>
      <c r="B446" s="13"/>
      <c r="C446" s="13"/>
      <c r="D446" s="13"/>
      <c r="E446" s="13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3"/>
      <c r="B447" s="13"/>
      <c r="C447" s="13"/>
      <c r="D447" s="13"/>
      <c r="E447" s="1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3"/>
      <c r="B448" s="13"/>
      <c r="C448" s="13"/>
      <c r="D448" s="13"/>
      <c r="E448" s="13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3"/>
      <c r="B449" s="13"/>
      <c r="C449" s="13"/>
      <c r="D449" s="13"/>
      <c r="E449" s="1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3"/>
      <c r="B450" s="13"/>
      <c r="C450" s="13"/>
      <c r="D450" s="13"/>
      <c r="E450" s="13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3"/>
      <c r="B451" s="13"/>
      <c r="C451" s="13"/>
      <c r="D451" s="13"/>
      <c r="E451" s="1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3"/>
      <c r="B452" s="13"/>
      <c r="C452" s="13"/>
      <c r="D452" s="13"/>
      <c r="E452" s="13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3"/>
      <c r="B453" s="13"/>
      <c r="C453" s="13"/>
      <c r="D453" s="13"/>
      <c r="E453" s="1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3"/>
      <c r="B454" s="13"/>
      <c r="C454" s="13"/>
      <c r="D454" s="13"/>
      <c r="E454" s="13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3"/>
      <c r="B455" s="13"/>
      <c r="C455" s="13"/>
      <c r="D455" s="13"/>
      <c r="E455" s="1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3"/>
      <c r="B456" s="13"/>
      <c r="C456" s="13"/>
      <c r="D456" s="13"/>
      <c r="E456" s="13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3"/>
      <c r="B457" s="13"/>
      <c r="C457" s="13"/>
      <c r="D457" s="13"/>
      <c r="E457" s="1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3"/>
      <c r="B458" s="13"/>
      <c r="C458" s="13"/>
      <c r="D458" s="13"/>
      <c r="E458" s="13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3"/>
      <c r="B459" s="13"/>
      <c r="C459" s="13"/>
      <c r="D459" s="13"/>
      <c r="E459" s="1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3"/>
      <c r="B460" s="13"/>
      <c r="C460" s="13"/>
      <c r="D460" s="13"/>
      <c r="E460" s="13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3"/>
      <c r="B461" s="13"/>
      <c r="C461" s="13"/>
      <c r="D461" s="13"/>
      <c r="E461" s="1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3"/>
      <c r="B462" s="13"/>
      <c r="C462" s="13"/>
      <c r="D462" s="13"/>
      <c r="E462" s="13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3"/>
      <c r="B463" s="13"/>
      <c r="C463" s="13"/>
      <c r="D463" s="13"/>
      <c r="E463" s="1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3"/>
      <c r="B464" s="13"/>
      <c r="C464" s="13"/>
      <c r="D464" s="13"/>
      <c r="E464" s="13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3"/>
      <c r="B465" s="13"/>
      <c r="C465" s="13"/>
      <c r="D465" s="13"/>
      <c r="E465" s="1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3"/>
      <c r="B466" s="13"/>
      <c r="C466" s="13"/>
      <c r="D466" s="13"/>
      <c r="E466" s="13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3"/>
      <c r="B467" s="13"/>
      <c r="C467" s="13"/>
      <c r="D467" s="13"/>
      <c r="E467" s="1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3"/>
      <c r="B468" s="13"/>
      <c r="C468" s="13"/>
      <c r="D468" s="13"/>
      <c r="E468" s="13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3"/>
      <c r="B469" s="13"/>
      <c r="C469" s="13"/>
      <c r="D469" s="13"/>
      <c r="E469" s="1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3"/>
      <c r="B470" s="13"/>
      <c r="C470" s="13"/>
      <c r="D470" s="13"/>
      <c r="E470" s="13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3"/>
      <c r="B471" s="13"/>
      <c r="C471" s="13"/>
      <c r="D471" s="13"/>
      <c r="E471" s="1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3"/>
      <c r="B472" s="13"/>
      <c r="C472" s="13"/>
      <c r="D472" s="13"/>
      <c r="E472" s="13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3"/>
      <c r="B473" s="13"/>
      <c r="C473" s="13"/>
      <c r="D473" s="13"/>
      <c r="E473" s="1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3"/>
      <c r="B474" s="13"/>
      <c r="C474" s="13"/>
      <c r="D474" s="13"/>
      <c r="E474" s="13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3"/>
      <c r="B475" s="13"/>
      <c r="C475" s="13"/>
      <c r="D475" s="13"/>
      <c r="E475" s="1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3"/>
      <c r="B476" s="13"/>
      <c r="C476" s="13"/>
      <c r="D476" s="13"/>
      <c r="E476" s="13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3"/>
      <c r="B477" s="13"/>
      <c r="C477" s="13"/>
      <c r="D477" s="13"/>
      <c r="E477" s="1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3"/>
      <c r="B478" s="13"/>
      <c r="C478" s="13"/>
      <c r="D478" s="13"/>
      <c r="E478" s="13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3"/>
      <c r="B479" s="13"/>
      <c r="C479" s="13"/>
      <c r="D479" s="13"/>
      <c r="E479" s="1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3"/>
      <c r="B480" s="13"/>
      <c r="C480" s="13"/>
      <c r="D480" s="13"/>
      <c r="E480" s="13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3"/>
      <c r="B481" s="13"/>
      <c r="C481" s="13"/>
      <c r="D481" s="13"/>
      <c r="E481" s="1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3"/>
      <c r="B482" s="13"/>
      <c r="C482" s="13"/>
      <c r="D482" s="13"/>
      <c r="E482" s="13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3"/>
      <c r="B483" s="13"/>
      <c r="C483" s="13"/>
      <c r="D483" s="13"/>
      <c r="E483" s="1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3"/>
      <c r="B484" s="13"/>
      <c r="C484" s="13"/>
      <c r="D484" s="13"/>
      <c r="E484" s="13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3"/>
      <c r="B485" s="13"/>
      <c r="C485" s="13"/>
      <c r="D485" s="13"/>
      <c r="E485" s="1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3"/>
      <c r="B486" s="13"/>
      <c r="C486" s="13"/>
      <c r="D486" s="13"/>
      <c r="E486" s="13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3"/>
      <c r="B487" s="13"/>
      <c r="C487" s="13"/>
      <c r="D487" s="13"/>
      <c r="E487" s="1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3"/>
      <c r="B488" s="13"/>
      <c r="C488" s="13"/>
      <c r="D488" s="13"/>
      <c r="E488" s="13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3"/>
      <c r="B489" s="13"/>
      <c r="C489" s="13"/>
      <c r="D489" s="13"/>
      <c r="E489" s="1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3"/>
      <c r="B490" s="13"/>
      <c r="C490" s="13"/>
      <c r="D490" s="13"/>
      <c r="E490" s="13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3"/>
      <c r="B491" s="13"/>
      <c r="C491" s="13"/>
      <c r="D491" s="13"/>
      <c r="E491" s="1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3"/>
      <c r="B492" s="13"/>
      <c r="C492" s="13"/>
      <c r="D492" s="13"/>
      <c r="E492" s="13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3"/>
      <c r="B493" s="13"/>
      <c r="C493" s="13"/>
      <c r="D493" s="13"/>
      <c r="E493" s="1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3"/>
      <c r="B494" s="13"/>
      <c r="C494" s="13"/>
      <c r="D494" s="13"/>
      <c r="E494" s="13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3"/>
      <c r="B495" s="13"/>
      <c r="C495" s="13"/>
      <c r="D495" s="13"/>
      <c r="E495" s="1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3"/>
      <c r="B496" s="13"/>
      <c r="C496" s="13"/>
      <c r="D496" s="13"/>
      <c r="E496" s="13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3"/>
      <c r="B497" s="13"/>
      <c r="C497" s="13"/>
      <c r="D497" s="13"/>
      <c r="E497" s="1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3"/>
      <c r="B498" s="13"/>
      <c r="C498" s="13"/>
      <c r="D498" s="13"/>
      <c r="E498" s="13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3"/>
      <c r="B499" s="13"/>
      <c r="C499" s="13"/>
      <c r="D499" s="13"/>
      <c r="E499" s="1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3"/>
      <c r="B500" s="13"/>
      <c r="C500" s="13"/>
      <c r="D500" s="13"/>
      <c r="E500" s="13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3"/>
      <c r="B501" s="13"/>
      <c r="C501" s="13"/>
      <c r="D501" s="13"/>
      <c r="E501" s="1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3"/>
      <c r="B502" s="13"/>
      <c r="C502" s="13"/>
      <c r="D502" s="13"/>
      <c r="E502" s="13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3"/>
      <c r="B503" s="13"/>
      <c r="C503" s="13"/>
      <c r="D503" s="13"/>
      <c r="E503" s="1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3"/>
      <c r="B504" s="13"/>
      <c r="C504" s="13"/>
      <c r="D504" s="13"/>
      <c r="E504" s="13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3"/>
      <c r="B505" s="13"/>
      <c r="C505" s="13"/>
      <c r="D505" s="13"/>
      <c r="E505" s="1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3"/>
      <c r="B506" s="13"/>
      <c r="C506" s="13"/>
      <c r="D506" s="13"/>
      <c r="E506" s="13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3"/>
      <c r="B507" s="13"/>
      <c r="C507" s="13"/>
      <c r="D507" s="13"/>
      <c r="E507" s="1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3"/>
      <c r="B508" s="13"/>
      <c r="C508" s="13"/>
      <c r="D508" s="13"/>
      <c r="E508" s="13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3"/>
      <c r="B509" s="13"/>
      <c r="C509" s="13"/>
      <c r="D509" s="13"/>
      <c r="E509" s="1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3"/>
      <c r="B510" s="13"/>
      <c r="C510" s="13"/>
      <c r="D510" s="13"/>
      <c r="E510" s="13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3"/>
      <c r="B511" s="13"/>
      <c r="C511" s="13"/>
      <c r="D511" s="13"/>
      <c r="E511" s="1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3"/>
      <c r="B512" s="13"/>
      <c r="C512" s="13"/>
      <c r="D512" s="13"/>
      <c r="E512" s="13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3"/>
      <c r="B513" s="13"/>
      <c r="C513" s="13"/>
      <c r="D513" s="13"/>
      <c r="E513" s="1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3"/>
      <c r="B514" s="13"/>
      <c r="C514" s="13"/>
      <c r="D514" s="13"/>
      <c r="E514" s="13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3"/>
      <c r="B515" s="13"/>
      <c r="C515" s="13"/>
      <c r="D515" s="13"/>
      <c r="E515" s="1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3"/>
      <c r="B516" s="13"/>
      <c r="C516" s="13"/>
      <c r="D516" s="13"/>
      <c r="E516" s="13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3"/>
      <c r="B517" s="13"/>
      <c r="C517" s="13"/>
      <c r="D517" s="13"/>
      <c r="E517" s="1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3"/>
      <c r="B518" s="13"/>
      <c r="C518" s="13"/>
      <c r="D518" s="13"/>
      <c r="E518" s="13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3"/>
      <c r="B519" s="13"/>
      <c r="C519" s="13"/>
      <c r="D519" s="13"/>
      <c r="E519" s="1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3"/>
      <c r="B520" s="13"/>
      <c r="C520" s="13"/>
      <c r="D520" s="13"/>
      <c r="E520" s="13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3"/>
      <c r="B521" s="13"/>
      <c r="C521" s="13"/>
      <c r="D521" s="13"/>
      <c r="E521" s="1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3"/>
      <c r="B522" s="13"/>
      <c r="C522" s="13"/>
      <c r="D522" s="13"/>
      <c r="E522" s="13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3"/>
      <c r="B523" s="13"/>
      <c r="C523" s="13"/>
      <c r="D523" s="13"/>
      <c r="E523" s="1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3"/>
      <c r="B524" s="13"/>
      <c r="C524" s="13"/>
      <c r="D524" s="13"/>
      <c r="E524" s="13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3"/>
      <c r="B525" s="13"/>
      <c r="C525" s="13"/>
      <c r="D525" s="13"/>
      <c r="E525" s="1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3"/>
      <c r="B526" s="13"/>
      <c r="C526" s="13"/>
      <c r="D526" s="13"/>
      <c r="E526" s="13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3"/>
      <c r="B527" s="13"/>
      <c r="C527" s="13"/>
      <c r="D527" s="13"/>
      <c r="E527" s="1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3"/>
      <c r="B528" s="13"/>
      <c r="C528" s="13"/>
      <c r="D528" s="13"/>
      <c r="E528" s="13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3"/>
      <c r="B529" s="13"/>
      <c r="C529" s="13"/>
      <c r="D529" s="13"/>
      <c r="E529" s="1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3"/>
      <c r="B530" s="13"/>
      <c r="C530" s="13"/>
      <c r="D530" s="13"/>
      <c r="E530" s="13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3"/>
      <c r="B531" s="13"/>
      <c r="C531" s="13"/>
      <c r="D531" s="13"/>
      <c r="E531" s="1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3"/>
      <c r="B532" s="13"/>
      <c r="C532" s="13"/>
      <c r="D532" s="13"/>
      <c r="E532" s="13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3"/>
      <c r="B533" s="13"/>
      <c r="C533" s="13"/>
      <c r="D533" s="13"/>
      <c r="E533" s="1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3"/>
      <c r="B534" s="13"/>
      <c r="C534" s="13"/>
      <c r="D534" s="13"/>
      <c r="E534" s="13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3"/>
      <c r="B535" s="13"/>
      <c r="C535" s="13"/>
      <c r="D535" s="13"/>
      <c r="E535" s="1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3"/>
      <c r="B536" s="13"/>
      <c r="C536" s="13"/>
      <c r="D536" s="13"/>
      <c r="E536" s="13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3"/>
      <c r="B537" s="13"/>
      <c r="C537" s="13"/>
      <c r="D537" s="13"/>
      <c r="E537" s="1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3"/>
      <c r="B538" s="13"/>
      <c r="C538" s="13"/>
      <c r="D538" s="13"/>
      <c r="E538" s="13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3"/>
      <c r="B539" s="13"/>
      <c r="C539" s="13"/>
      <c r="D539" s="13"/>
      <c r="E539" s="1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3"/>
      <c r="B540" s="13"/>
      <c r="C540" s="13"/>
      <c r="D540" s="13"/>
      <c r="E540" s="13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3"/>
      <c r="B541" s="13"/>
      <c r="C541" s="13"/>
      <c r="D541" s="13"/>
      <c r="E541" s="1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3"/>
      <c r="B542" s="13"/>
      <c r="C542" s="13"/>
      <c r="D542" s="13"/>
      <c r="E542" s="13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3"/>
      <c r="B543" s="13"/>
      <c r="C543" s="13"/>
      <c r="D543" s="13"/>
      <c r="E543" s="1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3"/>
      <c r="B544" s="13"/>
      <c r="C544" s="13"/>
      <c r="D544" s="13"/>
      <c r="E544" s="13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3"/>
      <c r="B545" s="13"/>
      <c r="C545" s="13"/>
      <c r="D545" s="13"/>
      <c r="E545" s="1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3"/>
      <c r="B546" s="13"/>
      <c r="C546" s="13"/>
      <c r="D546" s="13"/>
      <c r="E546" s="13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3"/>
      <c r="B547" s="13"/>
      <c r="C547" s="13"/>
      <c r="D547" s="13"/>
      <c r="E547" s="1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3"/>
      <c r="B548" s="13"/>
      <c r="C548" s="13"/>
      <c r="D548" s="13"/>
      <c r="E548" s="13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3"/>
      <c r="B549" s="13"/>
      <c r="C549" s="13"/>
      <c r="D549" s="13"/>
      <c r="E549" s="1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3"/>
      <c r="B550" s="13"/>
      <c r="C550" s="13"/>
      <c r="D550" s="13"/>
      <c r="E550" s="13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3"/>
      <c r="B551" s="13"/>
      <c r="C551" s="13"/>
      <c r="D551" s="13"/>
      <c r="E551" s="1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3"/>
      <c r="B552" s="13"/>
      <c r="C552" s="13"/>
      <c r="D552" s="13"/>
      <c r="E552" s="13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3"/>
      <c r="B553" s="13"/>
      <c r="C553" s="13"/>
      <c r="D553" s="13"/>
      <c r="E553" s="1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3"/>
      <c r="B554" s="13"/>
      <c r="C554" s="13"/>
      <c r="D554" s="13"/>
      <c r="E554" s="13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3"/>
      <c r="B555" s="13"/>
      <c r="C555" s="13"/>
      <c r="D555" s="13"/>
      <c r="E555" s="1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3"/>
      <c r="B556" s="13"/>
      <c r="C556" s="13"/>
      <c r="D556" s="13"/>
      <c r="E556" s="13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3"/>
      <c r="B557" s="13"/>
      <c r="C557" s="13"/>
      <c r="D557" s="13"/>
      <c r="E557" s="1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3"/>
      <c r="B558" s="13"/>
      <c r="C558" s="13"/>
      <c r="D558" s="13"/>
      <c r="E558" s="13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3"/>
      <c r="B559" s="13"/>
      <c r="C559" s="13"/>
      <c r="D559" s="13"/>
      <c r="E559" s="1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3"/>
      <c r="B560" s="13"/>
      <c r="C560" s="13"/>
      <c r="D560" s="13"/>
      <c r="E560" s="13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3"/>
      <c r="B561" s="13"/>
      <c r="C561" s="13"/>
      <c r="D561" s="13"/>
      <c r="E561" s="1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3"/>
      <c r="B562" s="13"/>
      <c r="C562" s="13"/>
      <c r="D562" s="13"/>
      <c r="E562" s="13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3"/>
      <c r="B563" s="13"/>
      <c r="C563" s="13"/>
      <c r="D563" s="13"/>
      <c r="E563" s="1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3"/>
      <c r="B564" s="13"/>
      <c r="C564" s="13"/>
      <c r="D564" s="13"/>
      <c r="E564" s="13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3"/>
      <c r="B565" s="13"/>
      <c r="C565" s="13"/>
      <c r="D565" s="13"/>
      <c r="E565" s="1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3"/>
      <c r="B566" s="13"/>
      <c r="C566" s="13"/>
      <c r="D566" s="13"/>
      <c r="E566" s="13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3"/>
      <c r="B567" s="13"/>
      <c r="C567" s="13"/>
      <c r="D567" s="13"/>
      <c r="E567" s="1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3"/>
      <c r="B568" s="13"/>
      <c r="C568" s="13"/>
      <c r="D568" s="13"/>
      <c r="E568" s="13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3"/>
      <c r="B569" s="13"/>
      <c r="C569" s="13"/>
      <c r="D569" s="13"/>
      <c r="E569" s="1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3"/>
      <c r="B570" s="13"/>
      <c r="C570" s="13"/>
      <c r="D570" s="13"/>
      <c r="E570" s="13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3"/>
      <c r="B571" s="13"/>
      <c r="C571" s="13"/>
      <c r="D571" s="13"/>
      <c r="E571" s="1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3"/>
      <c r="B572" s="13"/>
      <c r="C572" s="13"/>
      <c r="D572" s="13"/>
      <c r="E572" s="13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3"/>
      <c r="B573" s="13"/>
      <c r="C573" s="13"/>
      <c r="D573" s="13"/>
      <c r="E573" s="1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3"/>
      <c r="B574" s="13"/>
      <c r="C574" s="13"/>
      <c r="D574" s="13"/>
      <c r="E574" s="13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3"/>
      <c r="B575" s="13"/>
      <c r="C575" s="13"/>
      <c r="D575" s="13"/>
      <c r="E575" s="1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3"/>
      <c r="B576" s="13"/>
      <c r="C576" s="13"/>
      <c r="D576" s="13"/>
      <c r="E576" s="13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3"/>
      <c r="B577" s="13"/>
      <c r="C577" s="13"/>
      <c r="D577" s="13"/>
      <c r="E577" s="1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3"/>
      <c r="B578" s="13"/>
      <c r="C578" s="13"/>
      <c r="D578" s="13"/>
      <c r="E578" s="13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3"/>
      <c r="B579" s="13"/>
      <c r="C579" s="13"/>
      <c r="D579" s="13"/>
      <c r="E579" s="1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3"/>
      <c r="B580" s="13"/>
      <c r="C580" s="13"/>
      <c r="D580" s="13"/>
      <c r="E580" s="13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3"/>
      <c r="B581" s="13"/>
      <c r="C581" s="13"/>
      <c r="D581" s="13"/>
      <c r="E581" s="1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3"/>
      <c r="B582" s="13"/>
      <c r="C582" s="13"/>
      <c r="D582" s="13"/>
      <c r="E582" s="13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3"/>
      <c r="B583" s="13"/>
      <c r="C583" s="13"/>
      <c r="D583" s="13"/>
      <c r="E583" s="1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3"/>
      <c r="B584" s="13"/>
      <c r="C584" s="13"/>
      <c r="D584" s="13"/>
      <c r="E584" s="13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3"/>
      <c r="B585" s="13"/>
      <c r="C585" s="13"/>
      <c r="D585" s="13"/>
      <c r="E585" s="1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3"/>
      <c r="B586" s="13"/>
      <c r="C586" s="13"/>
      <c r="D586" s="13"/>
      <c r="E586" s="13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3"/>
      <c r="B587" s="13"/>
      <c r="C587" s="13"/>
      <c r="D587" s="13"/>
      <c r="E587" s="1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3"/>
      <c r="B588" s="13"/>
      <c r="C588" s="13"/>
      <c r="D588" s="13"/>
      <c r="E588" s="13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3"/>
      <c r="B589" s="13"/>
      <c r="C589" s="13"/>
      <c r="D589" s="13"/>
      <c r="E589" s="1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3"/>
      <c r="B590" s="13"/>
      <c r="C590" s="13"/>
      <c r="D590" s="13"/>
      <c r="E590" s="13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3"/>
      <c r="B591" s="13"/>
      <c r="C591" s="13"/>
      <c r="D591" s="13"/>
      <c r="E591" s="1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3"/>
      <c r="B592" s="13"/>
      <c r="C592" s="13"/>
      <c r="D592" s="13"/>
      <c r="E592" s="13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3"/>
      <c r="B593" s="13"/>
      <c r="C593" s="13"/>
      <c r="D593" s="13"/>
      <c r="E593" s="1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3"/>
      <c r="B594" s="13"/>
      <c r="C594" s="13"/>
      <c r="D594" s="13"/>
      <c r="E594" s="13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3"/>
      <c r="B595" s="13"/>
      <c r="C595" s="13"/>
      <c r="D595" s="13"/>
      <c r="E595" s="1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3"/>
      <c r="B596" s="13"/>
      <c r="C596" s="13"/>
      <c r="D596" s="13"/>
      <c r="E596" s="13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3"/>
      <c r="B597" s="13"/>
      <c r="C597" s="13"/>
      <c r="D597" s="13"/>
      <c r="E597" s="1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3"/>
      <c r="B598" s="13"/>
      <c r="C598" s="13"/>
      <c r="D598" s="13"/>
      <c r="E598" s="13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3"/>
      <c r="B599" s="13"/>
      <c r="C599" s="13"/>
      <c r="D599" s="13"/>
      <c r="E599" s="1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3"/>
      <c r="B600" s="13"/>
      <c r="C600" s="13"/>
      <c r="D600" s="13"/>
      <c r="E600" s="13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3"/>
      <c r="B601" s="13"/>
      <c r="C601" s="13"/>
      <c r="D601" s="13"/>
      <c r="E601" s="1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3"/>
      <c r="B602" s="13"/>
      <c r="C602" s="13"/>
      <c r="D602" s="13"/>
      <c r="E602" s="13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3"/>
      <c r="B603" s="13"/>
      <c r="C603" s="13"/>
      <c r="D603" s="13"/>
      <c r="E603" s="1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3"/>
      <c r="B604" s="13"/>
      <c r="C604" s="13"/>
      <c r="D604" s="13"/>
      <c r="E604" s="13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3"/>
      <c r="B605" s="13"/>
      <c r="C605" s="13"/>
      <c r="D605" s="13"/>
      <c r="E605" s="1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3"/>
      <c r="B606" s="13"/>
      <c r="C606" s="13"/>
      <c r="D606" s="13"/>
      <c r="E606" s="13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3"/>
      <c r="B607" s="13"/>
      <c r="C607" s="13"/>
      <c r="D607" s="13"/>
      <c r="E607" s="1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3"/>
      <c r="B608" s="13"/>
      <c r="C608" s="13"/>
      <c r="D608" s="13"/>
      <c r="E608" s="13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3"/>
      <c r="B609" s="13"/>
      <c r="C609" s="13"/>
      <c r="D609" s="13"/>
      <c r="E609" s="1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3"/>
      <c r="B610" s="13"/>
      <c r="C610" s="13"/>
      <c r="D610" s="13"/>
      <c r="E610" s="13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3"/>
      <c r="B611" s="13"/>
      <c r="C611" s="13"/>
      <c r="D611" s="13"/>
      <c r="E611" s="1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3"/>
      <c r="B612" s="13"/>
      <c r="C612" s="13"/>
      <c r="D612" s="13"/>
      <c r="E612" s="13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3"/>
      <c r="B613" s="13"/>
      <c r="C613" s="13"/>
      <c r="D613" s="13"/>
      <c r="E613" s="1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3"/>
      <c r="B614" s="13"/>
      <c r="C614" s="13"/>
      <c r="D614" s="13"/>
      <c r="E614" s="13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3"/>
      <c r="B615" s="13"/>
      <c r="C615" s="13"/>
      <c r="D615" s="13"/>
      <c r="E615" s="1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3"/>
      <c r="B616" s="13"/>
      <c r="C616" s="13"/>
      <c r="D616" s="13"/>
      <c r="E616" s="13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3"/>
      <c r="B617" s="13"/>
      <c r="C617" s="13"/>
      <c r="D617" s="13"/>
      <c r="E617" s="1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3"/>
      <c r="B618" s="13"/>
      <c r="C618" s="13"/>
      <c r="D618" s="13"/>
      <c r="E618" s="13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3"/>
      <c r="B619" s="13"/>
      <c r="C619" s="13"/>
      <c r="D619" s="13"/>
      <c r="E619" s="1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3"/>
      <c r="B620" s="13"/>
      <c r="C620" s="13"/>
      <c r="D620" s="13"/>
      <c r="E620" s="13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3"/>
      <c r="B621" s="13"/>
      <c r="C621" s="13"/>
      <c r="D621" s="13"/>
      <c r="E621" s="1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3"/>
      <c r="B622" s="13"/>
      <c r="C622" s="13"/>
      <c r="D622" s="13"/>
      <c r="E622" s="13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3"/>
      <c r="B623" s="13"/>
      <c r="C623" s="13"/>
      <c r="D623" s="13"/>
      <c r="E623" s="1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3"/>
      <c r="B624" s="13"/>
      <c r="C624" s="13"/>
      <c r="D624" s="13"/>
      <c r="E624" s="13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3"/>
      <c r="B625" s="13"/>
      <c r="C625" s="13"/>
      <c r="D625" s="13"/>
      <c r="E625" s="1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3"/>
      <c r="B626" s="13"/>
      <c r="C626" s="13"/>
      <c r="D626" s="13"/>
      <c r="E626" s="13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3"/>
      <c r="B627" s="13"/>
      <c r="C627" s="13"/>
      <c r="D627" s="13"/>
      <c r="E627" s="1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3"/>
      <c r="B628" s="13"/>
      <c r="C628" s="13"/>
      <c r="D628" s="13"/>
      <c r="E628" s="13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3"/>
      <c r="B629" s="13"/>
      <c r="C629" s="13"/>
      <c r="D629" s="13"/>
      <c r="E629" s="1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3"/>
      <c r="B630" s="13"/>
      <c r="C630" s="13"/>
      <c r="D630" s="13"/>
      <c r="E630" s="13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3"/>
      <c r="B631" s="13"/>
      <c r="C631" s="13"/>
      <c r="D631" s="13"/>
      <c r="E631" s="1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3"/>
      <c r="B632" s="13"/>
      <c r="C632" s="13"/>
      <c r="D632" s="13"/>
      <c r="E632" s="13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3"/>
      <c r="B633" s="13"/>
      <c r="C633" s="13"/>
      <c r="D633" s="13"/>
      <c r="E633" s="1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3"/>
      <c r="B634" s="13"/>
      <c r="C634" s="13"/>
      <c r="D634" s="13"/>
      <c r="E634" s="13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3"/>
      <c r="B635" s="13"/>
      <c r="C635" s="13"/>
      <c r="D635" s="13"/>
      <c r="E635" s="1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3"/>
      <c r="B636" s="13"/>
      <c r="C636" s="13"/>
      <c r="D636" s="13"/>
      <c r="E636" s="13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3"/>
      <c r="B637" s="13"/>
      <c r="C637" s="13"/>
      <c r="D637" s="13"/>
      <c r="E637" s="1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3"/>
      <c r="B638" s="13"/>
      <c r="C638" s="13"/>
      <c r="D638" s="13"/>
      <c r="E638" s="13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3"/>
      <c r="B639" s="13"/>
      <c r="C639" s="13"/>
      <c r="D639" s="13"/>
      <c r="E639" s="1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3"/>
      <c r="B640" s="13"/>
      <c r="C640" s="13"/>
      <c r="D640" s="13"/>
      <c r="E640" s="13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3"/>
      <c r="B641" s="13"/>
      <c r="C641" s="13"/>
      <c r="D641" s="13"/>
      <c r="E641" s="1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3"/>
      <c r="B642" s="13"/>
      <c r="C642" s="13"/>
      <c r="D642" s="13"/>
      <c r="E642" s="13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3"/>
      <c r="B643" s="13"/>
      <c r="C643" s="13"/>
      <c r="D643" s="13"/>
      <c r="E643" s="1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3"/>
      <c r="B644" s="13"/>
      <c r="C644" s="13"/>
      <c r="D644" s="13"/>
      <c r="E644" s="13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3"/>
      <c r="B645" s="13"/>
      <c r="C645" s="13"/>
      <c r="D645" s="13"/>
      <c r="E645" s="1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3"/>
      <c r="B646" s="13"/>
      <c r="C646" s="13"/>
      <c r="D646" s="13"/>
      <c r="E646" s="13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3"/>
      <c r="B647" s="13"/>
      <c r="C647" s="13"/>
      <c r="D647" s="13"/>
      <c r="E647" s="1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3"/>
      <c r="B648" s="13"/>
      <c r="C648" s="13"/>
      <c r="D648" s="13"/>
      <c r="E648" s="13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3"/>
      <c r="B649" s="13"/>
      <c r="C649" s="13"/>
      <c r="D649" s="13"/>
      <c r="E649" s="1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3"/>
      <c r="B650" s="13"/>
      <c r="C650" s="13"/>
      <c r="D650" s="13"/>
      <c r="E650" s="13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3"/>
      <c r="B651" s="13"/>
      <c r="C651" s="13"/>
      <c r="D651" s="13"/>
      <c r="E651" s="1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3"/>
      <c r="B652" s="13"/>
      <c r="C652" s="13"/>
      <c r="D652" s="13"/>
      <c r="E652" s="13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3"/>
      <c r="B653" s="13"/>
      <c r="C653" s="13"/>
      <c r="D653" s="13"/>
      <c r="E653" s="1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3"/>
      <c r="B654" s="13"/>
      <c r="C654" s="13"/>
      <c r="D654" s="13"/>
      <c r="E654" s="13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3"/>
      <c r="B655" s="13"/>
      <c r="C655" s="13"/>
      <c r="D655" s="13"/>
      <c r="E655" s="1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3"/>
      <c r="B656" s="13"/>
      <c r="C656" s="13"/>
      <c r="D656" s="13"/>
      <c r="E656" s="13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3"/>
      <c r="B657" s="13"/>
      <c r="C657" s="13"/>
      <c r="D657" s="13"/>
      <c r="E657" s="1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3"/>
      <c r="B658" s="13"/>
      <c r="C658" s="13"/>
      <c r="D658" s="13"/>
      <c r="E658" s="13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3"/>
      <c r="B659" s="13"/>
      <c r="C659" s="13"/>
      <c r="D659" s="13"/>
      <c r="E659" s="1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3"/>
      <c r="B660" s="13"/>
      <c r="C660" s="13"/>
      <c r="D660" s="13"/>
      <c r="E660" s="13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3"/>
      <c r="B661" s="13"/>
      <c r="C661" s="13"/>
      <c r="D661" s="13"/>
      <c r="E661" s="1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3"/>
      <c r="B662" s="13"/>
      <c r="C662" s="13"/>
      <c r="D662" s="13"/>
      <c r="E662" s="13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3"/>
      <c r="B663" s="13"/>
      <c r="C663" s="13"/>
      <c r="D663" s="13"/>
      <c r="E663" s="1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3"/>
      <c r="B664" s="13"/>
      <c r="C664" s="13"/>
      <c r="D664" s="13"/>
      <c r="E664" s="13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3"/>
      <c r="B665" s="13"/>
      <c r="C665" s="13"/>
      <c r="D665" s="13"/>
      <c r="E665" s="1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3"/>
      <c r="B666" s="13"/>
      <c r="C666" s="13"/>
      <c r="D666" s="13"/>
      <c r="E666" s="13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3"/>
      <c r="B667" s="13"/>
      <c r="C667" s="13"/>
      <c r="D667" s="13"/>
      <c r="E667" s="1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3"/>
      <c r="B668" s="13"/>
      <c r="C668" s="13"/>
      <c r="D668" s="13"/>
      <c r="E668" s="13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3"/>
      <c r="B669" s="13"/>
      <c r="C669" s="13"/>
      <c r="D669" s="13"/>
      <c r="E669" s="1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3"/>
      <c r="B670" s="13"/>
      <c r="C670" s="13"/>
      <c r="D670" s="13"/>
      <c r="E670" s="13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3"/>
      <c r="B671" s="13"/>
      <c r="C671" s="13"/>
      <c r="D671" s="13"/>
      <c r="E671" s="1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3"/>
      <c r="B672" s="13"/>
      <c r="C672" s="13"/>
      <c r="D672" s="13"/>
      <c r="E672" s="13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3"/>
      <c r="B673" s="13"/>
      <c r="C673" s="13"/>
      <c r="D673" s="13"/>
      <c r="E673" s="1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3"/>
      <c r="B674" s="13"/>
      <c r="C674" s="13"/>
      <c r="D674" s="13"/>
      <c r="E674" s="13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3"/>
      <c r="B675" s="13"/>
      <c r="C675" s="13"/>
      <c r="D675" s="13"/>
      <c r="E675" s="1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3"/>
      <c r="B676" s="13"/>
      <c r="C676" s="13"/>
      <c r="D676" s="13"/>
      <c r="E676" s="13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3"/>
      <c r="B677" s="13"/>
      <c r="C677" s="13"/>
      <c r="D677" s="13"/>
      <c r="E677" s="1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3"/>
      <c r="B678" s="13"/>
      <c r="C678" s="13"/>
      <c r="D678" s="13"/>
      <c r="E678" s="13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3"/>
      <c r="B679" s="13"/>
      <c r="C679" s="13"/>
      <c r="D679" s="13"/>
      <c r="E679" s="1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3"/>
      <c r="B680" s="13"/>
      <c r="C680" s="13"/>
      <c r="D680" s="13"/>
      <c r="E680" s="13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3"/>
      <c r="B681" s="13"/>
      <c r="C681" s="13"/>
      <c r="D681" s="13"/>
      <c r="E681" s="1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3"/>
      <c r="B682" s="13"/>
      <c r="C682" s="13"/>
      <c r="D682" s="13"/>
      <c r="E682" s="13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3"/>
      <c r="B683" s="13"/>
      <c r="C683" s="13"/>
      <c r="D683" s="13"/>
      <c r="E683" s="1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3"/>
      <c r="B684" s="13"/>
      <c r="C684" s="13"/>
      <c r="D684" s="13"/>
      <c r="E684" s="13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3"/>
      <c r="B685" s="13"/>
      <c r="C685" s="13"/>
      <c r="D685" s="13"/>
      <c r="E685" s="1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3"/>
      <c r="B686" s="13"/>
      <c r="C686" s="13"/>
      <c r="D686" s="13"/>
      <c r="E686" s="13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3"/>
      <c r="B687" s="13"/>
      <c r="C687" s="13"/>
      <c r="D687" s="13"/>
      <c r="E687" s="1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3"/>
      <c r="B688" s="13"/>
      <c r="C688" s="13"/>
      <c r="D688" s="13"/>
      <c r="E688" s="13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3"/>
      <c r="B689" s="13"/>
      <c r="C689" s="13"/>
      <c r="D689" s="13"/>
      <c r="E689" s="1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3"/>
      <c r="B690" s="13"/>
      <c r="C690" s="13"/>
      <c r="D690" s="13"/>
      <c r="E690" s="13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3"/>
      <c r="B691" s="13"/>
      <c r="C691" s="13"/>
      <c r="D691" s="13"/>
      <c r="E691" s="1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3"/>
      <c r="B692" s="13"/>
      <c r="C692" s="13"/>
      <c r="D692" s="13"/>
      <c r="E692" s="13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3"/>
      <c r="B693" s="13"/>
      <c r="C693" s="13"/>
      <c r="D693" s="13"/>
      <c r="E693" s="1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3"/>
      <c r="B694" s="13"/>
      <c r="C694" s="13"/>
      <c r="D694" s="13"/>
      <c r="E694" s="13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3"/>
      <c r="B695" s="13"/>
      <c r="C695" s="13"/>
      <c r="D695" s="13"/>
      <c r="E695" s="1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3"/>
      <c r="B696" s="13"/>
      <c r="C696" s="13"/>
      <c r="D696" s="13"/>
      <c r="E696" s="13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3"/>
      <c r="B697" s="13"/>
      <c r="C697" s="13"/>
      <c r="D697" s="13"/>
      <c r="E697" s="1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3"/>
      <c r="B698" s="13"/>
      <c r="C698" s="13"/>
      <c r="D698" s="13"/>
      <c r="E698" s="13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3"/>
      <c r="B699" s="13"/>
      <c r="C699" s="13"/>
      <c r="D699" s="13"/>
      <c r="E699" s="1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3"/>
      <c r="B700" s="13"/>
      <c r="C700" s="13"/>
      <c r="D700" s="13"/>
      <c r="E700" s="13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3"/>
      <c r="B701" s="13"/>
      <c r="C701" s="13"/>
      <c r="D701" s="13"/>
      <c r="E701" s="1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3"/>
      <c r="B702" s="13"/>
      <c r="C702" s="13"/>
      <c r="D702" s="13"/>
      <c r="E702" s="13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3"/>
      <c r="B703" s="13"/>
      <c r="C703" s="13"/>
      <c r="D703" s="13"/>
      <c r="E703" s="1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3"/>
      <c r="B704" s="13"/>
      <c r="C704" s="13"/>
      <c r="D704" s="13"/>
      <c r="E704" s="13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3"/>
      <c r="B705" s="13"/>
      <c r="C705" s="13"/>
      <c r="D705" s="13"/>
      <c r="E705" s="1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3"/>
      <c r="B706" s="13"/>
      <c r="C706" s="13"/>
      <c r="D706" s="13"/>
      <c r="E706" s="13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3"/>
      <c r="B707" s="13"/>
      <c r="C707" s="13"/>
      <c r="D707" s="13"/>
      <c r="E707" s="1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3"/>
      <c r="B708" s="13"/>
      <c r="C708" s="13"/>
      <c r="D708" s="13"/>
      <c r="E708" s="13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3"/>
      <c r="B709" s="13"/>
      <c r="C709" s="13"/>
      <c r="D709" s="13"/>
      <c r="E709" s="1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3"/>
      <c r="B710" s="13"/>
      <c r="C710" s="13"/>
      <c r="D710" s="13"/>
      <c r="E710" s="13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3"/>
      <c r="B711" s="13"/>
      <c r="C711" s="13"/>
      <c r="D711" s="13"/>
      <c r="E711" s="1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3"/>
      <c r="B712" s="13"/>
      <c r="C712" s="13"/>
      <c r="D712" s="13"/>
      <c r="E712" s="13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3"/>
      <c r="B713" s="13"/>
      <c r="C713" s="13"/>
      <c r="D713" s="13"/>
      <c r="E713" s="1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3"/>
      <c r="B714" s="13"/>
      <c r="C714" s="13"/>
      <c r="D714" s="13"/>
      <c r="E714" s="13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3"/>
      <c r="B715" s="13"/>
      <c r="C715" s="13"/>
      <c r="D715" s="13"/>
      <c r="E715" s="1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3"/>
      <c r="B716" s="13"/>
      <c r="C716" s="13"/>
      <c r="D716" s="13"/>
      <c r="E716" s="13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3"/>
      <c r="B717" s="13"/>
      <c r="C717" s="13"/>
      <c r="D717" s="13"/>
      <c r="E717" s="1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3"/>
      <c r="B718" s="13"/>
      <c r="C718" s="13"/>
      <c r="D718" s="13"/>
      <c r="E718" s="13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3"/>
      <c r="B719" s="13"/>
      <c r="C719" s="13"/>
      <c r="D719" s="13"/>
      <c r="E719" s="1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3"/>
      <c r="B720" s="13"/>
      <c r="C720" s="13"/>
      <c r="D720" s="13"/>
      <c r="E720" s="13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3"/>
      <c r="B721" s="13"/>
      <c r="C721" s="13"/>
      <c r="D721" s="13"/>
      <c r="E721" s="1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3"/>
      <c r="B722" s="13"/>
      <c r="C722" s="13"/>
      <c r="D722" s="13"/>
      <c r="E722" s="13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3"/>
      <c r="B723" s="13"/>
      <c r="C723" s="13"/>
      <c r="D723" s="13"/>
      <c r="E723" s="1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3"/>
      <c r="B724" s="13"/>
      <c r="C724" s="13"/>
      <c r="D724" s="13"/>
      <c r="E724" s="13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3"/>
      <c r="B725" s="13"/>
      <c r="C725" s="13"/>
      <c r="D725" s="13"/>
      <c r="E725" s="1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3"/>
      <c r="B726" s="13"/>
      <c r="C726" s="13"/>
      <c r="D726" s="13"/>
      <c r="E726" s="13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3"/>
      <c r="B727" s="13"/>
      <c r="C727" s="13"/>
      <c r="D727" s="13"/>
      <c r="E727" s="1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3"/>
      <c r="B728" s="13"/>
      <c r="C728" s="13"/>
      <c r="D728" s="13"/>
      <c r="E728" s="13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3"/>
      <c r="B729" s="13"/>
      <c r="C729" s="13"/>
      <c r="D729" s="13"/>
      <c r="E729" s="1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3"/>
      <c r="B730" s="13"/>
      <c r="C730" s="13"/>
      <c r="D730" s="13"/>
      <c r="E730" s="13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3"/>
      <c r="B731" s="13"/>
      <c r="C731" s="13"/>
      <c r="D731" s="13"/>
      <c r="E731" s="1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3"/>
      <c r="B732" s="13"/>
      <c r="C732" s="13"/>
      <c r="D732" s="13"/>
      <c r="E732" s="13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3"/>
      <c r="B733" s="13"/>
      <c r="C733" s="13"/>
      <c r="D733" s="13"/>
      <c r="E733" s="1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3"/>
      <c r="B734" s="13"/>
      <c r="C734" s="13"/>
      <c r="D734" s="13"/>
      <c r="E734" s="13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3"/>
      <c r="B735" s="13"/>
      <c r="C735" s="13"/>
      <c r="D735" s="13"/>
      <c r="E735" s="1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3"/>
      <c r="B736" s="13"/>
      <c r="C736" s="13"/>
      <c r="D736" s="13"/>
      <c r="E736" s="13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3"/>
      <c r="B737" s="13"/>
      <c r="C737" s="13"/>
      <c r="D737" s="13"/>
      <c r="E737" s="1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3"/>
      <c r="B738" s="13"/>
      <c r="C738" s="13"/>
      <c r="D738" s="13"/>
      <c r="E738" s="13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3"/>
      <c r="B739" s="13"/>
      <c r="C739" s="13"/>
      <c r="D739" s="13"/>
      <c r="E739" s="1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3"/>
      <c r="B740" s="13"/>
      <c r="C740" s="13"/>
      <c r="D740" s="13"/>
      <c r="E740" s="13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3"/>
      <c r="B741" s="13"/>
      <c r="C741" s="13"/>
      <c r="D741" s="13"/>
      <c r="E741" s="1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3"/>
      <c r="B742" s="13"/>
      <c r="C742" s="13"/>
      <c r="D742" s="13"/>
      <c r="E742" s="13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3"/>
      <c r="B743" s="13"/>
      <c r="C743" s="13"/>
      <c r="D743" s="13"/>
      <c r="E743" s="1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3"/>
      <c r="B744" s="13"/>
      <c r="C744" s="13"/>
      <c r="D744" s="13"/>
      <c r="E744" s="13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3"/>
      <c r="B745" s="13"/>
      <c r="C745" s="13"/>
      <c r="D745" s="13"/>
      <c r="E745" s="1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3"/>
      <c r="B746" s="13"/>
      <c r="C746" s="13"/>
      <c r="D746" s="13"/>
      <c r="E746" s="13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3"/>
      <c r="B747" s="13"/>
      <c r="C747" s="13"/>
      <c r="D747" s="13"/>
      <c r="E747" s="1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3"/>
      <c r="B748" s="13"/>
      <c r="C748" s="13"/>
      <c r="D748" s="13"/>
      <c r="E748" s="13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3"/>
      <c r="B749" s="13"/>
      <c r="C749" s="13"/>
      <c r="D749" s="13"/>
      <c r="E749" s="1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3"/>
      <c r="B750" s="13"/>
      <c r="C750" s="13"/>
      <c r="D750" s="13"/>
      <c r="E750" s="13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3"/>
      <c r="B751" s="13"/>
      <c r="C751" s="13"/>
      <c r="D751" s="13"/>
      <c r="E751" s="1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3"/>
      <c r="B752" s="13"/>
      <c r="C752" s="13"/>
      <c r="D752" s="13"/>
      <c r="E752" s="13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3"/>
      <c r="B753" s="13"/>
      <c r="C753" s="13"/>
      <c r="D753" s="13"/>
      <c r="E753" s="1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3"/>
      <c r="B754" s="13"/>
      <c r="C754" s="13"/>
      <c r="D754" s="13"/>
      <c r="E754" s="13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3"/>
      <c r="B755" s="13"/>
      <c r="C755" s="13"/>
      <c r="D755" s="13"/>
      <c r="E755" s="1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3"/>
      <c r="B756" s="13"/>
      <c r="C756" s="13"/>
      <c r="D756" s="13"/>
      <c r="E756" s="13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3"/>
      <c r="B757" s="13"/>
      <c r="C757" s="13"/>
      <c r="D757" s="13"/>
      <c r="E757" s="1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3"/>
      <c r="B758" s="13"/>
      <c r="C758" s="13"/>
      <c r="D758" s="13"/>
      <c r="E758" s="13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3"/>
      <c r="B759" s="13"/>
      <c r="C759" s="13"/>
      <c r="D759" s="13"/>
      <c r="E759" s="1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3"/>
      <c r="B760" s="13"/>
      <c r="C760" s="13"/>
      <c r="D760" s="13"/>
      <c r="E760" s="13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3"/>
      <c r="B761" s="13"/>
      <c r="C761" s="13"/>
      <c r="D761" s="13"/>
      <c r="E761" s="1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3"/>
      <c r="B762" s="13"/>
      <c r="C762" s="13"/>
      <c r="D762" s="13"/>
      <c r="E762" s="13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3"/>
      <c r="B763" s="13"/>
      <c r="C763" s="13"/>
      <c r="D763" s="13"/>
      <c r="E763" s="1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3"/>
      <c r="B764" s="13"/>
      <c r="C764" s="13"/>
      <c r="D764" s="13"/>
      <c r="E764" s="13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3"/>
      <c r="B765" s="13"/>
      <c r="C765" s="13"/>
      <c r="D765" s="13"/>
      <c r="E765" s="1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3"/>
      <c r="B766" s="13"/>
      <c r="C766" s="13"/>
      <c r="D766" s="13"/>
      <c r="E766" s="13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3"/>
      <c r="B767" s="13"/>
      <c r="C767" s="13"/>
      <c r="D767" s="13"/>
      <c r="E767" s="1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3"/>
      <c r="B768" s="13"/>
      <c r="C768" s="13"/>
      <c r="D768" s="13"/>
      <c r="E768" s="13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3"/>
      <c r="B769" s="13"/>
      <c r="C769" s="13"/>
      <c r="D769" s="13"/>
      <c r="E769" s="1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3"/>
      <c r="B770" s="13"/>
      <c r="C770" s="13"/>
      <c r="D770" s="13"/>
      <c r="E770" s="13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3"/>
      <c r="B771" s="13"/>
      <c r="C771" s="13"/>
      <c r="D771" s="13"/>
      <c r="E771" s="1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3"/>
      <c r="B772" s="13"/>
      <c r="C772" s="13"/>
      <c r="D772" s="13"/>
      <c r="E772" s="13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3"/>
      <c r="B773" s="13"/>
      <c r="C773" s="13"/>
      <c r="D773" s="13"/>
      <c r="E773" s="1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3"/>
      <c r="B774" s="13"/>
      <c r="C774" s="13"/>
      <c r="D774" s="13"/>
      <c r="E774" s="13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3"/>
      <c r="B775" s="13"/>
      <c r="C775" s="13"/>
      <c r="D775" s="13"/>
      <c r="E775" s="1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3"/>
      <c r="B776" s="13"/>
      <c r="C776" s="13"/>
      <c r="D776" s="13"/>
      <c r="E776" s="13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3"/>
      <c r="B777" s="13"/>
      <c r="C777" s="13"/>
      <c r="D777" s="13"/>
      <c r="E777" s="1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3"/>
      <c r="B778" s="13"/>
      <c r="C778" s="13"/>
      <c r="D778" s="13"/>
      <c r="E778" s="13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3"/>
      <c r="B779" s="13"/>
      <c r="C779" s="13"/>
      <c r="D779" s="13"/>
      <c r="E779" s="1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3"/>
      <c r="B780" s="13"/>
      <c r="C780" s="13"/>
      <c r="D780" s="13"/>
      <c r="E780" s="13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3"/>
      <c r="B781" s="13"/>
      <c r="C781" s="13"/>
      <c r="D781" s="13"/>
      <c r="E781" s="1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3"/>
      <c r="B782" s="13"/>
      <c r="C782" s="13"/>
      <c r="D782" s="13"/>
      <c r="E782" s="13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3"/>
      <c r="B783" s="13"/>
      <c r="C783" s="13"/>
      <c r="D783" s="13"/>
      <c r="E783" s="1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3"/>
      <c r="B784" s="13"/>
      <c r="C784" s="13"/>
      <c r="D784" s="13"/>
      <c r="E784" s="13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3"/>
      <c r="B785" s="13"/>
      <c r="C785" s="13"/>
      <c r="D785" s="13"/>
      <c r="E785" s="1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3"/>
      <c r="B786" s="13"/>
      <c r="C786" s="13"/>
      <c r="D786" s="13"/>
      <c r="E786" s="13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3"/>
      <c r="B787" s="13"/>
      <c r="C787" s="13"/>
      <c r="D787" s="13"/>
      <c r="E787" s="1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3"/>
      <c r="B788" s="13"/>
      <c r="C788" s="13"/>
      <c r="D788" s="13"/>
      <c r="E788" s="13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3"/>
      <c r="B789" s="13"/>
      <c r="C789" s="13"/>
      <c r="D789" s="13"/>
      <c r="E789" s="1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3"/>
      <c r="B790" s="13"/>
      <c r="C790" s="13"/>
      <c r="D790" s="13"/>
      <c r="E790" s="13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3"/>
      <c r="B791" s="13"/>
      <c r="C791" s="13"/>
      <c r="D791" s="13"/>
      <c r="E791" s="1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3"/>
      <c r="B792" s="13"/>
      <c r="C792" s="13"/>
      <c r="D792" s="13"/>
      <c r="E792" s="13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3"/>
      <c r="B793" s="13"/>
      <c r="C793" s="13"/>
      <c r="D793" s="13"/>
      <c r="E793" s="1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3"/>
      <c r="B794" s="13"/>
      <c r="C794" s="13"/>
      <c r="D794" s="13"/>
      <c r="E794" s="13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3"/>
      <c r="B795" s="13"/>
      <c r="C795" s="13"/>
      <c r="D795" s="13"/>
      <c r="E795" s="1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3"/>
      <c r="B796" s="13"/>
      <c r="C796" s="13"/>
      <c r="D796" s="13"/>
      <c r="E796" s="13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3"/>
      <c r="B797" s="13"/>
      <c r="C797" s="13"/>
      <c r="D797" s="13"/>
      <c r="E797" s="1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3"/>
      <c r="B798" s="13"/>
      <c r="C798" s="13"/>
      <c r="D798" s="13"/>
      <c r="E798" s="13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3"/>
      <c r="B799" s="13"/>
      <c r="C799" s="13"/>
      <c r="D799" s="13"/>
      <c r="E799" s="1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3"/>
      <c r="B800" s="13"/>
      <c r="C800" s="13"/>
      <c r="D800" s="13"/>
      <c r="E800" s="13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3"/>
      <c r="B801" s="13"/>
      <c r="C801" s="13"/>
      <c r="D801" s="13"/>
      <c r="E801" s="1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3"/>
      <c r="B802" s="13"/>
      <c r="C802" s="13"/>
      <c r="D802" s="13"/>
      <c r="E802" s="13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3"/>
      <c r="B803" s="13"/>
      <c r="C803" s="13"/>
      <c r="D803" s="13"/>
      <c r="E803" s="1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3"/>
      <c r="B804" s="13"/>
      <c r="C804" s="13"/>
      <c r="D804" s="13"/>
      <c r="E804" s="13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3"/>
      <c r="B805" s="13"/>
      <c r="C805" s="13"/>
      <c r="D805" s="13"/>
      <c r="E805" s="1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3"/>
      <c r="B806" s="13"/>
      <c r="C806" s="13"/>
      <c r="D806" s="13"/>
      <c r="E806" s="13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3"/>
      <c r="B807" s="13"/>
      <c r="C807" s="13"/>
      <c r="D807" s="13"/>
      <c r="E807" s="1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3"/>
      <c r="B808" s="13"/>
      <c r="C808" s="13"/>
      <c r="D808" s="13"/>
      <c r="E808" s="13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3"/>
      <c r="B809" s="13"/>
      <c r="C809" s="13"/>
      <c r="D809" s="13"/>
      <c r="E809" s="1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3"/>
      <c r="B810" s="13"/>
      <c r="C810" s="13"/>
      <c r="D810" s="13"/>
      <c r="E810" s="13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3"/>
      <c r="B811" s="13"/>
      <c r="C811" s="13"/>
      <c r="D811" s="13"/>
      <c r="E811" s="1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3"/>
      <c r="B812" s="13"/>
      <c r="C812" s="13"/>
      <c r="D812" s="13"/>
      <c r="E812" s="13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3"/>
      <c r="B813" s="13"/>
      <c r="C813" s="13"/>
      <c r="D813" s="13"/>
      <c r="E813" s="1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3"/>
      <c r="B814" s="13"/>
      <c r="C814" s="13"/>
      <c r="D814" s="13"/>
      <c r="E814" s="13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3"/>
      <c r="B815" s="13"/>
      <c r="C815" s="13"/>
      <c r="D815" s="13"/>
      <c r="E815" s="1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3"/>
      <c r="B816" s="13"/>
      <c r="C816" s="13"/>
      <c r="D816" s="13"/>
      <c r="E816" s="13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3"/>
      <c r="B817" s="13"/>
      <c r="C817" s="13"/>
      <c r="D817" s="13"/>
      <c r="E817" s="1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3"/>
      <c r="B818" s="13"/>
      <c r="C818" s="13"/>
      <c r="D818" s="13"/>
      <c r="E818" s="13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3"/>
      <c r="B819" s="13"/>
      <c r="C819" s="13"/>
      <c r="D819" s="13"/>
      <c r="E819" s="1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3"/>
      <c r="B820" s="13"/>
      <c r="C820" s="13"/>
      <c r="D820" s="13"/>
      <c r="E820" s="13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3"/>
      <c r="B821" s="13"/>
      <c r="C821" s="13"/>
      <c r="D821" s="13"/>
      <c r="E821" s="1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3"/>
      <c r="B822" s="13"/>
      <c r="C822" s="13"/>
      <c r="D822" s="13"/>
      <c r="E822" s="13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3"/>
      <c r="B823" s="13"/>
      <c r="C823" s="13"/>
      <c r="D823" s="13"/>
      <c r="E823" s="1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3"/>
      <c r="B824" s="13"/>
      <c r="C824" s="13"/>
      <c r="D824" s="13"/>
      <c r="E824" s="13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3"/>
      <c r="B825" s="13"/>
      <c r="C825" s="13"/>
      <c r="D825" s="13"/>
      <c r="E825" s="1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3"/>
      <c r="B826" s="13"/>
      <c r="C826" s="13"/>
      <c r="D826" s="13"/>
      <c r="E826" s="13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3"/>
      <c r="B827" s="13"/>
      <c r="C827" s="13"/>
      <c r="D827" s="13"/>
      <c r="E827" s="1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3"/>
      <c r="B828" s="13"/>
      <c r="C828" s="13"/>
      <c r="D828" s="13"/>
      <c r="E828" s="13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3"/>
      <c r="B829" s="13"/>
      <c r="C829" s="13"/>
      <c r="D829" s="13"/>
      <c r="E829" s="1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3"/>
      <c r="B830" s="13"/>
      <c r="C830" s="13"/>
      <c r="D830" s="13"/>
      <c r="E830" s="13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3"/>
      <c r="B831" s="13"/>
      <c r="C831" s="13"/>
      <c r="D831" s="13"/>
      <c r="E831" s="1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3"/>
      <c r="B832" s="13"/>
      <c r="C832" s="13"/>
      <c r="D832" s="13"/>
      <c r="E832" s="13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3"/>
      <c r="B833" s="13"/>
      <c r="C833" s="13"/>
      <c r="D833" s="13"/>
      <c r="E833" s="1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3"/>
      <c r="B834" s="13"/>
      <c r="C834" s="13"/>
      <c r="D834" s="13"/>
      <c r="E834" s="13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3"/>
      <c r="B835" s="13"/>
      <c r="C835" s="13"/>
      <c r="D835" s="13"/>
      <c r="E835" s="1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3"/>
      <c r="B836" s="13"/>
      <c r="C836" s="13"/>
      <c r="D836" s="13"/>
      <c r="E836" s="13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3"/>
      <c r="B837" s="13"/>
      <c r="C837" s="13"/>
      <c r="D837" s="13"/>
      <c r="E837" s="1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3"/>
      <c r="B838" s="13"/>
      <c r="C838" s="13"/>
      <c r="D838" s="13"/>
      <c r="E838" s="13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3"/>
      <c r="B839" s="13"/>
      <c r="C839" s="13"/>
      <c r="D839" s="13"/>
      <c r="E839" s="1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3"/>
      <c r="B840" s="13"/>
      <c r="C840" s="13"/>
      <c r="D840" s="13"/>
      <c r="E840" s="13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3"/>
      <c r="B841" s="13"/>
      <c r="C841" s="13"/>
      <c r="D841" s="13"/>
      <c r="E841" s="1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3"/>
      <c r="B842" s="13"/>
      <c r="C842" s="13"/>
      <c r="D842" s="13"/>
      <c r="E842" s="13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3"/>
      <c r="B843" s="13"/>
      <c r="C843" s="13"/>
      <c r="D843" s="13"/>
      <c r="E843" s="1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3"/>
      <c r="B844" s="13"/>
      <c r="C844" s="13"/>
      <c r="D844" s="13"/>
      <c r="E844" s="13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3"/>
      <c r="B845" s="13"/>
      <c r="C845" s="13"/>
      <c r="D845" s="13"/>
      <c r="E845" s="1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3"/>
      <c r="B846" s="13"/>
      <c r="C846" s="13"/>
      <c r="D846" s="13"/>
      <c r="E846" s="13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3"/>
      <c r="B847" s="13"/>
      <c r="C847" s="13"/>
      <c r="D847" s="13"/>
      <c r="E847" s="1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3"/>
      <c r="B848" s="13"/>
      <c r="C848" s="13"/>
      <c r="D848" s="13"/>
      <c r="E848" s="13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3"/>
      <c r="B849" s="13"/>
      <c r="C849" s="13"/>
      <c r="D849" s="13"/>
      <c r="E849" s="1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3"/>
      <c r="B850" s="13"/>
      <c r="C850" s="13"/>
      <c r="D850" s="13"/>
      <c r="E850" s="13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3"/>
      <c r="B851" s="13"/>
      <c r="C851" s="13"/>
      <c r="D851" s="13"/>
      <c r="E851" s="1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3"/>
      <c r="B852" s="13"/>
      <c r="C852" s="13"/>
      <c r="D852" s="13"/>
      <c r="E852" s="13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3"/>
      <c r="B853" s="13"/>
      <c r="C853" s="13"/>
      <c r="D853" s="13"/>
      <c r="E853" s="1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3"/>
      <c r="B854" s="13"/>
      <c r="C854" s="13"/>
      <c r="D854" s="13"/>
      <c r="E854" s="13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3"/>
      <c r="B855" s="13"/>
      <c r="C855" s="13"/>
      <c r="D855" s="13"/>
      <c r="E855" s="1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3"/>
      <c r="B856" s="13"/>
      <c r="C856" s="13"/>
      <c r="D856" s="13"/>
      <c r="E856" s="13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3"/>
      <c r="B857" s="13"/>
      <c r="C857" s="13"/>
      <c r="D857" s="13"/>
      <c r="E857" s="1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3"/>
      <c r="B858" s="13"/>
      <c r="C858" s="13"/>
      <c r="D858" s="13"/>
      <c r="E858" s="13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3"/>
      <c r="B859" s="13"/>
      <c r="C859" s="13"/>
      <c r="D859" s="13"/>
      <c r="E859" s="1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3"/>
      <c r="B860" s="13"/>
      <c r="C860" s="13"/>
      <c r="D860" s="13"/>
      <c r="E860" s="13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3"/>
      <c r="B861" s="13"/>
      <c r="C861" s="13"/>
      <c r="D861" s="13"/>
      <c r="E861" s="1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3"/>
      <c r="B862" s="13"/>
      <c r="C862" s="13"/>
      <c r="D862" s="13"/>
      <c r="E862" s="13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3"/>
      <c r="B863" s="13"/>
      <c r="C863" s="13"/>
      <c r="D863" s="13"/>
      <c r="E863" s="1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3"/>
      <c r="B864" s="13"/>
      <c r="C864" s="13"/>
      <c r="D864" s="13"/>
      <c r="E864" s="13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3"/>
      <c r="B865" s="13"/>
      <c r="C865" s="13"/>
      <c r="D865" s="13"/>
      <c r="E865" s="1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3"/>
      <c r="B866" s="13"/>
      <c r="C866" s="13"/>
      <c r="D866" s="13"/>
      <c r="E866" s="13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3"/>
      <c r="B867" s="13"/>
      <c r="C867" s="13"/>
      <c r="D867" s="13"/>
      <c r="E867" s="1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3"/>
      <c r="B868" s="13"/>
      <c r="C868" s="13"/>
      <c r="D868" s="13"/>
      <c r="E868" s="13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3"/>
      <c r="B869" s="13"/>
      <c r="C869" s="13"/>
      <c r="D869" s="13"/>
      <c r="E869" s="1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3"/>
      <c r="B870" s="13"/>
      <c r="C870" s="13"/>
      <c r="D870" s="13"/>
      <c r="E870" s="13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3"/>
      <c r="B871" s="13"/>
      <c r="C871" s="13"/>
      <c r="D871" s="13"/>
      <c r="E871" s="1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3"/>
      <c r="B872" s="13"/>
      <c r="C872" s="13"/>
      <c r="D872" s="13"/>
      <c r="E872" s="13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3"/>
      <c r="B873" s="13"/>
      <c r="C873" s="13"/>
      <c r="D873" s="13"/>
      <c r="E873" s="1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3"/>
      <c r="B874" s="13"/>
      <c r="C874" s="13"/>
      <c r="D874" s="13"/>
      <c r="E874" s="13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3"/>
      <c r="B875" s="13"/>
      <c r="C875" s="13"/>
      <c r="D875" s="13"/>
      <c r="E875" s="1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3"/>
      <c r="B876" s="13"/>
      <c r="C876" s="13"/>
      <c r="D876" s="13"/>
      <c r="E876" s="13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3"/>
      <c r="B877" s="13"/>
      <c r="C877" s="13"/>
      <c r="D877" s="13"/>
      <c r="E877" s="1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3"/>
      <c r="B878" s="13"/>
      <c r="C878" s="13"/>
      <c r="D878" s="13"/>
      <c r="E878" s="13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3"/>
      <c r="B879" s="13"/>
      <c r="C879" s="13"/>
      <c r="D879" s="13"/>
      <c r="E879" s="1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3"/>
      <c r="B880" s="13"/>
      <c r="C880" s="13"/>
      <c r="D880" s="13"/>
      <c r="E880" s="13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3"/>
      <c r="B881" s="13"/>
      <c r="C881" s="13"/>
      <c r="D881" s="13"/>
      <c r="E881" s="1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3"/>
      <c r="B882" s="13"/>
      <c r="C882" s="13"/>
      <c r="D882" s="13"/>
      <c r="E882" s="13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3"/>
      <c r="B883" s="13"/>
      <c r="C883" s="13"/>
      <c r="D883" s="13"/>
      <c r="E883" s="1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3"/>
      <c r="B884" s="13"/>
      <c r="C884" s="13"/>
      <c r="D884" s="13"/>
      <c r="E884" s="13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3"/>
      <c r="B885" s="13"/>
      <c r="C885" s="13"/>
      <c r="D885" s="13"/>
      <c r="E885" s="1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3"/>
      <c r="B886" s="13"/>
      <c r="C886" s="13"/>
      <c r="D886" s="13"/>
      <c r="E886" s="13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3"/>
      <c r="B887" s="13"/>
      <c r="C887" s="13"/>
      <c r="D887" s="13"/>
      <c r="E887" s="1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3"/>
      <c r="B888" s="13"/>
      <c r="C888" s="13"/>
      <c r="D888" s="13"/>
      <c r="E888" s="13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3"/>
      <c r="B889" s="13"/>
      <c r="C889" s="13"/>
      <c r="D889" s="13"/>
      <c r="E889" s="1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3"/>
      <c r="B890" s="13"/>
      <c r="C890" s="13"/>
      <c r="D890" s="13"/>
      <c r="E890" s="13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3"/>
      <c r="B891" s="13"/>
      <c r="C891" s="13"/>
      <c r="D891" s="13"/>
      <c r="E891" s="1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3"/>
      <c r="B892" s="13"/>
      <c r="C892" s="13"/>
      <c r="D892" s="13"/>
      <c r="E892" s="13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3"/>
      <c r="B893" s="13"/>
      <c r="C893" s="13"/>
      <c r="D893" s="13"/>
      <c r="E893" s="1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3"/>
      <c r="B894" s="13"/>
      <c r="C894" s="13"/>
      <c r="D894" s="13"/>
      <c r="E894" s="13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3"/>
      <c r="B895" s="13"/>
      <c r="C895" s="13"/>
      <c r="D895" s="13"/>
      <c r="E895" s="1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3"/>
      <c r="B896" s="13"/>
      <c r="C896" s="13"/>
      <c r="D896" s="13"/>
      <c r="E896" s="13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3"/>
      <c r="B897" s="13"/>
      <c r="C897" s="13"/>
      <c r="D897" s="13"/>
      <c r="E897" s="1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3"/>
      <c r="B898" s="13"/>
      <c r="C898" s="13"/>
      <c r="D898" s="13"/>
      <c r="E898" s="13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3"/>
      <c r="B899" s="13"/>
      <c r="C899" s="13"/>
      <c r="D899" s="13"/>
      <c r="E899" s="1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3"/>
      <c r="B900" s="13"/>
      <c r="C900" s="13"/>
      <c r="D900" s="13"/>
      <c r="E900" s="13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3"/>
      <c r="B901" s="13"/>
      <c r="C901" s="13"/>
      <c r="D901" s="13"/>
      <c r="E901" s="1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3"/>
      <c r="B902" s="13"/>
      <c r="C902" s="13"/>
      <c r="D902" s="13"/>
      <c r="E902" s="13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3"/>
      <c r="B903" s="13"/>
      <c r="C903" s="13"/>
      <c r="D903" s="13"/>
      <c r="E903" s="1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3"/>
      <c r="B904" s="13"/>
      <c r="C904" s="13"/>
      <c r="D904" s="13"/>
      <c r="E904" s="13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3"/>
      <c r="B905" s="13"/>
      <c r="C905" s="13"/>
      <c r="D905" s="13"/>
      <c r="E905" s="1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3"/>
      <c r="B906" s="13"/>
      <c r="C906" s="13"/>
      <c r="D906" s="13"/>
      <c r="E906" s="13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3"/>
      <c r="B907" s="13"/>
      <c r="C907" s="13"/>
      <c r="D907" s="13"/>
      <c r="E907" s="1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3"/>
      <c r="B908" s="13"/>
      <c r="C908" s="13"/>
      <c r="D908" s="13"/>
      <c r="E908" s="13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3"/>
      <c r="B909" s="13"/>
      <c r="C909" s="13"/>
      <c r="D909" s="13"/>
      <c r="E909" s="1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3"/>
      <c r="B910" s="13"/>
      <c r="C910" s="13"/>
      <c r="D910" s="13"/>
      <c r="E910" s="13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3"/>
      <c r="B911" s="13"/>
      <c r="C911" s="13"/>
      <c r="D911" s="13"/>
      <c r="E911" s="13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3"/>
      <c r="B912" s="13"/>
      <c r="C912" s="13"/>
      <c r="D912" s="13"/>
      <c r="E912" s="13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3"/>
      <c r="B913" s="13"/>
      <c r="C913" s="13"/>
      <c r="D913" s="13"/>
      <c r="E913" s="13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3"/>
      <c r="B914" s="13"/>
      <c r="C914" s="13"/>
      <c r="D914" s="13"/>
      <c r="E914" s="13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3"/>
      <c r="B915" s="13"/>
      <c r="C915" s="13"/>
      <c r="D915" s="13"/>
      <c r="E915" s="13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3"/>
      <c r="B916" s="13"/>
      <c r="C916" s="13"/>
      <c r="D916" s="13"/>
      <c r="E916" s="13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3"/>
      <c r="B917" s="13"/>
      <c r="C917" s="13"/>
      <c r="D917" s="13"/>
      <c r="E917" s="13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3"/>
      <c r="B918" s="13"/>
      <c r="C918" s="13"/>
      <c r="D918" s="13"/>
      <c r="E918" s="13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3"/>
      <c r="B919" s="13"/>
      <c r="C919" s="13"/>
      <c r="D919" s="13"/>
      <c r="E919" s="13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3"/>
      <c r="B920" s="13"/>
      <c r="C920" s="13"/>
      <c r="D920" s="13"/>
      <c r="E920" s="13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3"/>
      <c r="B921" s="13"/>
      <c r="C921" s="13"/>
      <c r="D921" s="13"/>
      <c r="E921" s="13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3"/>
      <c r="B922" s="13"/>
      <c r="C922" s="13"/>
      <c r="D922" s="13"/>
      <c r="E922" s="13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3"/>
      <c r="B923" s="13"/>
      <c r="C923" s="13"/>
      <c r="D923" s="13"/>
      <c r="E923" s="13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3"/>
      <c r="B924" s="13"/>
      <c r="C924" s="13"/>
      <c r="D924" s="13"/>
      <c r="E924" s="13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3"/>
      <c r="B925" s="13"/>
      <c r="C925" s="13"/>
      <c r="D925" s="13"/>
      <c r="E925" s="13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3"/>
      <c r="B926" s="13"/>
      <c r="C926" s="13"/>
      <c r="D926" s="13"/>
      <c r="E926" s="13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3"/>
      <c r="B927" s="13"/>
      <c r="C927" s="13"/>
      <c r="D927" s="13"/>
      <c r="E927" s="13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3"/>
      <c r="B928" s="13"/>
      <c r="C928" s="13"/>
      <c r="D928" s="13"/>
      <c r="E928" s="13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3"/>
      <c r="B929" s="13"/>
      <c r="C929" s="13"/>
      <c r="D929" s="13"/>
      <c r="E929" s="13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3"/>
      <c r="B930" s="13"/>
      <c r="C930" s="13"/>
      <c r="D930" s="13"/>
      <c r="E930" s="13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3"/>
      <c r="B931" s="13"/>
      <c r="C931" s="13"/>
      <c r="D931" s="13"/>
      <c r="E931" s="13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3"/>
      <c r="B932" s="13"/>
      <c r="C932" s="13"/>
      <c r="D932" s="13"/>
      <c r="E932" s="13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3"/>
      <c r="B933" s="13"/>
      <c r="C933" s="13"/>
      <c r="D933" s="13"/>
      <c r="E933" s="13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3"/>
      <c r="B934" s="13"/>
      <c r="C934" s="13"/>
      <c r="D934" s="13"/>
      <c r="E934" s="13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3"/>
      <c r="B935" s="13"/>
      <c r="C935" s="13"/>
      <c r="D935" s="13"/>
      <c r="E935" s="13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3"/>
      <c r="B936" s="13"/>
      <c r="C936" s="13"/>
      <c r="D936" s="13"/>
      <c r="E936" s="13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3"/>
      <c r="B937" s="13"/>
      <c r="C937" s="13"/>
      <c r="D937" s="13"/>
      <c r="E937" s="13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3"/>
      <c r="B938" s="13"/>
      <c r="C938" s="13"/>
      <c r="D938" s="13"/>
      <c r="E938" s="13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3"/>
      <c r="B939" s="13"/>
      <c r="C939" s="13"/>
      <c r="D939" s="13"/>
      <c r="E939" s="13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3"/>
      <c r="B940" s="13"/>
      <c r="C940" s="13"/>
      <c r="D940" s="13"/>
      <c r="E940" s="13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3"/>
      <c r="B941" s="13"/>
      <c r="C941" s="13"/>
      <c r="D941" s="13"/>
      <c r="E941" s="13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3"/>
      <c r="B942" s="13"/>
      <c r="C942" s="13"/>
      <c r="D942" s="13"/>
      <c r="E942" s="13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3"/>
      <c r="B943" s="13"/>
      <c r="C943" s="13"/>
      <c r="D943" s="13"/>
      <c r="E943" s="13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3"/>
      <c r="B944" s="13"/>
      <c r="C944" s="13"/>
      <c r="D944" s="13"/>
      <c r="E944" s="13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3"/>
      <c r="B945" s="13"/>
      <c r="C945" s="13"/>
      <c r="D945" s="13"/>
      <c r="E945" s="13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3"/>
      <c r="B946" s="13"/>
      <c r="C946" s="13"/>
      <c r="D946" s="13"/>
      <c r="E946" s="13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3"/>
      <c r="B947" s="13"/>
      <c r="C947" s="13"/>
      <c r="D947" s="13"/>
      <c r="E947" s="13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3"/>
      <c r="B948" s="13"/>
      <c r="C948" s="13"/>
      <c r="D948" s="13"/>
      <c r="E948" s="13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3"/>
      <c r="B949" s="13"/>
      <c r="C949" s="13"/>
      <c r="D949" s="13"/>
      <c r="E949" s="13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3"/>
      <c r="B950" s="13"/>
      <c r="C950" s="13"/>
      <c r="D950" s="13"/>
      <c r="E950" s="13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3"/>
      <c r="B951" s="13"/>
      <c r="C951" s="13"/>
      <c r="D951" s="13"/>
      <c r="E951" s="13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3"/>
      <c r="B952" s="13"/>
      <c r="C952" s="13"/>
      <c r="D952" s="13"/>
      <c r="E952" s="13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3"/>
      <c r="B953" s="13"/>
      <c r="C953" s="13"/>
      <c r="D953" s="13"/>
      <c r="E953" s="13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3"/>
      <c r="B954" s="13"/>
      <c r="C954" s="13"/>
      <c r="D954" s="13"/>
      <c r="E954" s="13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3"/>
      <c r="B955" s="13"/>
      <c r="C955" s="13"/>
      <c r="D955" s="13"/>
      <c r="E955" s="13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3"/>
      <c r="B956" s="13"/>
      <c r="C956" s="13"/>
      <c r="D956" s="13"/>
      <c r="E956" s="13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3"/>
      <c r="B957" s="13"/>
      <c r="C957" s="13"/>
      <c r="D957" s="13"/>
      <c r="E957" s="13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3"/>
      <c r="B958" s="13"/>
      <c r="C958" s="13"/>
      <c r="D958" s="13"/>
      <c r="E958" s="13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3"/>
      <c r="B959" s="13"/>
      <c r="C959" s="13"/>
      <c r="D959" s="13"/>
      <c r="E959" s="13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3"/>
      <c r="B960" s="13"/>
      <c r="C960" s="13"/>
      <c r="D960" s="13"/>
      <c r="E960" s="13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3"/>
      <c r="B961" s="13"/>
      <c r="C961" s="13"/>
      <c r="D961" s="13"/>
      <c r="E961" s="13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3"/>
      <c r="B962" s="13"/>
      <c r="C962" s="13"/>
      <c r="D962" s="13"/>
      <c r="E962" s="13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3"/>
      <c r="B963" s="13"/>
      <c r="C963" s="13"/>
      <c r="D963" s="13"/>
      <c r="E963" s="13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3"/>
      <c r="B964" s="13"/>
      <c r="C964" s="13"/>
      <c r="D964" s="13"/>
      <c r="E964" s="13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3"/>
      <c r="B965" s="13"/>
      <c r="C965" s="13"/>
      <c r="D965" s="13"/>
      <c r="E965" s="13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3"/>
      <c r="B966" s="13"/>
      <c r="C966" s="13"/>
      <c r="D966" s="13"/>
      <c r="E966" s="13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3"/>
      <c r="B967" s="13"/>
      <c r="C967" s="13"/>
      <c r="D967" s="13"/>
      <c r="E967" s="13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3"/>
      <c r="B968" s="13"/>
      <c r="C968" s="13"/>
      <c r="D968" s="13"/>
      <c r="E968" s="13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3"/>
      <c r="B969" s="13"/>
      <c r="C969" s="13"/>
      <c r="D969" s="13"/>
      <c r="E969" s="13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3"/>
      <c r="B970" s="13"/>
      <c r="C970" s="13"/>
      <c r="D970" s="13"/>
      <c r="E970" s="13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3"/>
      <c r="B971" s="13"/>
      <c r="C971" s="13"/>
      <c r="D971" s="13"/>
      <c r="E971" s="13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3"/>
      <c r="B972" s="13"/>
      <c r="C972" s="13"/>
      <c r="D972" s="13"/>
      <c r="E972" s="13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3"/>
      <c r="B973" s="13"/>
      <c r="C973" s="13"/>
      <c r="D973" s="13"/>
      <c r="E973" s="13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3"/>
      <c r="B974" s="13"/>
      <c r="C974" s="13"/>
      <c r="D974" s="13"/>
      <c r="E974" s="13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3"/>
      <c r="B975" s="13"/>
      <c r="C975" s="13"/>
      <c r="D975" s="13"/>
      <c r="E975" s="13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3"/>
      <c r="B976" s="13"/>
      <c r="C976" s="13"/>
      <c r="D976" s="13"/>
      <c r="E976" s="13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3"/>
      <c r="B977" s="13"/>
      <c r="C977" s="13"/>
      <c r="D977" s="13"/>
      <c r="E977" s="13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3"/>
      <c r="B978" s="13"/>
      <c r="C978" s="13"/>
      <c r="D978" s="13"/>
      <c r="E978" s="13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3"/>
      <c r="B979" s="13"/>
      <c r="C979" s="13"/>
      <c r="D979" s="13"/>
      <c r="E979" s="13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3"/>
      <c r="B980" s="13"/>
      <c r="C980" s="13"/>
      <c r="D980" s="13"/>
      <c r="E980" s="13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3"/>
      <c r="B981" s="13"/>
      <c r="C981" s="13"/>
      <c r="D981" s="13"/>
      <c r="E981" s="13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3"/>
      <c r="B982" s="13"/>
      <c r="C982" s="13"/>
      <c r="D982" s="13"/>
      <c r="E982" s="13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3"/>
      <c r="B983" s="13"/>
      <c r="C983" s="13"/>
      <c r="D983" s="13"/>
      <c r="E983" s="13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3"/>
      <c r="B984" s="13"/>
      <c r="C984" s="13"/>
      <c r="D984" s="13"/>
      <c r="E984" s="13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3"/>
      <c r="B985" s="13"/>
      <c r="C985" s="13"/>
      <c r="D985" s="13"/>
      <c r="E985" s="13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3"/>
      <c r="B986" s="13"/>
      <c r="C986" s="13"/>
      <c r="D986" s="13"/>
      <c r="E986" s="13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3"/>
      <c r="B987" s="13"/>
      <c r="C987" s="13"/>
      <c r="D987" s="13"/>
      <c r="E987" s="13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3"/>
      <c r="B988" s="13"/>
      <c r="C988" s="13"/>
      <c r="D988" s="13"/>
      <c r="E988" s="13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3"/>
      <c r="B989" s="13"/>
      <c r="C989" s="13"/>
      <c r="D989" s="13"/>
      <c r="E989" s="13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3"/>
      <c r="B990" s="13"/>
      <c r="C990" s="13"/>
      <c r="D990" s="13"/>
      <c r="E990" s="13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3"/>
      <c r="B991" s="13"/>
      <c r="C991" s="13"/>
      <c r="D991" s="13"/>
      <c r="E991" s="13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3"/>
      <c r="B992" s="13"/>
      <c r="C992" s="13"/>
      <c r="D992" s="13"/>
      <c r="E992" s="13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3"/>
      <c r="B993" s="13"/>
      <c r="C993" s="13"/>
      <c r="D993" s="13"/>
      <c r="E993" s="13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3"/>
      <c r="B994" s="13"/>
      <c r="C994" s="13"/>
      <c r="D994" s="13"/>
      <c r="E994" s="13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3"/>
      <c r="B995" s="13"/>
      <c r="C995" s="13"/>
      <c r="D995" s="13"/>
      <c r="E995" s="13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3"/>
      <c r="B996" s="13"/>
      <c r="C996" s="13"/>
      <c r="D996" s="13"/>
      <c r="E996" s="13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3"/>
      <c r="B997" s="13"/>
      <c r="C997" s="13"/>
      <c r="D997" s="13"/>
      <c r="E997" s="13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3"/>
      <c r="B998" s="13"/>
      <c r="C998" s="13"/>
      <c r="D998" s="13"/>
      <c r="E998" s="13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3"/>
      <c r="B999" s="13"/>
      <c r="C999" s="13"/>
      <c r="D999" s="13"/>
      <c r="E999" s="13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3"/>
      <c r="B1000" s="13"/>
      <c r="C1000" s="13"/>
      <c r="D1000" s="13"/>
      <c r="E1000" s="13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108.0"/>
    <col customWidth="1" min="3" max="3" width="3.0"/>
    <col customWidth="1" min="4" max="26" width="8.71"/>
  </cols>
  <sheetData>
    <row r="1" ht="33.75" customHeight="1">
      <c r="A1" s="14" t="s">
        <v>453</v>
      </c>
      <c r="B1" s="15"/>
      <c r="C1" s="16"/>
    </row>
    <row r="2" ht="18.0" customHeight="1">
      <c r="A2" s="17" t="s">
        <v>454</v>
      </c>
      <c r="B2" s="15"/>
      <c r="C2" s="16"/>
    </row>
    <row r="3">
      <c r="A3" s="13"/>
      <c r="B3" s="13"/>
      <c r="C3" s="13"/>
    </row>
    <row r="4" ht="30.0" customHeight="1">
      <c r="A4" s="13"/>
      <c r="B4" s="18" t="s">
        <v>455</v>
      </c>
      <c r="C4" s="13"/>
    </row>
    <row r="5">
      <c r="A5" s="13"/>
      <c r="B5" s="13"/>
      <c r="C5" s="13"/>
    </row>
    <row r="6" ht="24.0" customHeight="1">
      <c r="A6" s="13"/>
      <c r="B6" s="19" t="s">
        <v>456</v>
      </c>
      <c r="C6" s="13"/>
    </row>
    <row r="7" ht="18.0" customHeight="1">
      <c r="A7" s="13"/>
      <c r="B7" s="20" t="s">
        <v>457</v>
      </c>
      <c r="C7" s="13"/>
    </row>
    <row r="8" ht="18.0" customHeight="1">
      <c r="A8" s="13"/>
      <c r="B8" s="20" t="s">
        <v>458</v>
      </c>
      <c r="C8" s="13"/>
    </row>
    <row r="9" ht="18.0" customHeight="1">
      <c r="A9" s="13"/>
      <c r="B9" s="20" t="s">
        <v>459</v>
      </c>
      <c r="C9" s="13"/>
    </row>
    <row r="10" ht="18.0" customHeight="1">
      <c r="A10" s="13"/>
      <c r="B10" s="20" t="s">
        <v>460</v>
      </c>
      <c r="C10" s="13"/>
    </row>
    <row r="11" ht="30.0" customHeight="1">
      <c r="A11" s="13"/>
      <c r="B11" s="20" t="s">
        <v>461</v>
      </c>
      <c r="C11" s="13"/>
    </row>
    <row r="12" ht="18.0" customHeight="1">
      <c r="A12" s="13"/>
      <c r="B12" s="20" t="s">
        <v>462</v>
      </c>
      <c r="C12" s="13"/>
    </row>
    <row r="13">
      <c r="A13" s="13"/>
      <c r="B13" s="13"/>
      <c r="C13" s="13"/>
    </row>
    <row r="14" ht="24.0" customHeight="1">
      <c r="A14" s="13"/>
      <c r="B14" s="21" t="s">
        <v>463</v>
      </c>
      <c r="C14" s="13"/>
    </row>
    <row r="15" ht="30.0" customHeight="1">
      <c r="A15" s="13"/>
      <c r="B15" s="22" t="s">
        <v>464</v>
      </c>
      <c r="C15" s="13"/>
    </row>
    <row r="16" ht="30.0" customHeight="1">
      <c r="A16" s="13"/>
      <c r="B16" s="22" t="s">
        <v>465</v>
      </c>
      <c r="C16" s="13"/>
    </row>
    <row r="17" ht="30.0" customHeight="1">
      <c r="A17" s="13"/>
      <c r="B17" s="22" t="s">
        <v>466</v>
      </c>
      <c r="C17" s="13"/>
    </row>
    <row r="18" ht="30.0" customHeight="1">
      <c r="A18" s="13"/>
      <c r="B18" s="22" t="s">
        <v>467</v>
      </c>
      <c r="C18" s="13"/>
    </row>
    <row r="19" ht="30.0" customHeight="1">
      <c r="A19" s="13"/>
      <c r="B19" s="22" t="s">
        <v>468</v>
      </c>
      <c r="C19" s="13"/>
    </row>
    <row r="20" ht="30.0" customHeight="1">
      <c r="A20" s="13"/>
      <c r="B20" s="22" t="s">
        <v>469</v>
      </c>
      <c r="C20" s="13"/>
    </row>
    <row r="21" ht="15.75" customHeight="1">
      <c r="A21" s="13"/>
      <c r="B21" s="13"/>
      <c r="C21" s="13"/>
    </row>
    <row r="22" ht="24.0" customHeight="1">
      <c r="A22" s="13"/>
      <c r="B22" s="23" t="s">
        <v>470</v>
      </c>
      <c r="C22" s="13"/>
    </row>
    <row r="23" ht="18.0" customHeight="1">
      <c r="A23" s="13"/>
      <c r="B23" s="20" t="s">
        <v>471</v>
      </c>
      <c r="C23" s="13"/>
    </row>
    <row r="24" ht="30.0" customHeight="1">
      <c r="A24" s="13"/>
      <c r="B24" s="20" t="s">
        <v>472</v>
      </c>
      <c r="C24" s="13"/>
    </row>
    <row r="25" ht="18.0" customHeight="1">
      <c r="A25" s="13"/>
      <c r="B25" s="20" t="s">
        <v>473</v>
      </c>
      <c r="C25" s="13"/>
    </row>
    <row r="26" ht="30.0" customHeight="1">
      <c r="A26" s="13"/>
      <c r="B26" s="20" t="s">
        <v>474</v>
      </c>
      <c r="C26" s="13"/>
    </row>
    <row r="27" ht="30.0" customHeight="1">
      <c r="A27" s="13"/>
      <c r="B27" s="20" t="s">
        <v>475</v>
      </c>
      <c r="C27" s="13"/>
    </row>
    <row r="28" ht="15.75" customHeight="1">
      <c r="A28" s="13"/>
      <c r="B28" s="13"/>
      <c r="C28" s="13"/>
    </row>
    <row r="29" ht="24.0" customHeight="1">
      <c r="A29" s="13"/>
      <c r="B29" s="21" t="s">
        <v>476</v>
      </c>
      <c r="C29" s="13"/>
    </row>
    <row r="30" ht="30.0" customHeight="1">
      <c r="A30" s="13"/>
      <c r="B30" s="20" t="s">
        <v>477</v>
      </c>
      <c r="C30" s="13"/>
    </row>
    <row r="31" ht="30.0" customHeight="1">
      <c r="A31" s="13"/>
      <c r="B31" s="24" t="s">
        <v>478</v>
      </c>
      <c r="C31" s="13"/>
    </row>
    <row r="32" ht="15.75" customHeight="1">
      <c r="A32" s="13"/>
      <c r="B32" s="13"/>
      <c r="C32" s="13"/>
    </row>
    <row r="33" ht="24.0" customHeight="1">
      <c r="A33" s="13"/>
      <c r="B33" s="21" t="s">
        <v>479</v>
      </c>
      <c r="C33" s="13"/>
    </row>
    <row r="34" ht="30.0" customHeight="1">
      <c r="A34" s="13"/>
      <c r="B34" s="22" t="s">
        <v>480</v>
      </c>
      <c r="C34" s="13"/>
    </row>
    <row r="35" ht="30.0" customHeight="1">
      <c r="A35" s="13"/>
      <c r="B35" s="22" t="s">
        <v>481</v>
      </c>
      <c r="C35" s="13"/>
    </row>
    <row r="36" ht="15.75" customHeight="1">
      <c r="A36" s="13"/>
      <c r="B36" s="13"/>
      <c r="C36" s="13"/>
    </row>
    <row r="37" ht="24.0" customHeight="1">
      <c r="A37" s="13"/>
      <c r="B37" s="21" t="s">
        <v>482</v>
      </c>
      <c r="C37" s="13"/>
    </row>
    <row r="38" ht="45.0" customHeight="1">
      <c r="A38" s="13"/>
      <c r="B38" s="20" t="s">
        <v>483</v>
      </c>
      <c r="C38" s="13"/>
    </row>
    <row r="39" ht="15.75" customHeight="1">
      <c r="A39" s="13"/>
      <c r="B39" s="13"/>
      <c r="C39" s="13"/>
    </row>
    <row r="40" ht="24.0" customHeight="1">
      <c r="A40" s="13"/>
      <c r="B40" s="25" t="s">
        <v>484</v>
      </c>
      <c r="C40" s="13"/>
    </row>
    <row r="41" ht="30.0" customHeight="1">
      <c r="A41" s="13"/>
      <c r="B41" s="20" t="s">
        <v>485</v>
      </c>
      <c r="C41" s="13"/>
    </row>
    <row r="42" ht="18.0" customHeight="1">
      <c r="A42" s="13"/>
      <c r="B42" s="20" t="s">
        <v>486</v>
      </c>
      <c r="C42" s="13"/>
    </row>
    <row r="43" ht="18.0" customHeight="1">
      <c r="A43" s="13"/>
      <c r="B43" s="20" t="s">
        <v>487</v>
      </c>
      <c r="C43" s="13"/>
    </row>
    <row r="44" ht="15.75" customHeight="1">
      <c r="A44" s="13"/>
      <c r="B44" s="13"/>
      <c r="C44" s="13"/>
    </row>
    <row r="45" ht="15.75" customHeight="1">
      <c r="A45" s="13"/>
      <c r="B45" s="13"/>
      <c r="C45" s="13"/>
    </row>
    <row r="46" ht="15.75" customHeight="1">
      <c r="A46" s="13"/>
      <c r="B46" s="13"/>
      <c r="C46" s="13"/>
    </row>
    <row r="47" ht="15.75" customHeight="1">
      <c r="A47" s="13"/>
      <c r="B47" s="13"/>
      <c r="C47" s="13"/>
    </row>
    <row r="48" ht="15.75" customHeight="1">
      <c r="A48" s="13"/>
      <c r="B48" s="13"/>
      <c r="C48" s="13"/>
    </row>
    <row r="49" ht="15.75" customHeight="1">
      <c r="A49" s="13"/>
      <c r="B49" s="13"/>
      <c r="C49" s="13"/>
    </row>
    <row r="50" ht="15.75" customHeight="1">
      <c r="A50" s="13"/>
      <c r="B50" s="13"/>
      <c r="C50" s="13"/>
    </row>
    <row r="51" ht="15.75" customHeight="1">
      <c r="A51" s="13"/>
      <c r="B51" s="13"/>
      <c r="C51" s="13"/>
    </row>
    <row r="52" ht="15.75" customHeight="1">
      <c r="A52" s="13"/>
      <c r="B52" s="13"/>
      <c r="C52" s="13"/>
    </row>
    <row r="53" ht="15.75" customHeight="1">
      <c r="A53" s="13"/>
      <c r="B53" s="13"/>
      <c r="C53" s="13"/>
    </row>
    <row r="54" ht="15.75" customHeight="1">
      <c r="A54" s="13"/>
      <c r="B54" s="13"/>
      <c r="C54" s="13"/>
    </row>
    <row r="55" ht="15.75" customHeight="1">
      <c r="A55" s="13"/>
      <c r="B55" s="13"/>
      <c r="C55" s="13"/>
    </row>
    <row r="56" ht="15.75" customHeight="1">
      <c r="A56" s="13"/>
      <c r="B56" s="13"/>
      <c r="C56" s="13"/>
    </row>
    <row r="57" ht="15.75" customHeight="1">
      <c r="A57" s="13"/>
      <c r="B57" s="13"/>
      <c r="C57" s="13"/>
    </row>
    <row r="58" ht="15.75" customHeight="1">
      <c r="A58" s="13"/>
      <c r="B58" s="13"/>
      <c r="C58" s="13"/>
    </row>
    <row r="59" ht="15.75" customHeight="1">
      <c r="A59" s="13"/>
      <c r="B59" s="13"/>
      <c r="C59" s="13"/>
    </row>
    <row r="60" ht="15.75" customHeight="1">
      <c r="A60" s="13"/>
      <c r="B60" s="13"/>
      <c r="C60" s="13"/>
    </row>
    <row r="61" ht="15.75" customHeight="1">
      <c r="A61" s="13"/>
      <c r="B61" s="13"/>
      <c r="C61" s="13"/>
    </row>
    <row r="62" ht="15.75" customHeight="1">
      <c r="A62" s="13"/>
      <c r="B62" s="13"/>
      <c r="C62" s="13"/>
    </row>
    <row r="63" ht="15.75" customHeight="1">
      <c r="A63" s="13"/>
      <c r="B63" s="13"/>
      <c r="C63" s="13"/>
    </row>
    <row r="64" ht="15.75" customHeight="1">
      <c r="A64" s="13"/>
      <c r="B64" s="13"/>
      <c r="C64" s="13"/>
    </row>
    <row r="65" ht="15.75" customHeight="1">
      <c r="A65" s="13"/>
      <c r="B65" s="13"/>
      <c r="C65" s="13"/>
    </row>
    <row r="66" ht="15.75" customHeight="1">
      <c r="A66" s="13"/>
      <c r="B66" s="13"/>
      <c r="C66" s="13"/>
    </row>
    <row r="67" ht="15.75" customHeight="1">
      <c r="A67" s="13"/>
      <c r="B67" s="13"/>
      <c r="C67" s="13"/>
    </row>
    <row r="68" ht="15.75" customHeight="1">
      <c r="A68" s="13"/>
      <c r="B68" s="13"/>
      <c r="C68" s="13"/>
    </row>
    <row r="69" ht="15.75" customHeight="1">
      <c r="A69" s="13"/>
      <c r="B69" s="13"/>
      <c r="C69" s="13"/>
    </row>
    <row r="70" ht="15.75" customHeight="1">
      <c r="A70" s="13"/>
      <c r="B70" s="13"/>
      <c r="C70" s="13"/>
    </row>
    <row r="71" ht="15.75" customHeight="1">
      <c r="A71" s="13"/>
      <c r="B71" s="13"/>
      <c r="C71" s="13"/>
    </row>
    <row r="72" ht="15.75" customHeight="1">
      <c r="A72" s="13"/>
      <c r="B72" s="13"/>
      <c r="C72" s="13"/>
    </row>
    <row r="73" ht="15.75" customHeight="1">
      <c r="A73" s="13"/>
      <c r="B73" s="13"/>
      <c r="C73" s="13"/>
    </row>
    <row r="74" ht="15.75" customHeight="1">
      <c r="A74" s="13"/>
      <c r="B74" s="13"/>
      <c r="C74" s="13"/>
    </row>
    <row r="75" ht="15.75" customHeight="1">
      <c r="A75" s="13"/>
      <c r="B75" s="13"/>
      <c r="C75" s="13"/>
    </row>
    <row r="76" ht="15.75" customHeight="1">
      <c r="A76" s="13"/>
      <c r="B76" s="13"/>
      <c r="C76" s="13"/>
    </row>
    <row r="77" ht="15.75" customHeight="1">
      <c r="A77" s="13"/>
      <c r="B77" s="13"/>
      <c r="C77" s="13"/>
    </row>
    <row r="78" ht="15.75" customHeight="1">
      <c r="A78" s="13"/>
      <c r="B78" s="13"/>
      <c r="C78" s="13"/>
    </row>
    <row r="79" ht="15.75" customHeight="1">
      <c r="A79" s="13"/>
      <c r="B79" s="13"/>
      <c r="C79" s="13"/>
    </row>
    <row r="80" ht="15.75" customHeight="1">
      <c r="A80" s="13"/>
      <c r="B80" s="13"/>
      <c r="C80" s="13"/>
    </row>
    <row r="81" ht="15.75" customHeight="1">
      <c r="A81" s="13"/>
      <c r="B81" s="13"/>
      <c r="C81" s="13"/>
    </row>
    <row r="82" ht="15.75" customHeight="1">
      <c r="A82" s="13"/>
      <c r="B82" s="13"/>
      <c r="C82" s="13"/>
    </row>
    <row r="83" ht="15.75" customHeight="1">
      <c r="A83" s="13"/>
      <c r="B83" s="13"/>
      <c r="C83" s="13"/>
    </row>
    <row r="84" ht="15.75" customHeight="1">
      <c r="A84" s="13"/>
      <c r="B84" s="13"/>
      <c r="C84" s="13"/>
    </row>
    <row r="85" ht="15.75" customHeight="1">
      <c r="A85" s="13"/>
      <c r="B85" s="13"/>
      <c r="C85" s="13"/>
    </row>
    <row r="86" ht="15.75" customHeight="1">
      <c r="A86" s="13"/>
      <c r="B86" s="13"/>
      <c r="C86" s="13"/>
    </row>
    <row r="87" ht="15.75" customHeight="1">
      <c r="A87" s="13"/>
      <c r="B87" s="13"/>
      <c r="C87" s="13"/>
    </row>
    <row r="88" ht="15.75" customHeight="1">
      <c r="A88" s="13"/>
      <c r="B88" s="13"/>
      <c r="C88" s="13"/>
    </row>
    <row r="89" ht="15.75" customHeight="1">
      <c r="A89" s="13"/>
      <c r="B89" s="13"/>
      <c r="C89" s="13"/>
    </row>
    <row r="90" ht="15.75" customHeight="1">
      <c r="A90" s="13"/>
      <c r="B90" s="13"/>
      <c r="C90" s="13"/>
    </row>
    <row r="91" ht="15.75" customHeight="1">
      <c r="A91" s="13"/>
      <c r="B91" s="13"/>
      <c r="C91" s="13"/>
    </row>
    <row r="92" ht="15.75" customHeight="1">
      <c r="A92" s="13"/>
      <c r="B92" s="13"/>
      <c r="C92" s="13"/>
    </row>
    <row r="93" ht="15.75" customHeight="1">
      <c r="A93" s="13"/>
      <c r="B93" s="13"/>
      <c r="C93" s="13"/>
    </row>
    <row r="94" ht="15.75" customHeight="1">
      <c r="A94" s="13"/>
      <c r="B94" s="13"/>
      <c r="C94" s="13"/>
    </row>
    <row r="95" ht="15.75" customHeight="1">
      <c r="A95" s="13"/>
      <c r="B95" s="13"/>
      <c r="C95" s="13"/>
    </row>
    <row r="96" ht="15.75" customHeight="1">
      <c r="A96" s="13"/>
      <c r="B96" s="13"/>
      <c r="C96" s="13"/>
    </row>
    <row r="97" ht="15.75" customHeight="1">
      <c r="A97" s="13"/>
      <c r="B97" s="13"/>
      <c r="C97" s="13"/>
    </row>
    <row r="98" ht="15.75" customHeight="1">
      <c r="A98" s="13"/>
      <c r="B98" s="13"/>
      <c r="C98" s="13"/>
    </row>
    <row r="99" ht="15.75" customHeight="1">
      <c r="A99" s="13"/>
      <c r="B99" s="13"/>
      <c r="C99" s="13"/>
    </row>
    <row r="100" ht="15.75" customHeight="1">
      <c r="A100" s="13"/>
      <c r="B100" s="13"/>
      <c r="C100" s="13"/>
    </row>
    <row r="101" ht="15.75" customHeight="1">
      <c r="A101" s="13"/>
      <c r="B101" s="13"/>
      <c r="C101" s="13"/>
    </row>
    <row r="102" ht="15.75" customHeight="1">
      <c r="A102" s="13"/>
      <c r="B102" s="13"/>
      <c r="C102" s="13"/>
    </row>
    <row r="103" ht="15.75" customHeight="1">
      <c r="A103" s="13"/>
      <c r="B103" s="13"/>
      <c r="C103" s="13"/>
    </row>
    <row r="104" ht="15.75" customHeight="1">
      <c r="A104" s="13"/>
      <c r="B104" s="13"/>
      <c r="C104" s="13"/>
    </row>
    <row r="105" ht="15.75" customHeight="1">
      <c r="A105" s="13"/>
      <c r="B105" s="13"/>
      <c r="C105" s="13"/>
    </row>
    <row r="106" ht="15.75" customHeight="1">
      <c r="A106" s="13"/>
      <c r="B106" s="13"/>
      <c r="C106" s="13"/>
    </row>
    <row r="107" ht="15.75" customHeight="1">
      <c r="A107" s="13"/>
      <c r="B107" s="13"/>
      <c r="C107" s="13"/>
    </row>
    <row r="108" ht="15.75" customHeight="1">
      <c r="A108" s="13"/>
      <c r="B108" s="13"/>
      <c r="C108" s="13"/>
    </row>
    <row r="109" ht="15.75" customHeight="1">
      <c r="A109" s="13"/>
      <c r="B109" s="13"/>
      <c r="C109" s="13"/>
    </row>
    <row r="110" ht="15.75" customHeight="1">
      <c r="A110" s="13"/>
      <c r="B110" s="13"/>
      <c r="C110" s="13"/>
    </row>
    <row r="111" ht="15.75" customHeight="1">
      <c r="A111" s="13"/>
      <c r="B111" s="13"/>
      <c r="C111" s="13"/>
    </row>
    <row r="112" ht="15.75" customHeight="1">
      <c r="A112" s="13"/>
      <c r="B112" s="13"/>
      <c r="C112" s="13"/>
    </row>
    <row r="113" ht="15.75" customHeight="1">
      <c r="A113" s="13"/>
      <c r="B113" s="13"/>
      <c r="C113" s="13"/>
    </row>
    <row r="114" ht="15.75" customHeight="1">
      <c r="A114" s="13"/>
      <c r="B114" s="13"/>
      <c r="C114" s="13"/>
    </row>
    <row r="115" ht="15.75" customHeight="1">
      <c r="A115" s="13"/>
      <c r="B115" s="13"/>
      <c r="C115" s="13"/>
    </row>
    <row r="116" ht="15.75" customHeight="1">
      <c r="A116" s="13"/>
      <c r="B116" s="13"/>
      <c r="C116" s="13"/>
    </row>
    <row r="117" ht="15.75" customHeight="1">
      <c r="A117" s="13"/>
      <c r="B117" s="13"/>
      <c r="C117" s="13"/>
    </row>
    <row r="118" ht="15.75" customHeight="1">
      <c r="A118" s="13"/>
      <c r="B118" s="13"/>
      <c r="C118" s="13"/>
    </row>
    <row r="119" ht="15.75" customHeight="1">
      <c r="A119" s="13"/>
      <c r="B119" s="13"/>
      <c r="C119" s="13"/>
    </row>
    <row r="120" ht="15.75" customHeight="1">
      <c r="A120" s="13"/>
      <c r="B120" s="13"/>
      <c r="C120" s="13"/>
    </row>
    <row r="121" ht="15.75" customHeight="1">
      <c r="A121" s="13"/>
      <c r="B121" s="13"/>
      <c r="C121" s="13"/>
    </row>
    <row r="122" ht="15.75" customHeight="1">
      <c r="A122" s="13"/>
      <c r="B122" s="13"/>
      <c r="C122" s="13"/>
    </row>
    <row r="123" ht="15.75" customHeight="1">
      <c r="A123" s="13"/>
      <c r="B123" s="13"/>
      <c r="C123" s="13"/>
    </row>
    <row r="124" ht="15.75" customHeight="1">
      <c r="A124" s="13"/>
      <c r="B124" s="13"/>
      <c r="C124" s="13"/>
    </row>
    <row r="125" ht="15.75" customHeight="1">
      <c r="A125" s="13"/>
      <c r="B125" s="13"/>
      <c r="C125" s="13"/>
    </row>
    <row r="126" ht="15.75" customHeight="1">
      <c r="A126" s="13"/>
      <c r="B126" s="13"/>
      <c r="C126" s="13"/>
    </row>
    <row r="127" ht="15.75" customHeight="1">
      <c r="A127" s="13"/>
      <c r="B127" s="13"/>
      <c r="C127" s="13"/>
    </row>
    <row r="128" ht="15.75" customHeight="1">
      <c r="A128" s="13"/>
      <c r="B128" s="13"/>
      <c r="C128" s="13"/>
    </row>
    <row r="129" ht="15.75" customHeight="1">
      <c r="A129" s="13"/>
      <c r="B129" s="13"/>
      <c r="C129" s="13"/>
    </row>
    <row r="130" ht="15.75" customHeight="1">
      <c r="A130" s="13"/>
      <c r="B130" s="13"/>
      <c r="C130" s="13"/>
    </row>
    <row r="131" ht="15.75" customHeight="1">
      <c r="A131" s="13"/>
      <c r="B131" s="13"/>
      <c r="C131" s="13"/>
    </row>
    <row r="132" ht="15.75" customHeight="1">
      <c r="A132" s="13"/>
      <c r="B132" s="13"/>
      <c r="C132" s="13"/>
    </row>
    <row r="133" ht="15.75" customHeight="1">
      <c r="A133" s="13"/>
      <c r="B133" s="13"/>
      <c r="C133" s="13"/>
    </row>
    <row r="134" ht="15.75" customHeight="1">
      <c r="A134" s="13"/>
      <c r="B134" s="13"/>
      <c r="C134" s="13"/>
    </row>
    <row r="135" ht="15.75" customHeight="1">
      <c r="A135" s="13"/>
      <c r="B135" s="13"/>
      <c r="C135" s="13"/>
    </row>
    <row r="136" ht="15.75" customHeight="1">
      <c r="A136" s="13"/>
      <c r="B136" s="13"/>
      <c r="C136" s="13"/>
    </row>
    <row r="137" ht="15.75" customHeight="1">
      <c r="A137" s="13"/>
      <c r="B137" s="13"/>
      <c r="C137" s="13"/>
    </row>
    <row r="138" ht="15.75" customHeight="1">
      <c r="A138" s="13"/>
      <c r="B138" s="13"/>
      <c r="C138" s="13"/>
    </row>
    <row r="139" ht="15.75" customHeight="1">
      <c r="A139" s="13"/>
      <c r="B139" s="13"/>
      <c r="C139" s="13"/>
    </row>
    <row r="140" ht="15.75" customHeight="1">
      <c r="A140" s="13"/>
      <c r="B140" s="13"/>
      <c r="C140" s="13"/>
    </row>
    <row r="141" ht="15.75" customHeight="1">
      <c r="A141" s="13"/>
      <c r="B141" s="13"/>
      <c r="C141" s="13"/>
    </row>
    <row r="142" ht="15.75" customHeight="1">
      <c r="A142" s="13"/>
      <c r="B142" s="13"/>
      <c r="C142" s="13"/>
    </row>
    <row r="143" ht="15.75" customHeight="1">
      <c r="A143" s="13"/>
      <c r="B143" s="13"/>
      <c r="C143" s="13"/>
    </row>
    <row r="144" ht="15.75" customHeight="1">
      <c r="A144" s="13"/>
      <c r="B144" s="13"/>
      <c r="C144" s="13"/>
    </row>
    <row r="145" ht="15.75" customHeight="1">
      <c r="A145" s="13"/>
      <c r="B145" s="13"/>
      <c r="C145" s="13"/>
    </row>
    <row r="146" ht="15.75" customHeight="1">
      <c r="A146" s="13"/>
      <c r="B146" s="13"/>
      <c r="C146" s="13"/>
    </row>
    <row r="147" ht="15.75" customHeight="1">
      <c r="A147" s="13"/>
      <c r="B147" s="13"/>
      <c r="C147" s="13"/>
    </row>
    <row r="148" ht="15.75" customHeight="1">
      <c r="A148" s="13"/>
      <c r="B148" s="13"/>
      <c r="C148" s="13"/>
    </row>
    <row r="149" ht="15.75" customHeight="1">
      <c r="A149" s="13"/>
      <c r="B149" s="13"/>
      <c r="C149" s="13"/>
    </row>
    <row r="150" ht="15.75" customHeight="1">
      <c r="A150" s="13"/>
      <c r="B150" s="13"/>
      <c r="C150" s="13"/>
    </row>
    <row r="151" ht="15.75" customHeight="1">
      <c r="A151" s="13"/>
      <c r="B151" s="13"/>
      <c r="C151" s="13"/>
    </row>
    <row r="152" ht="15.75" customHeight="1">
      <c r="A152" s="13"/>
      <c r="B152" s="13"/>
      <c r="C152" s="13"/>
    </row>
    <row r="153" ht="15.75" customHeight="1">
      <c r="A153" s="13"/>
      <c r="B153" s="13"/>
      <c r="C153" s="13"/>
    </row>
    <row r="154" ht="15.75" customHeight="1">
      <c r="A154" s="13"/>
      <c r="B154" s="13"/>
      <c r="C154" s="13"/>
    </row>
    <row r="155" ht="15.75" customHeight="1">
      <c r="A155" s="13"/>
      <c r="B155" s="13"/>
      <c r="C155" s="13"/>
    </row>
    <row r="156" ht="15.75" customHeight="1">
      <c r="A156" s="13"/>
      <c r="B156" s="13"/>
      <c r="C156" s="13"/>
    </row>
    <row r="157" ht="15.75" customHeight="1">
      <c r="A157" s="13"/>
      <c r="B157" s="13"/>
      <c r="C157" s="13"/>
    </row>
    <row r="158" ht="15.75" customHeight="1">
      <c r="A158" s="13"/>
      <c r="B158" s="13"/>
      <c r="C158" s="13"/>
    </row>
    <row r="159" ht="15.75" customHeight="1">
      <c r="A159" s="13"/>
      <c r="B159" s="13"/>
      <c r="C159" s="13"/>
    </row>
    <row r="160" ht="15.75" customHeight="1">
      <c r="A160" s="13"/>
      <c r="B160" s="13"/>
      <c r="C160" s="13"/>
    </row>
    <row r="161" ht="15.75" customHeight="1">
      <c r="A161" s="13"/>
      <c r="B161" s="13"/>
      <c r="C161" s="13"/>
    </row>
    <row r="162" ht="15.75" customHeight="1">
      <c r="A162" s="13"/>
      <c r="B162" s="13"/>
      <c r="C162" s="13"/>
    </row>
    <row r="163" ht="15.75" customHeight="1">
      <c r="A163" s="13"/>
      <c r="B163" s="13"/>
      <c r="C163" s="13"/>
    </row>
    <row r="164" ht="15.75" customHeight="1">
      <c r="A164" s="13"/>
      <c r="B164" s="13"/>
      <c r="C164" s="13"/>
    </row>
    <row r="165" ht="15.75" customHeight="1">
      <c r="A165" s="13"/>
      <c r="B165" s="13"/>
      <c r="C165" s="13"/>
    </row>
    <row r="166" ht="15.75" customHeight="1">
      <c r="A166" s="13"/>
      <c r="B166" s="13"/>
      <c r="C166" s="13"/>
    </row>
    <row r="167" ht="15.75" customHeight="1">
      <c r="A167" s="13"/>
      <c r="B167" s="13"/>
      <c r="C167" s="13"/>
    </row>
    <row r="168" ht="15.75" customHeight="1">
      <c r="A168" s="13"/>
      <c r="B168" s="13"/>
      <c r="C168" s="13"/>
    </row>
    <row r="169" ht="15.75" customHeight="1">
      <c r="A169" s="13"/>
      <c r="B169" s="13"/>
      <c r="C169" s="13"/>
    </row>
    <row r="170" ht="15.75" customHeight="1">
      <c r="A170" s="13"/>
      <c r="B170" s="13"/>
      <c r="C170" s="13"/>
    </row>
    <row r="171" ht="15.75" customHeight="1">
      <c r="A171" s="13"/>
      <c r="B171" s="13"/>
      <c r="C171" s="13"/>
    </row>
    <row r="172" ht="15.75" customHeight="1">
      <c r="A172" s="13"/>
      <c r="B172" s="13"/>
      <c r="C172" s="13"/>
    </row>
    <row r="173" ht="15.75" customHeight="1">
      <c r="A173" s="13"/>
      <c r="B173" s="13"/>
      <c r="C173" s="13"/>
    </row>
    <row r="174" ht="15.75" customHeight="1">
      <c r="A174" s="13"/>
      <c r="B174" s="13"/>
      <c r="C174" s="13"/>
    </row>
    <row r="175" ht="15.75" customHeight="1">
      <c r="A175" s="13"/>
      <c r="B175" s="13"/>
      <c r="C175" s="13"/>
    </row>
    <row r="176" ht="15.75" customHeight="1">
      <c r="A176" s="13"/>
      <c r="B176" s="13"/>
      <c r="C176" s="13"/>
    </row>
    <row r="177" ht="15.75" customHeight="1">
      <c r="A177" s="13"/>
      <c r="B177" s="13"/>
      <c r="C177" s="13"/>
    </row>
    <row r="178" ht="15.75" customHeight="1">
      <c r="A178" s="13"/>
      <c r="B178" s="13"/>
      <c r="C178" s="13"/>
    </row>
    <row r="179" ht="15.75" customHeight="1">
      <c r="A179" s="13"/>
      <c r="B179" s="13"/>
      <c r="C179" s="13"/>
    </row>
    <row r="180" ht="15.75" customHeight="1">
      <c r="A180" s="13"/>
      <c r="B180" s="13"/>
      <c r="C180" s="13"/>
    </row>
    <row r="181" ht="15.75" customHeight="1">
      <c r="A181" s="13"/>
      <c r="B181" s="13"/>
      <c r="C181" s="13"/>
    </row>
    <row r="182" ht="15.75" customHeight="1">
      <c r="A182" s="13"/>
      <c r="B182" s="13"/>
      <c r="C182" s="13"/>
    </row>
    <row r="183" ht="15.75" customHeight="1">
      <c r="A183" s="13"/>
      <c r="B183" s="13"/>
      <c r="C183" s="13"/>
    </row>
    <row r="184" ht="15.75" customHeight="1">
      <c r="A184" s="13"/>
      <c r="B184" s="13"/>
      <c r="C184" s="13"/>
    </row>
    <row r="185" ht="15.75" customHeight="1">
      <c r="A185" s="13"/>
      <c r="B185" s="13"/>
      <c r="C185" s="13"/>
    </row>
    <row r="186" ht="15.75" customHeight="1">
      <c r="A186" s="13"/>
      <c r="B186" s="13"/>
      <c r="C186" s="13"/>
    </row>
    <row r="187" ht="15.75" customHeight="1">
      <c r="A187" s="13"/>
      <c r="B187" s="13"/>
      <c r="C187" s="13"/>
    </row>
    <row r="188" ht="15.75" customHeight="1">
      <c r="A188" s="13"/>
      <c r="B188" s="13"/>
      <c r="C188" s="13"/>
    </row>
    <row r="189" ht="15.75" customHeight="1">
      <c r="A189" s="13"/>
      <c r="B189" s="13"/>
      <c r="C189" s="13"/>
    </row>
    <row r="190" ht="15.75" customHeight="1">
      <c r="A190" s="13"/>
      <c r="B190" s="13"/>
      <c r="C190" s="13"/>
    </row>
    <row r="191" ht="15.75" customHeight="1">
      <c r="A191" s="13"/>
      <c r="B191" s="13"/>
      <c r="C191" s="13"/>
    </row>
    <row r="192" ht="15.75" customHeight="1">
      <c r="A192" s="13"/>
      <c r="B192" s="13"/>
      <c r="C192" s="13"/>
    </row>
    <row r="193" ht="15.75" customHeight="1">
      <c r="A193" s="13"/>
      <c r="B193" s="13"/>
      <c r="C193" s="13"/>
    </row>
    <row r="194" ht="15.75" customHeight="1">
      <c r="A194" s="13"/>
      <c r="B194" s="13"/>
      <c r="C194" s="13"/>
    </row>
    <row r="195" ht="15.75" customHeight="1">
      <c r="A195" s="13"/>
      <c r="B195" s="13"/>
      <c r="C195" s="13"/>
    </row>
    <row r="196" ht="15.75" customHeight="1">
      <c r="A196" s="13"/>
      <c r="B196" s="13"/>
      <c r="C196" s="13"/>
    </row>
    <row r="197" ht="15.75" customHeight="1">
      <c r="A197" s="13"/>
      <c r="B197" s="13"/>
      <c r="C197" s="13"/>
    </row>
    <row r="198" ht="15.75" customHeight="1">
      <c r="A198" s="13"/>
      <c r="B198" s="13"/>
      <c r="C198" s="13"/>
    </row>
    <row r="199" ht="15.75" customHeight="1">
      <c r="A199" s="13"/>
      <c r="B199" s="13"/>
      <c r="C199" s="13"/>
    </row>
    <row r="200" ht="15.75" customHeight="1">
      <c r="A200" s="13"/>
      <c r="B200" s="13"/>
      <c r="C200" s="13"/>
    </row>
    <row r="201" ht="15.75" customHeight="1">
      <c r="A201" s="13"/>
      <c r="B201" s="13"/>
      <c r="C201" s="13"/>
    </row>
    <row r="202" ht="15.75" customHeight="1">
      <c r="A202" s="13"/>
      <c r="B202" s="13"/>
      <c r="C202" s="13"/>
    </row>
    <row r="203" ht="15.75" customHeight="1">
      <c r="A203" s="13"/>
      <c r="B203" s="13"/>
      <c r="C203" s="13"/>
    </row>
    <row r="204" ht="15.75" customHeight="1">
      <c r="A204" s="13"/>
      <c r="B204" s="13"/>
      <c r="C204" s="13"/>
    </row>
    <row r="205" ht="15.75" customHeight="1">
      <c r="A205" s="13"/>
      <c r="B205" s="13"/>
      <c r="C205" s="13"/>
    </row>
    <row r="206" ht="15.75" customHeight="1">
      <c r="A206" s="13"/>
      <c r="B206" s="13"/>
      <c r="C206" s="13"/>
    </row>
    <row r="207" ht="15.75" customHeight="1">
      <c r="A207" s="13"/>
      <c r="B207" s="13"/>
      <c r="C207" s="13"/>
    </row>
    <row r="208" ht="15.75" customHeight="1">
      <c r="A208" s="13"/>
      <c r="B208" s="13"/>
      <c r="C208" s="13"/>
    </row>
    <row r="209" ht="15.75" customHeight="1">
      <c r="A209" s="13"/>
      <c r="B209" s="13"/>
      <c r="C209" s="13"/>
    </row>
    <row r="210" ht="15.75" customHeight="1">
      <c r="A210" s="13"/>
      <c r="B210" s="13"/>
      <c r="C210" s="13"/>
    </row>
    <row r="211" ht="15.75" customHeight="1">
      <c r="A211" s="13"/>
      <c r="B211" s="13"/>
      <c r="C211" s="13"/>
    </row>
    <row r="212" ht="15.75" customHeight="1">
      <c r="A212" s="13"/>
      <c r="B212" s="13"/>
      <c r="C212" s="13"/>
    </row>
    <row r="213" ht="15.75" customHeight="1">
      <c r="A213" s="13"/>
      <c r="B213" s="13"/>
      <c r="C213" s="13"/>
    </row>
    <row r="214" ht="15.75" customHeight="1">
      <c r="A214" s="13"/>
      <c r="B214" s="13"/>
      <c r="C214" s="13"/>
    </row>
    <row r="215" ht="15.75" customHeight="1">
      <c r="A215" s="13"/>
      <c r="B215" s="13"/>
      <c r="C215" s="13"/>
    </row>
    <row r="216" ht="15.75" customHeight="1">
      <c r="A216" s="13"/>
      <c r="B216" s="13"/>
      <c r="C216" s="13"/>
    </row>
    <row r="217" ht="15.75" customHeight="1">
      <c r="A217" s="13"/>
      <c r="B217" s="13"/>
      <c r="C217" s="13"/>
    </row>
    <row r="218" ht="15.75" customHeight="1">
      <c r="A218" s="13"/>
      <c r="B218" s="13"/>
      <c r="C218" s="13"/>
    </row>
    <row r="219" ht="15.75" customHeight="1">
      <c r="A219" s="13"/>
      <c r="B219" s="13"/>
      <c r="C219" s="13"/>
    </row>
    <row r="220" ht="15.75" customHeight="1">
      <c r="A220" s="13"/>
      <c r="B220" s="13"/>
      <c r="C220" s="13"/>
    </row>
    <row r="221" ht="15.75" customHeight="1">
      <c r="A221" s="13"/>
      <c r="B221" s="13"/>
      <c r="C221" s="13"/>
    </row>
    <row r="222" ht="15.75" customHeight="1">
      <c r="A222" s="13"/>
      <c r="B222" s="13"/>
      <c r="C222" s="13"/>
    </row>
    <row r="223" ht="15.75" customHeight="1">
      <c r="A223" s="13"/>
      <c r="B223" s="13"/>
      <c r="C223" s="13"/>
    </row>
    <row r="224" ht="15.75" customHeight="1">
      <c r="A224" s="13"/>
      <c r="B224" s="13"/>
      <c r="C224" s="13"/>
    </row>
    <row r="225" ht="15.75" customHeight="1">
      <c r="A225" s="13"/>
      <c r="B225" s="13"/>
      <c r="C225" s="13"/>
    </row>
    <row r="226" ht="15.75" customHeight="1">
      <c r="A226" s="13"/>
      <c r="B226" s="13"/>
      <c r="C226" s="13"/>
    </row>
    <row r="227" ht="15.75" customHeight="1">
      <c r="A227" s="13"/>
      <c r="B227" s="13"/>
      <c r="C227" s="13"/>
    </row>
    <row r="228" ht="15.75" customHeight="1">
      <c r="A228" s="13"/>
      <c r="B228" s="13"/>
      <c r="C228" s="13"/>
    </row>
    <row r="229" ht="15.75" customHeight="1">
      <c r="A229" s="13"/>
      <c r="B229" s="13"/>
      <c r="C229" s="13"/>
    </row>
    <row r="230" ht="15.75" customHeight="1">
      <c r="A230" s="13"/>
      <c r="B230" s="13"/>
      <c r="C230" s="13"/>
    </row>
    <row r="231" ht="15.75" customHeight="1">
      <c r="A231" s="13"/>
      <c r="B231" s="13"/>
      <c r="C231" s="13"/>
    </row>
    <row r="232" ht="15.75" customHeight="1">
      <c r="A232" s="13"/>
      <c r="B232" s="13"/>
      <c r="C232" s="13"/>
    </row>
    <row r="233" ht="15.75" customHeight="1">
      <c r="A233" s="13"/>
      <c r="B233" s="13"/>
      <c r="C233" s="13"/>
    </row>
    <row r="234" ht="15.75" customHeight="1">
      <c r="A234" s="13"/>
      <c r="B234" s="13"/>
      <c r="C234" s="13"/>
    </row>
    <row r="235" ht="15.75" customHeight="1">
      <c r="A235" s="13"/>
      <c r="B235" s="13"/>
      <c r="C235" s="13"/>
    </row>
    <row r="236" ht="15.75" customHeight="1">
      <c r="A236" s="13"/>
      <c r="B236" s="13"/>
      <c r="C236" s="13"/>
    </row>
    <row r="237" ht="15.75" customHeight="1">
      <c r="A237" s="13"/>
      <c r="B237" s="13"/>
      <c r="C237" s="13"/>
    </row>
    <row r="238" ht="15.75" customHeight="1">
      <c r="A238" s="13"/>
      <c r="B238" s="13"/>
      <c r="C238" s="13"/>
    </row>
    <row r="239" ht="15.75" customHeight="1">
      <c r="A239" s="13"/>
      <c r="B239" s="13"/>
      <c r="C239" s="13"/>
    </row>
    <row r="240" ht="15.75" customHeight="1">
      <c r="A240" s="13"/>
      <c r="B240" s="13"/>
      <c r="C240" s="13"/>
    </row>
    <row r="241" ht="15.75" customHeight="1">
      <c r="A241" s="13"/>
      <c r="B241" s="13"/>
      <c r="C241" s="13"/>
    </row>
    <row r="242" ht="15.75" customHeight="1">
      <c r="A242" s="13"/>
      <c r="B242" s="13"/>
      <c r="C242" s="13"/>
    </row>
    <row r="243" ht="15.75" customHeight="1">
      <c r="A243" s="13"/>
      <c r="B243" s="13"/>
      <c r="C243" s="13"/>
    </row>
    <row r="244" ht="15.75" customHeight="1">
      <c r="A244" s="13"/>
      <c r="B244" s="13"/>
      <c r="C244" s="13"/>
    </row>
    <row r="245" ht="15.75" customHeight="1">
      <c r="A245" s="13"/>
      <c r="B245" s="13"/>
      <c r="C245" s="13"/>
    </row>
    <row r="246" ht="15.75" customHeight="1">
      <c r="A246" s="13"/>
      <c r="B246" s="13"/>
      <c r="C246" s="13"/>
    </row>
    <row r="247" ht="15.75" customHeight="1">
      <c r="A247" s="13"/>
      <c r="B247" s="13"/>
      <c r="C247" s="13"/>
    </row>
    <row r="248" ht="15.75" customHeight="1">
      <c r="A248" s="13"/>
      <c r="B248" s="13"/>
      <c r="C248" s="13"/>
    </row>
    <row r="249" ht="15.75" customHeight="1">
      <c r="A249" s="13"/>
      <c r="B249" s="13"/>
      <c r="C249" s="13"/>
    </row>
    <row r="250" ht="15.75" customHeight="1">
      <c r="A250" s="13"/>
      <c r="B250" s="13"/>
      <c r="C250" s="13"/>
    </row>
    <row r="251" ht="15.75" customHeight="1">
      <c r="A251" s="13"/>
      <c r="B251" s="13"/>
      <c r="C251" s="13"/>
    </row>
    <row r="252" ht="15.75" customHeight="1">
      <c r="A252" s="13"/>
      <c r="B252" s="13"/>
      <c r="C252" s="13"/>
    </row>
    <row r="253" ht="15.75" customHeight="1">
      <c r="A253" s="13"/>
      <c r="B253" s="13"/>
      <c r="C253" s="13"/>
    </row>
    <row r="254" ht="15.75" customHeight="1">
      <c r="A254" s="13"/>
      <c r="B254" s="13"/>
      <c r="C254" s="13"/>
    </row>
    <row r="255" ht="15.75" customHeight="1">
      <c r="A255" s="13"/>
      <c r="B255" s="13"/>
      <c r="C255" s="13"/>
    </row>
    <row r="256" ht="15.75" customHeight="1">
      <c r="A256" s="13"/>
      <c r="B256" s="13"/>
      <c r="C256" s="13"/>
    </row>
    <row r="257" ht="15.75" customHeight="1">
      <c r="A257" s="13"/>
      <c r="B257" s="13"/>
      <c r="C257" s="13"/>
    </row>
    <row r="258" ht="15.75" customHeight="1">
      <c r="A258" s="13"/>
      <c r="B258" s="13"/>
      <c r="C258" s="13"/>
    </row>
    <row r="259" ht="15.75" customHeight="1">
      <c r="A259" s="13"/>
      <c r="B259" s="13"/>
      <c r="C259" s="13"/>
    </row>
    <row r="260" ht="15.75" customHeight="1">
      <c r="A260" s="13"/>
      <c r="B260" s="13"/>
      <c r="C260" s="13"/>
    </row>
    <row r="261" ht="15.75" customHeight="1">
      <c r="A261" s="13"/>
      <c r="B261" s="13"/>
      <c r="C261" s="13"/>
    </row>
    <row r="262" ht="15.75" customHeight="1">
      <c r="A262" s="13"/>
      <c r="B262" s="13"/>
      <c r="C262" s="13"/>
    </row>
    <row r="263" ht="15.75" customHeight="1">
      <c r="A263" s="13"/>
      <c r="B263" s="13"/>
      <c r="C263" s="13"/>
    </row>
    <row r="264" ht="15.75" customHeight="1">
      <c r="A264" s="13"/>
      <c r="B264" s="13"/>
      <c r="C264" s="13"/>
    </row>
    <row r="265" ht="15.75" customHeight="1">
      <c r="A265" s="13"/>
      <c r="B265" s="13"/>
      <c r="C265" s="13"/>
    </row>
    <row r="266" ht="15.75" customHeight="1">
      <c r="A266" s="13"/>
      <c r="B266" s="13"/>
      <c r="C266" s="13"/>
    </row>
    <row r="267" ht="15.75" customHeight="1">
      <c r="A267" s="13"/>
      <c r="B267" s="13"/>
      <c r="C267" s="13"/>
    </row>
    <row r="268" ht="15.75" customHeight="1">
      <c r="A268" s="13"/>
      <c r="B268" s="13"/>
      <c r="C268" s="13"/>
    </row>
    <row r="269" ht="15.75" customHeight="1">
      <c r="A269" s="13"/>
      <c r="B269" s="13"/>
      <c r="C269" s="13"/>
    </row>
    <row r="270" ht="15.75" customHeight="1">
      <c r="A270" s="13"/>
      <c r="B270" s="13"/>
      <c r="C270" s="13"/>
    </row>
    <row r="271" ht="15.75" customHeight="1">
      <c r="A271" s="13"/>
      <c r="B271" s="13"/>
      <c r="C271" s="13"/>
    </row>
    <row r="272" ht="15.75" customHeight="1">
      <c r="A272" s="13"/>
      <c r="B272" s="13"/>
      <c r="C272" s="13"/>
    </row>
    <row r="273" ht="15.75" customHeight="1">
      <c r="A273" s="13"/>
      <c r="B273" s="13"/>
      <c r="C273" s="13"/>
    </row>
    <row r="274" ht="15.75" customHeight="1">
      <c r="A274" s="13"/>
      <c r="B274" s="13"/>
      <c r="C274" s="13"/>
    </row>
    <row r="275" ht="15.75" customHeight="1">
      <c r="A275" s="13"/>
      <c r="B275" s="13"/>
      <c r="C275" s="13"/>
    </row>
    <row r="276" ht="15.75" customHeight="1">
      <c r="A276" s="13"/>
      <c r="B276" s="13"/>
      <c r="C276" s="13"/>
    </row>
    <row r="277" ht="15.75" customHeight="1">
      <c r="A277" s="13"/>
      <c r="B277" s="13"/>
      <c r="C277" s="13"/>
    </row>
    <row r="278" ht="15.75" customHeight="1">
      <c r="A278" s="13"/>
      <c r="B278" s="13"/>
      <c r="C278" s="13"/>
    </row>
    <row r="279" ht="15.75" customHeight="1">
      <c r="A279" s="13"/>
      <c r="B279" s="13"/>
      <c r="C279" s="13"/>
    </row>
    <row r="280" ht="15.75" customHeight="1">
      <c r="A280" s="13"/>
      <c r="B280" s="13"/>
      <c r="C280" s="13"/>
    </row>
    <row r="281" ht="15.75" customHeight="1">
      <c r="A281" s="13"/>
      <c r="B281" s="13"/>
      <c r="C281" s="13"/>
    </row>
    <row r="282" ht="15.75" customHeight="1">
      <c r="A282" s="13"/>
      <c r="B282" s="13"/>
      <c r="C282" s="13"/>
    </row>
    <row r="283" ht="15.75" customHeight="1">
      <c r="A283" s="13"/>
      <c r="B283" s="13"/>
      <c r="C283" s="13"/>
    </row>
    <row r="284" ht="15.75" customHeight="1">
      <c r="A284" s="13"/>
      <c r="B284" s="13"/>
      <c r="C284" s="13"/>
    </row>
    <row r="285" ht="15.75" customHeight="1">
      <c r="A285" s="13"/>
      <c r="B285" s="13"/>
      <c r="C285" s="13"/>
    </row>
    <row r="286" ht="15.75" customHeight="1">
      <c r="A286" s="13"/>
      <c r="B286" s="13"/>
      <c r="C286" s="13"/>
    </row>
    <row r="287" ht="15.75" customHeight="1">
      <c r="A287" s="13"/>
      <c r="B287" s="13"/>
      <c r="C287" s="13"/>
    </row>
    <row r="288" ht="15.75" customHeight="1">
      <c r="A288" s="13"/>
      <c r="B288" s="13"/>
      <c r="C288" s="13"/>
    </row>
    <row r="289" ht="15.75" customHeight="1">
      <c r="A289" s="13"/>
      <c r="B289" s="13"/>
      <c r="C289" s="13"/>
    </row>
    <row r="290" ht="15.75" customHeight="1">
      <c r="A290" s="13"/>
      <c r="B290" s="13"/>
      <c r="C290" s="13"/>
    </row>
    <row r="291" ht="15.75" customHeight="1">
      <c r="A291" s="13"/>
      <c r="B291" s="13"/>
      <c r="C291" s="13"/>
    </row>
    <row r="292" ht="15.75" customHeight="1">
      <c r="A292" s="13"/>
      <c r="B292" s="13"/>
      <c r="C292" s="13"/>
    </row>
    <row r="293" ht="15.75" customHeight="1">
      <c r="A293" s="13"/>
      <c r="B293" s="13"/>
      <c r="C293" s="13"/>
    </row>
    <row r="294" ht="15.75" customHeight="1">
      <c r="A294" s="13"/>
      <c r="B294" s="13"/>
      <c r="C294" s="13"/>
    </row>
    <row r="295" ht="15.75" customHeight="1">
      <c r="A295" s="13"/>
      <c r="B295" s="13"/>
      <c r="C295" s="13"/>
    </row>
    <row r="296" ht="15.75" customHeight="1">
      <c r="A296" s="13"/>
      <c r="B296" s="13"/>
      <c r="C296" s="13"/>
    </row>
    <row r="297" ht="15.75" customHeight="1">
      <c r="A297" s="13"/>
      <c r="B297" s="13"/>
      <c r="C297" s="13"/>
    </row>
    <row r="298" ht="15.75" customHeight="1">
      <c r="A298" s="13"/>
      <c r="B298" s="13"/>
      <c r="C298" s="13"/>
    </row>
    <row r="299" ht="15.75" customHeight="1">
      <c r="A299" s="13"/>
      <c r="B299" s="13"/>
      <c r="C299" s="13"/>
    </row>
    <row r="300" ht="15.75" customHeight="1">
      <c r="A300" s="13"/>
      <c r="B300" s="13"/>
      <c r="C300" s="13"/>
    </row>
    <row r="301" ht="15.75" customHeight="1">
      <c r="A301" s="13"/>
      <c r="B301" s="13"/>
      <c r="C301" s="13"/>
    </row>
    <row r="302" ht="15.75" customHeight="1">
      <c r="A302" s="13"/>
      <c r="B302" s="13"/>
      <c r="C302" s="13"/>
    </row>
    <row r="303" ht="15.75" customHeight="1">
      <c r="A303" s="13"/>
      <c r="B303" s="13"/>
      <c r="C303" s="13"/>
    </row>
    <row r="304" ht="15.75" customHeight="1">
      <c r="A304" s="13"/>
      <c r="B304" s="13"/>
      <c r="C304" s="13"/>
    </row>
    <row r="305" ht="15.75" customHeight="1">
      <c r="A305" s="13"/>
      <c r="B305" s="13"/>
      <c r="C305" s="13"/>
    </row>
    <row r="306" ht="15.75" customHeight="1">
      <c r="A306" s="13"/>
      <c r="B306" s="13"/>
      <c r="C306" s="13"/>
    </row>
    <row r="307" ht="15.75" customHeight="1">
      <c r="A307" s="13"/>
      <c r="B307" s="13"/>
      <c r="C307" s="13"/>
    </row>
    <row r="308" ht="15.75" customHeight="1">
      <c r="A308" s="13"/>
      <c r="B308" s="13"/>
      <c r="C308" s="13"/>
    </row>
    <row r="309" ht="15.75" customHeight="1">
      <c r="A309" s="13"/>
      <c r="B309" s="13"/>
      <c r="C309" s="13"/>
    </row>
    <row r="310" ht="15.75" customHeight="1">
      <c r="A310" s="13"/>
      <c r="B310" s="13"/>
      <c r="C310" s="13"/>
    </row>
    <row r="311" ht="15.75" customHeight="1">
      <c r="A311" s="13"/>
      <c r="B311" s="13"/>
      <c r="C311" s="13"/>
    </row>
    <row r="312" ht="15.75" customHeight="1">
      <c r="A312" s="13"/>
      <c r="B312" s="13"/>
      <c r="C312" s="13"/>
    </row>
    <row r="313" ht="15.75" customHeight="1">
      <c r="A313" s="13"/>
      <c r="B313" s="13"/>
      <c r="C313" s="13"/>
    </row>
    <row r="314" ht="15.75" customHeight="1">
      <c r="A314" s="13"/>
      <c r="B314" s="13"/>
      <c r="C314" s="13"/>
    </row>
    <row r="315" ht="15.75" customHeight="1">
      <c r="A315" s="13"/>
      <c r="B315" s="13"/>
      <c r="C315" s="13"/>
    </row>
    <row r="316" ht="15.75" customHeight="1">
      <c r="A316" s="13"/>
      <c r="B316" s="13"/>
      <c r="C316" s="13"/>
    </row>
    <row r="317" ht="15.75" customHeight="1">
      <c r="A317" s="13"/>
      <c r="B317" s="13"/>
      <c r="C317" s="13"/>
    </row>
    <row r="318" ht="15.75" customHeight="1">
      <c r="A318" s="13"/>
      <c r="B318" s="13"/>
      <c r="C318" s="13"/>
    </row>
    <row r="319" ht="15.75" customHeight="1">
      <c r="A319" s="13"/>
      <c r="B319" s="13"/>
      <c r="C319" s="13"/>
    </row>
    <row r="320" ht="15.75" customHeight="1">
      <c r="A320" s="13"/>
      <c r="B320" s="13"/>
      <c r="C320" s="13"/>
    </row>
    <row r="321" ht="15.75" customHeight="1">
      <c r="A321" s="13"/>
      <c r="B321" s="13"/>
      <c r="C321" s="13"/>
    </row>
    <row r="322" ht="15.75" customHeight="1">
      <c r="A322" s="13"/>
      <c r="B322" s="13"/>
      <c r="C322" s="13"/>
    </row>
    <row r="323" ht="15.75" customHeight="1">
      <c r="A323" s="13"/>
      <c r="B323" s="13"/>
      <c r="C323" s="13"/>
    </row>
    <row r="324" ht="15.75" customHeight="1">
      <c r="A324" s="13"/>
      <c r="B324" s="13"/>
      <c r="C324" s="13"/>
    </row>
    <row r="325" ht="15.75" customHeight="1">
      <c r="A325" s="13"/>
      <c r="B325" s="13"/>
      <c r="C325" s="13"/>
    </row>
    <row r="326" ht="15.75" customHeight="1">
      <c r="A326" s="13"/>
      <c r="B326" s="13"/>
      <c r="C326" s="13"/>
    </row>
    <row r="327" ht="15.75" customHeight="1">
      <c r="A327" s="13"/>
      <c r="B327" s="13"/>
      <c r="C327" s="13"/>
    </row>
    <row r="328" ht="15.75" customHeight="1">
      <c r="A328" s="13"/>
      <c r="B328" s="13"/>
      <c r="C328" s="13"/>
    </row>
    <row r="329" ht="15.75" customHeight="1">
      <c r="A329" s="13"/>
      <c r="B329" s="13"/>
      <c r="C329" s="13"/>
    </row>
    <row r="330" ht="15.75" customHeight="1">
      <c r="A330" s="13"/>
      <c r="B330" s="13"/>
      <c r="C330" s="13"/>
    </row>
    <row r="331" ht="15.75" customHeight="1">
      <c r="A331" s="13"/>
      <c r="B331" s="13"/>
      <c r="C331" s="13"/>
    </row>
    <row r="332" ht="15.75" customHeight="1">
      <c r="A332" s="13"/>
      <c r="B332" s="13"/>
      <c r="C332" s="13"/>
    </row>
    <row r="333" ht="15.75" customHeight="1">
      <c r="A333" s="13"/>
      <c r="B333" s="13"/>
      <c r="C333" s="13"/>
    </row>
    <row r="334" ht="15.75" customHeight="1">
      <c r="A334" s="13"/>
      <c r="B334" s="13"/>
      <c r="C334" s="13"/>
    </row>
    <row r="335" ht="15.75" customHeight="1">
      <c r="A335" s="13"/>
      <c r="B335" s="13"/>
      <c r="C335" s="13"/>
    </row>
    <row r="336" ht="15.75" customHeight="1">
      <c r="A336" s="13"/>
      <c r="B336" s="13"/>
      <c r="C336" s="13"/>
    </row>
    <row r="337" ht="15.75" customHeight="1">
      <c r="A337" s="13"/>
      <c r="B337" s="13"/>
      <c r="C337" s="13"/>
    </row>
    <row r="338" ht="15.75" customHeight="1">
      <c r="A338" s="13"/>
      <c r="B338" s="13"/>
      <c r="C338" s="13"/>
    </row>
    <row r="339" ht="15.75" customHeight="1">
      <c r="A339" s="13"/>
      <c r="B339" s="13"/>
      <c r="C339" s="13"/>
    </row>
    <row r="340" ht="15.75" customHeight="1">
      <c r="A340" s="13"/>
      <c r="B340" s="13"/>
      <c r="C340" s="13"/>
    </row>
    <row r="341" ht="15.75" customHeight="1">
      <c r="A341" s="13"/>
      <c r="B341" s="13"/>
      <c r="C341" s="13"/>
    </row>
    <row r="342" ht="15.75" customHeight="1">
      <c r="A342" s="13"/>
      <c r="B342" s="13"/>
      <c r="C342" s="13"/>
    </row>
    <row r="343" ht="15.75" customHeight="1">
      <c r="A343" s="13"/>
      <c r="B343" s="13"/>
      <c r="C343" s="13"/>
    </row>
    <row r="344" ht="15.75" customHeight="1">
      <c r="A344" s="13"/>
      <c r="B344" s="13"/>
      <c r="C344" s="13"/>
    </row>
    <row r="345" ht="15.75" customHeight="1">
      <c r="A345" s="13"/>
      <c r="B345" s="13"/>
      <c r="C345" s="13"/>
    </row>
    <row r="346" ht="15.75" customHeight="1">
      <c r="A346" s="13"/>
      <c r="B346" s="13"/>
      <c r="C346" s="13"/>
    </row>
    <row r="347" ht="15.75" customHeight="1">
      <c r="A347" s="13"/>
      <c r="B347" s="13"/>
      <c r="C347" s="13"/>
    </row>
    <row r="348" ht="15.75" customHeight="1">
      <c r="A348" s="13"/>
      <c r="B348" s="13"/>
      <c r="C348" s="13"/>
    </row>
    <row r="349" ht="15.75" customHeight="1">
      <c r="A349" s="13"/>
      <c r="B349" s="13"/>
      <c r="C349" s="13"/>
    </row>
    <row r="350" ht="15.75" customHeight="1">
      <c r="A350" s="13"/>
      <c r="B350" s="13"/>
      <c r="C350" s="13"/>
    </row>
    <row r="351" ht="15.75" customHeight="1">
      <c r="A351" s="13"/>
      <c r="B351" s="13"/>
      <c r="C351" s="13"/>
    </row>
    <row r="352" ht="15.75" customHeight="1">
      <c r="A352" s="13"/>
      <c r="B352" s="13"/>
      <c r="C352" s="13"/>
    </row>
    <row r="353" ht="15.75" customHeight="1">
      <c r="A353" s="13"/>
      <c r="B353" s="13"/>
      <c r="C353" s="13"/>
    </row>
    <row r="354" ht="15.75" customHeight="1">
      <c r="A354" s="13"/>
      <c r="B354" s="13"/>
      <c r="C354" s="13"/>
    </row>
    <row r="355" ht="15.75" customHeight="1">
      <c r="A355" s="13"/>
      <c r="B355" s="13"/>
      <c r="C355" s="13"/>
    </row>
    <row r="356" ht="15.75" customHeight="1">
      <c r="A356" s="13"/>
      <c r="B356" s="13"/>
      <c r="C356" s="13"/>
    </row>
    <row r="357" ht="15.75" customHeight="1">
      <c r="A357" s="13"/>
      <c r="B357" s="13"/>
      <c r="C357" s="13"/>
    </row>
    <row r="358" ht="15.75" customHeight="1">
      <c r="A358" s="13"/>
      <c r="B358" s="13"/>
      <c r="C358" s="13"/>
    </row>
    <row r="359" ht="15.75" customHeight="1">
      <c r="A359" s="13"/>
      <c r="B359" s="13"/>
      <c r="C359" s="13"/>
    </row>
    <row r="360" ht="15.75" customHeight="1">
      <c r="A360" s="13"/>
      <c r="B360" s="13"/>
      <c r="C360" s="13"/>
    </row>
    <row r="361" ht="15.75" customHeight="1">
      <c r="A361" s="13"/>
      <c r="B361" s="13"/>
      <c r="C361" s="13"/>
    </row>
    <row r="362" ht="15.75" customHeight="1">
      <c r="A362" s="13"/>
      <c r="B362" s="13"/>
      <c r="C362" s="13"/>
    </row>
    <row r="363" ht="15.75" customHeight="1">
      <c r="A363" s="13"/>
      <c r="B363" s="13"/>
      <c r="C363" s="13"/>
    </row>
    <row r="364" ht="15.75" customHeight="1">
      <c r="A364" s="13"/>
      <c r="B364" s="13"/>
      <c r="C364" s="13"/>
    </row>
    <row r="365" ht="15.75" customHeight="1">
      <c r="A365" s="13"/>
      <c r="B365" s="13"/>
      <c r="C365" s="13"/>
    </row>
    <row r="366" ht="15.75" customHeight="1">
      <c r="A366" s="13"/>
      <c r="B366" s="13"/>
      <c r="C366" s="13"/>
    </row>
    <row r="367" ht="15.75" customHeight="1">
      <c r="A367" s="13"/>
      <c r="B367" s="13"/>
      <c r="C367" s="13"/>
    </row>
    <row r="368" ht="15.75" customHeight="1">
      <c r="A368" s="13"/>
      <c r="B368" s="13"/>
      <c r="C368" s="13"/>
    </row>
    <row r="369" ht="15.75" customHeight="1">
      <c r="A369" s="13"/>
      <c r="B369" s="13"/>
      <c r="C369" s="13"/>
    </row>
    <row r="370" ht="15.75" customHeight="1">
      <c r="A370" s="13"/>
      <c r="B370" s="13"/>
      <c r="C370" s="13"/>
    </row>
    <row r="371" ht="15.75" customHeight="1">
      <c r="A371" s="13"/>
      <c r="B371" s="13"/>
      <c r="C371" s="13"/>
    </row>
    <row r="372" ht="15.75" customHeight="1">
      <c r="A372" s="13"/>
      <c r="B372" s="13"/>
      <c r="C372" s="13"/>
    </row>
    <row r="373" ht="15.75" customHeight="1">
      <c r="A373" s="13"/>
      <c r="B373" s="13"/>
      <c r="C373" s="13"/>
    </row>
    <row r="374" ht="15.75" customHeight="1">
      <c r="A374" s="13"/>
      <c r="B374" s="13"/>
      <c r="C374" s="13"/>
    </row>
    <row r="375" ht="15.75" customHeight="1">
      <c r="A375" s="13"/>
      <c r="B375" s="13"/>
      <c r="C375" s="13"/>
    </row>
    <row r="376" ht="15.75" customHeight="1">
      <c r="A376" s="13"/>
      <c r="B376" s="13"/>
      <c r="C376" s="13"/>
    </row>
    <row r="377" ht="15.75" customHeight="1">
      <c r="A377" s="13"/>
      <c r="B377" s="13"/>
      <c r="C377" s="13"/>
    </row>
    <row r="378" ht="15.75" customHeight="1">
      <c r="A378" s="13"/>
      <c r="B378" s="13"/>
      <c r="C378" s="13"/>
    </row>
    <row r="379" ht="15.75" customHeight="1">
      <c r="A379" s="13"/>
      <c r="B379" s="13"/>
      <c r="C379" s="13"/>
    </row>
    <row r="380" ht="15.75" customHeight="1">
      <c r="A380" s="13"/>
      <c r="B380" s="13"/>
      <c r="C380" s="13"/>
    </row>
    <row r="381" ht="15.75" customHeight="1">
      <c r="A381" s="13"/>
      <c r="B381" s="13"/>
      <c r="C381" s="13"/>
    </row>
    <row r="382" ht="15.75" customHeight="1">
      <c r="A382" s="13"/>
      <c r="B382" s="13"/>
      <c r="C382" s="13"/>
    </row>
    <row r="383" ht="15.75" customHeight="1">
      <c r="A383" s="13"/>
      <c r="B383" s="13"/>
      <c r="C383" s="13"/>
    </row>
    <row r="384" ht="15.75" customHeight="1">
      <c r="A384" s="13"/>
      <c r="B384" s="13"/>
      <c r="C384" s="13"/>
    </row>
    <row r="385" ht="15.75" customHeight="1">
      <c r="A385" s="13"/>
      <c r="B385" s="13"/>
      <c r="C385" s="13"/>
    </row>
    <row r="386" ht="15.75" customHeight="1">
      <c r="A386" s="13"/>
      <c r="B386" s="13"/>
      <c r="C386" s="13"/>
    </row>
    <row r="387" ht="15.75" customHeight="1">
      <c r="A387" s="13"/>
      <c r="B387" s="13"/>
      <c r="C387" s="13"/>
    </row>
    <row r="388" ht="15.75" customHeight="1">
      <c r="A388" s="13"/>
      <c r="B388" s="13"/>
      <c r="C388" s="13"/>
    </row>
    <row r="389" ht="15.75" customHeight="1">
      <c r="A389" s="13"/>
      <c r="B389" s="13"/>
      <c r="C389" s="13"/>
    </row>
    <row r="390" ht="15.75" customHeight="1">
      <c r="A390" s="13"/>
      <c r="B390" s="13"/>
      <c r="C390" s="13"/>
    </row>
    <row r="391" ht="15.75" customHeight="1">
      <c r="A391" s="13"/>
      <c r="B391" s="13"/>
      <c r="C391" s="13"/>
    </row>
    <row r="392" ht="15.75" customHeight="1">
      <c r="A392" s="13"/>
      <c r="B392" s="13"/>
      <c r="C392" s="13"/>
    </row>
    <row r="393" ht="15.75" customHeight="1">
      <c r="A393" s="13"/>
      <c r="B393" s="13"/>
      <c r="C393" s="13"/>
    </row>
    <row r="394" ht="15.75" customHeight="1">
      <c r="A394" s="13"/>
      <c r="B394" s="13"/>
      <c r="C394" s="13"/>
    </row>
    <row r="395" ht="15.75" customHeight="1">
      <c r="A395" s="13"/>
      <c r="B395" s="13"/>
      <c r="C395" s="13"/>
    </row>
    <row r="396" ht="15.75" customHeight="1">
      <c r="A396" s="13"/>
      <c r="B396" s="13"/>
      <c r="C396" s="13"/>
    </row>
    <row r="397" ht="15.75" customHeight="1">
      <c r="A397" s="13"/>
      <c r="B397" s="13"/>
      <c r="C397" s="13"/>
    </row>
    <row r="398" ht="15.75" customHeight="1">
      <c r="A398" s="13"/>
      <c r="B398" s="13"/>
      <c r="C398" s="13"/>
    </row>
    <row r="399" ht="15.75" customHeight="1">
      <c r="A399" s="13"/>
      <c r="B399" s="13"/>
      <c r="C399" s="13"/>
    </row>
    <row r="400" ht="15.75" customHeight="1">
      <c r="A400" s="13"/>
      <c r="B400" s="13"/>
      <c r="C400" s="13"/>
    </row>
    <row r="401" ht="15.75" customHeight="1">
      <c r="A401" s="13"/>
      <c r="B401" s="13"/>
      <c r="C401" s="13"/>
    </row>
    <row r="402" ht="15.75" customHeight="1">
      <c r="A402" s="13"/>
      <c r="B402" s="13"/>
      <c r="C402" s="13"/>
    </row>
    <row r="403" ht="15.75" customHeight="1">
      <c r="A403" s="13"/>
      <c r="B403" s="13"/>
      <c r="C403" s="13"/>
    </row>
    <row r="404" ht="15.75" customHeight="1">
      <c r="A404" s="13"/>
      <c r="B404" s="13"/>
      <c r="C404" s="13"/>
    </row>
    <row r="405" ht="15.75" customHeight="1">
      <c r="A405" s="13"/>
      <c r="B405" s="13"/>
      <c r="C405" s="13"/>
    </row>
    <row r="406" ht="15.75" customHeight="1">
      <c r="A406" s="13"/>
      <c r="B406" s="13"/>
      <c r="C406" s="13"/>
    </row>
    <row r="407" ht="15.75" customHeight="1">
      <c r="A407" s="13"/>
      <c r="B407" s="13"/>
      <c r="C407" s="13"/>
    </row>
    <row r="408" ht="15.75" customHeight="1">
      <c r="A408" s="13"/>
      <c r="B408" s="13"/>
      <c r="C408" s="13"/>
    </row>
    <row r="409" ht="15.75" customHeight="1">
      <c r="A409" s="13"/>
      <c r="B409" s="13"/>
      <c r="C409" s="13"/>
    </row>
    <row r="410" ht="15.75" customHeight="1">
      <c r="A410" s="13"/>
      <c r="B410" s="13"/>
      <c r="C410" s="13"/>
    </row>
    <row r="411" ht="15.75" customHeight="1">
      <c r="A411" s="13"/>
      <c r="B411" s="13"/>
      <c r="C411" s="13"/>
    </row>
    <row r="412" ht="15.75" customHeight="1">
      <c r="A412" s="13"/>
      <c r="B412" s="13"/>
      <c r="C412" s="13"/>
    </row>
    <row r="413" ht="15.75" customHeight="1">
      <c r="A413" s="13"/>
      <c r="B413" s="13"/>
      <c r="C413" s="13"/>
    </row>
    <row r="414" ht="15.75" customHeight="1">
      <c r="A414" s="13"/>
      <c r="B414" s="13"/>
      <c r="C414" s="13"/>
    </row>
    <row r="415" ht="15.75" customHeight="1">
      <c r="A415" s="13"/>
      <c r="B415" s="13"/>
      <c r="C415" s="13"/>
    </row>
    <row r="416" ht="15.75" customHeight="1">
      <c r="A416" s="13"/>
      <c r="B416" s="13"/>
      <c r="C416" s="13"/>
    </row>
    <row r="417" ht="15.75" customHeight="1">
      <c r="A417" s="13"/>
      <c r="B417" s="13"/>
      <c r="C417" s="13"/>
    </row>
    <row r="418" ht="15.75" customHeight="1">
      <c r="A418" s="13"/>
      <c r="B418" s="13"/>
      <c r="C418" s="13"/>
    </row>
    <row r="419" ht="15.75" customHeight="1">
      <c r="A419" s="13"/>
      <c r="B419" s="13"/>
      <c r="C419" s="13"/>
    </row>
    <row r="420" ht="15.75" customHeight="1">
      <c r="A420" s="13"/>
      <c r="B420" s="13"/>
      <c r="C420" s="13"/>
    </row>
    <row r="421" ht="15.75" customHeight="1">
      <c r="A421" s="13"/>
      <c r="B421" s="13"/>
      <c r="C421" s="13"/>
    </row>
    <row r="422" ht="15.75" customHeight="1">
      <c r="A422" s="13"/>
      <c r="B422" s="13"/>
      <c r="C422" s="13"/>
    </row>
    <row r="423" ht="15.75" customHeight="1">
      <c r="A423" s="13"/>
      <c r="B423" s="13"/>
      <c r="C423" s="13"/>
    </row>
    <row r="424" ht="15.75" customHeight="1">
      <c r="A424" s="13"/>
      <c r="B424" s="13"/>
      <c r="C424" s="13"/>
    </row>
    <row r="425" ht="15.75" customHeight="1">
      <c r="A425" s="13"/>
      <c r="B425" s="13"/>
      <c r="C425" s="13"/>
    </row>
    <row r="426" ht="15.75" customHeight="1">
      <c r="A426" s="13"/>
      <c r="B426" s="13"/>
      <c r="C426" s="13"/>
    </row>
    <row r="427" ht="15.75" customHeight="1">
      <c r="A427" s="13"/>
      <c r="B427" s="13"/>
      <c r="C427" s="13"/>
    </row>
    <row r="428" ht="15.75" customHeight="1">
      <c r="A428" s="13"/>
      <c r="B428" s="13"/>
      <c r="C428" s="13"/>
    </row>
    <row r="429" ht="15.75" customHeight="1">
      <c r="A429" s="13"/>
      <c r="B429" s="13"/>
      <c r="C429" s="13"/>
    </row>
    <row r="430" ht="15.75" customHeight="1">
      <c r="A430" s="13"/>
      <c r="B430" s="13"/>
      <c r="C430" s="13"/>
    </row>
    <row r="431" ht="15.75" customHeight="1">
      <c r="A431" s="13"/>
      <c r="B431" s="13"/>
      <c r="C431" s="13"/>
    </row>
    <row r="432" ht="15.75" customHeight="1">
      <c r="A432" s="13"/>
      <c r="B432" s="13"/>
      <c r="C432" s="13"/>
    </row>
    <row r="433" ht="15.75" customHeight="1">
      <c r="A433" s="13"/>
      <c r="B433" s="13"/>
      <c r="C433" s="13"/>
    </row>
    <row r="434" ht="15.75" customHeight="1">
      <c r="A434" s="13"/>
      <c r="B434" s="13"/>
      <c r="C434" s="13"/>
    </row>
    <row r="435" ht="15.75" customHeight="1">
      <c r="A435" s="13"/>
      <c r="B435" s="13"/>
      <c r="C435" s="13"/>
    </row>
    <row r="436" ht="15.75" customHeight="1">
      <c r="A436" s="13"/>
      <c r="B436" s="13"/>
      <c r="C436" s="13"/>
    </row>
    <row r="437" ht="15.75" customHeight="1">
      <c r="A437" s="13"/>
      <c r="B437" s="13"/>
      <c r="C437" s="13"/>
    </row>
    <row r="438" ht="15.75" customHeight="1">
      <c r="A438" s="13"/>
      <c r="B438" s="13"/>
      <c r="C438" s="13"/>
    </row>
    <row r="439" ht="15.75" customHeight="1">
      <c r="A439" s="13"/>
      <c r="B439" s="13"/>
      <c r="C439" s="13"/>
    </row>
    <row r="440" ht="15.75" customHeight="1">
      <c r="A440" s="13"/>
      <c r="B440" s="13"/>
      <c r="C440" s="13"/>
    </row>
    <row r="441" ht="15.75" customHeight="1">
      <c r="A441" s="13"/>
      <c r="B441" s="13"/>
      <c r="C441" s="13"/>
    </row>
    <row r="442" ht="15.75" customHeight="1">
      <c r="A442" s="13"/>
      <c r="B442" s="13"/>
      <c r="C442" s="13"/>
    </row>
    <row r="443" ht="15.75" customHeight="1">
      <c r="A443" s="13"/>
      <c r="B443" s="13"/>
      <c r="C443" s="13"/>
    </row>
    <row r="444" ht="15.75" customHeight="1">
      <c r="A444" s="13"/>
      <c r="B444" s="13"/>
      <c r="C444" s="13"/>
    </row>
    <row r="445" ht="15.75" customHeight="1">
      <c r="A445" s="13"/>
      <c r="B445" s="13"/>
      <c r="C445" s="13"/>
    </row>
    <row r="446" ht="15.75" customHeight="1">
      <c r="A446" s="13"/>
      <c r="B446" s="13"/>
      <c r="C446" s="13"/>
    </row>
    <row r="447" ht="15.75" customHeight="1">
      <c r="A447" s="13"/>
      <c r="B447" s="13"/>
      <c r="C447" s="13"/>
    </row>
    <row r="448" ht="15.75" customHeight="1">
      <c r="A448" s="13"/>
      <c r="B448" s="13"/>
      <c r="C448" s="13"/>
    </row>
    <row r="449" ht="15.75" customHeight="1">
      <c r="A449" s="13"/>
      <c r="B449" s="13"/>
      <c r="C449" s="13"/>
    </row>
    <row r="450" ht="15.75" customHeight="1">
      <c r="A450" s="13"/>
      <c r="B450" s="13"/>
      <c r="C450" s="13"/>
    </row>
    <row r="451" ht="15.75" customHeight="1">
      <c r="A451" s="13"/>
      <c r="B451" s="13"/>
      <c r="C451" s="13"/>
    </row>
    <row r="452" ht="15.75" customHeight="1">
      <c r="A452" s="13"/>
      <c r="B452" s="13"/>
      <c r="C452" s="13"/>
    </row>
    <row r="453" ht="15.75" customHeight="1">
      <c r="A453" s="13"/>
      <c r="B453" s="13"/>
      <c r="C453" s="13"/>
    </row>
    <row r="454" ht="15.75" customHeight="1">
      <c r="A454" s="13"/>
      <c r="B454" s="13"/>
      <c r="C454" s="13"/>
    </row>
    <row r="455" ht="15.75" customHeight="1">
      <c r="A455" s="13"/>
      <c r="B455" s="13"/>
      <c r="C455" s="13"/>
    </row>
    <row r="456" ht="15.75" customHeight="1">
      <c r="A456" s="13"/>
      <c r="B456" s="13"/>
      <c r="C456" s="13"/>
    </row>
    <row r="457" ht="15.75" customHeight="1">
      <c r="A457" s="13"/>
      <c r="B457" s="13"/>
      <c r="C457" s="13"/>
    </row>
    <row r="458" ht="15.75" customHeight="1">
      <c r="A458" s="13"/>
      <c r="B458" s="13"/>
      <c r="C458" s="13"/>
    </row>
    <row r="459" ht="15.75" customHeight="1">
      <c r="A459" s="13"/>
      <c r="B459" s="13"/>
      <c r="C459" s="13"/>
    </row>
    <row r="460" ht="15.75" customHeight="1">
      <c r="A460" s="13"/>
      <c r="B460" s="13"/>
      <c r="C460" s="13"/>
    </row>
    <row r="461" ht="15.75" customHeight="1">
      <c r="A461" s="13"/>
      <c r="B461" s="13"/>
      <c r="C461" s="13"/>
    </row>
    <row r="462" ht="15.75" customHeight="1">
      <c r="A462" s="13"/>
      <c r="B462" s="13"/>
      <c r="C462" s="13"/>
    </row>
    <row r="463" ht="15.75" customHeight="1">
      <c r="A463" s="13"/>
      <c r="B463" s="13"/>
      <c r="C463" s="13"/>
    </row>
    <row r="464" ht="15.75" customHeight="1">
      <c r="A464" s="13"/>
      <c r="B464" s="13"/>
      <c r="C464" s="13"/>
    </row>
    <row r="465" ht="15.75" customHeight="1">
      <c r="A465" s="13"/>
      <c r="B465" s="13"/>
      <c r="C465" s="13"/>
    </row>
    <row r="466" ht="15.75" customHeight="1">
      <c r="A466" s="13"/>
      <c r="B466" s="13"/>
      <c r="C466" s="13"/>
    </row>
    <row r="467" ht="15.75" customHeight="1">
      <c r="A467" s="13"/>
      <c r="B467" s="13"/>
      <c r="C467" s="13"/>
    </row>
    <row r="468" ht="15.75" customHeight="1">
      <c r="A468" s="13"/>
      <c r="B468" s="13"/>
      <c r="C468" s="13"/>
    </row>
    <row r="469" ht="15.75" customHeight="1">
      <c r="A469" s="13"/>
      <c r="B469" s="13"/>
      <c r="C469" s="13"/>
    </row>
    <row r="470" ht="15.75" customHeight="1">
      <c r="A470" s="13"/>
      <c r="B470" s="13"/>
      <c r="C470" s="13"/>
    </row>
    <row r="471" ht="15.75" customHeight="1">
      <c r="A471" s="13"/>
      <c r="B471" s="13"/>
      <c r="C471" s="13"/>
    </row>
    <row r="472" ht="15.75" customHeight="1">
      <c r="A472" s="13"/>
      <c r="B472" s="13"/>
      <c r="C472" s="13"/>
    </row>
    <row r="473" ht="15.75" customHeight="1">
      <c r="A473" s="13"/>
      <c r="B473" s="13"/>
      <c r="C473" s="13"/>
    </row>
    <row r="474" ht="15.75" customHeight="1">
      <c r="A474" s="13"/>
      <c r="B474" s="13"/>
      <c r="C474" s="13"/>
    </row>
    <row r="475" ht="15.75" customHeight="1">
      <c r="A475" s="13"/>
      <c r="B475" s="13"/>
      <c r="C475" s="13"/>
    </row>
    <row r="476" ht="15.75" customHeight="1">
      <c r="A476" s="13"/>
      <c r="B476" s="13"/>
      <c r="C476" s="13"/>
    </row>
    <row r="477" ht="15.75" customHeight="1">
      <c r="A477" s="13"/>
      <c r="B477" s="13"/>
      <c r="C477" s="13"/>
    </row>
    <row r="478" ht="15.75" customHeight="1">
      <c r="A478" s="13"/>
      <c r="B478" s="13"/>
      <c r="C478" s="13"/>
    </row>
    <row r="479" ht="15.75" customHeight="1">
      <c r="A479" s="13"/>
      <c r="B479" s="13"/>
      <c r="C479" s="13"/>
    </row>
    <row r="480" ht="15.75" customHeight="1">
      <c r="A480" s="13"/>
      <c r="B480" s="13"/>
      <c r="C480" s="13"/>
    </row>
    <row r="481" ht="15.75" customHeight="1">
      <c r="A481" s="13"/>
      <c r="B481" s="13"/>
      <c r="C481" s="13"/>
    </row>
    <row r="482" ht="15.75" customHeight="1">
      <c r="A482" s="13"/>
      <c r="B482" s="13"/>
      <c r="C482" s="13"/>
    </row>
    <row r="483" ht="15.75" customHeight="1">
      <c r="A483" s="13"/>
      <c r="B483" s="13"/>
      <c r="C483" s="13"/>
    </row>
    <row r="484" ht="15.75" customHeight="1">
      <c r="A484" s="13"/>
      <c r="B484" s="13"/>
      <c r="C484" s="13"/>
    </row>
    <row r="485" ht="15.75" customHeight="1">
      <c r="A485" s="13"/>
      <c r="B485" s="13"/>
      <c r="C485" s="13"/>
    </row>
    <row r="486" ht="15.75" customHeight="1">
      <c r="A486" s="13"/>
      <c r="B486" s="13"/>
      <c r="C486" s="13"/>
    </row>
    <row r="487" ht="15.75" customHeight="1">
      <c r="A487" s="13"/>
      <c r="B487" s="13"/>
      <c r="C487" s="13"/>
    </row>
    <row r="488" ht="15.75" customHeight="1">
      <c r="A488" s="13"/>
      <c r="B488" s="13"/>
      <c r="C488" s="13"/>
    </row>
    <row r="489" ht="15.75" customHeight="1">
      <c r="A489" s="13"/>
      <c r="B489" s="13"/>
      <c r="C489" s="13"/>
    </row>
    <row r="490" ht="15.75" customHeight="1">
      <c r="A490" s="13"/>
      <c r="B490" s="13"/>
      <c r="C490" s="13"/>
    </row>
    <row r="491" ht="15.75" customHeight="1">
      <c r="A491" s="13"/>
      <c r="B491" s="13"/>
      <c r="C491" s="13"/>
    </row>
    <row r="492" ht="15.75" customHeight="1">
      <c r="A492" s="13"/>
      <c r="B492" s="13"/>
      <c r="C492" s="13"/>
    </row>
    <row r="493" ht="15.75" customHeight="1">
      <c r="A493" s="13"/>
      <c r="B493" s="13"/>
      <c r="C493" s="13"/>
    </row>
    <row r="494" ht="15.75" customHeight="1">
      <c r="A494" s="13"/>
      <c r="B494" s="13"/>
      <c r="C494" s="13"/>
    </row>
    <row r="495" ht="15.75" customHeight="1">
      <c r="A495" s="13"/>
      <c r="B495" s="13"/>
      <c r="C495" s="13"/>
    </row>
    <row r="496" ht="15.75" customHeight="1">
      <c r="A496" s="13"/>
      <c r="B496" s="13"/>
      <c r="C496" s="13"/>
    </row>
    <row r="497" ht="15.75" customHeight="1">
      <c r="A497" s="13"/>
      <c r="B497" s="13"/>
      <c r="C497" s="13"/>
    </row>
    <row r="498" ht="15.75" customHeight="1">
      <c r="A498" s="13"/>
      <c r="B498" s="13"/>
      <c r="C498" s="13"/>
    </row>
    <row r="499" ht="15.75" customHeight="1">
      <c r="A499" s="13"/>
      <c r="B499" s="13"/>
      <c r="C499" s="13"/>
    </row>
    <row r="500" ht="15.75" customHeight="1">
      <c r="A500" s="13"/>
      <c r="B500" s="13"/>
      <c r="C500" s="13"/>
    </row>
    <row r="501" ht="15.75" customHeight="1">
      <c r="A501" s="13"/>
      <c r="B501" s="13"/>
      <c r="C501" s="13"/>
    </row>
    <row r="502" ht="15.75" customHeight="1">
      <c r="A502" s="13"/>
      <c r="B502" s="13"/>
      <c r="C502" s="13"/>
    </row>
    <row r="503" ht="15.75" customHeight="1">
      <c r="A503" s="13"/>
      <c r="B503" s="13"/>
      <c r="C503" s="13"/>
    </row>
    <row r="504" ht="15.75" customHeight="1">
      <c r="A504" s="13"/>
      <c r="B504" s="13"/>
      <c r="C504" s="13"/>
    </row>
    <row r="505" ht="15.75" customHeight="1">
      <c r="A505" s="13"/>
      <c r="B505" s="13"/>
      <c r="C505" s="13"/>
    </row>
    <row r="506" ht="15.75" customHeight="1">
      <c r="A506" s="13"/>
      <c r="B506" s="13"/>
      <c r="C506" s="13"/>
    </row>
    <row r="507" ht="15.75" customHeight="1">
      <c r="A507" s="13"/>
      <c r="B507" s="13"/>
      <c r="C507" s="13"/>
    </row>
    <row r="508" ht="15.75" customHeight="1">
      <c r="A508" s="13"/>
      <c r="B508" s="13"/>
      <c r="C508" s="13"/>
    </row>
    <row r="509" ht="15.75" customHeight="1">
      <c r="A509" s="13"/>
      <c r="B509" s="13"/>
      <c r="C509" s="13"/>
    </row>
    <row r="510" ht="15.75" customHeight="1">
      <c r="A510" s="13"/>
      <c r="B510" s="13"/>
      <c r="C510" s="13"/>
    </row>
    <row r="511" ht="15.75" customHeight="1">
      <c r="A511" s="13"/>
      <c r="B511" s="13"/>
      <c r="C511" s="13"/>
    </row>
    <row r="512" ht="15.75" customHeight="1">
      <c r="A512" s="13"/>
      <c r="B512" s="13"/>
      <c r="C512" s="13"/>
    </row>
    <row r="513" ht="15.75" customHeight="1">
      <c r="A513" s="13"/>
      <c r="B513" s="13"/>
      <c r="C513" s="13"/>
    </row>
    <row r="514" ht="15.75" customHeight="1">
      <c r="A514" s="13"/>
      <c r="B514" s="13"/>
      <c r="C514" s="13"/>
    </row>
    <row r="515" ht="15.75" customHeight="1">
      <c r="A515" s="13"/>
      <c r="B515" s="13"/>
      <c r="C515" s="13"/>
    </row>
    <row r="516" ht="15.75" customHeight="1">
      <c r="A516" s="13"/>
      <c r="B516" s="13"/>
      <c r="C516" s="13"/>
    </row>
    <row r="517" ht="15.75" customHeight="1">
      <c r="A517" s="13"/>
      <c r="B517" s="13"/>
      <c r="C517" s="13"/>
    </row>
    <row r="518" ht="15.75" customHeight="1">
      <c r="A518" s="13"/>
      <c r="B518" s="13"/>
      <c r="C518" s="13"/>
    </row>
    <row r="519" ht="15.75" customHeight="1">
      <c r="A519" s="13"/>
      <c r="B519" s="13"/>
      <c r="C519" s="13"/>
    </row>
    <row r="520" ht="15.75" customHeight="1">
      <c r="A520" s="13"/>
      <c r="B520" s="13"/>
      <c r="C520" s="13"/>
    </row>
    <row r="521" ht="15.75" customHeight="1">
      <c r="A521" s="13"/>
      <c r="B521" s="13"/>
      <c r="C521" s="13"/>
    </row>
    <row r="522" ht="15.75" customHeight="1">
      <c r="A522" s="13"/>
      <c r="B522" s="13"/>
      <c r="C522" s="13"/>
    </row>
    <row r="523" ht="15.75" customHeight="1">
      <c r="A523" s="13"/>
      <c r="B523" s="13"/>
      <c r="C523" s="13"/>
    </row>
    <row r="524" ht="15.75" customHeight="1">
      <c r="A524" s="13"/>
      <c r="B524" s="13"/>
      <c r="C524" s="13"/>
    </row>
    <row r="525" ht="15.75" customHeight="1">
      <c r="A525" s="13"/>
      <c r="B525" s="13"/>
      <c r="C525" s="13"/>
    </row>
    <row r="526" ht="15.75" customHeight="1">
      <c r="A526" s="13"/>
      <c r="B526" s="13"/>
      <c r="C526" s="13"/>
    </row>
    <row r="527" ht="15.75" customHeight="1">
      <c r="A527" s="13"/>
      <c r="B527" s="13"/>
      <c r="C527" s="13"/>
    </row>
    <row r="528" ht="15.75" customHeight="1">
      <c r="A528" s="13"/>
      <c r="B528" s="13"/>
      <c r="C528" s="13"/>
    </row>
    <row r="529" ht="15.75" customHeight="1">
      <c r="A529" s="13"/>
      <c r="B529" s="13"/>
      <c r="C529" s="13"/>
    </row>
    <row r="530" ht="15.75" customHeight="1">
      <c r="A530" s="13"/>
      <c r="B530" s="13"/>
      <c r="C530" s="13"/>
    </row>
    <row r="531" ht="15.75" customHeight="1">
      <c r="A531" s="13"/>
      <c r="B531" s="13"/>
      <c r="C531" s="13"/>
    </row>
    <row r="532" ht="15.75" customHeight="1">
      <c r="A532" s="13"/>
      <c r="B532" s="13"/>
      <c r="C532" s="13"/>
    </row>
    <row r="533" ht="15.75" customHeight="1">
      <c r="A533" s="13"/>
      <c r="B533" s="13"/>
      <c r="C533" s="13"/>
    </row>
    <row r="534" ht="15.75" customHeight="1">
      <c r="A534" s="13"/>
      <c r="B534" s="13"/>
      <c r="C534" s="13"/>
    </row>
    <row r="535" ht="15.75" customHeight="1">
      <c r="A535" s="13"/>
      <c r="B535" s="13"/>
      <c r="C535" s="13"/>
    </row>
    <row r="536" ht="15.75" customHeight="1">
      <c r="A536" s="13"/>
      <c r="B536" s="13"/>
      <c r="C536" s="13"/>
    </row>
    <row r="537" ht="15.75" customHeight="1">
      <c r="A537" s="13"/>
      <c r="B537" s="13"/>
      <c r="C537" s="13"/>
    </row>
    <row r="538" ht="15.75" customHeight="1">
      <c r="A538" s="13"/>
      <c r="B538" s="13"/>
      <c r="C538" s="13"/>
    </row>
    <row r="539" ht="15.75" customHeight="1">
      <c r="A539" s="13"/>
      <c r="B539" s="13"/>
      <c r="C539" s="13"/>
    </row>
    <row r="540" ht="15.75" customHeight="1">
      <c r="A540" s="13"/>
      <c r="B540" s="13"/>
      <c r="C540" s="13"/>
    </row>
    <row r="541" ht="15.75" customHeight="1">
      <c r="A541" s="13"/>
      <c r="B541" s="13"/>
      <c r="C541" s="13"/>
    </row>
    <row r="542" ht="15.75" customHeight="1">
      <c r="A542" s="13"/>
      <c r="B542" s="13"/>
      <c r="C542" s="13"/>
    </row>
    <row r="543" ht="15.75" customHeight="1">
      <c r="A543" s="13"/>
      <c r="B543" s="13"/>
      <c r="C543" s="13"/>
    </row>
    <row r="544" ht="15.75" customHeight="1">
      <c r="A544" s="13"/>
      <c r="B544" s="13"/>
      <c r="C544" s="13"/>
    </row>
    <row r="545" ht="15.75" customHeight="1">
      <c r="A545" s="13"/>
      <c r="B545" s="13"/>
      <c r="C545" s="13"/>
    </row>
    <row r="546" ht="15.75" customHeight="1">
      <c r="A546" s="13"/>
      <c r="B546" s="13"/>
      <c r="C546" s="13"/>
    </row>
    <row r="547" ht="15.75" customHeight="1">
      <c r="A547" s="13"/>
      <c r="B547" s="13"/>
      <c r="C547" s="13"/>
    </row>
    <row r="548" ht="15.75" customHeight="1">
      <c r="A548" s="13"/>
      <c r="B548" s="13"/>
      <c r="C548" s="13"/>
    </row>
    <row r="549" ht="15.75" customHeight="1">
      <c r="A549" s="13"/>
      <c r="B549" s="13"/>
      <c r="C549" s="13"/>
    </row>
    <row r="550" ht="15.75" customHeight="1">
      <c r="A550" s="13"/>
      <c r="B550" s="13"/>
      <c r="C550" s="13"/>
    </row>
    <row r="551" ht="15.75" customHeight="1">
      <c r="A551" s="13"/>
      <c r="B551" s="13"/>
      <c r="C551" s="13"/>
    </row>
    <row r="552" ht="15.75" customHeight="1">
      <c r="A552" s="13"/>
      <c r="B552" s="13"/>
      <c r="C552" s="13"/>
    </row>
    <row r="553" ht="15.75" customHeight="1">
      <c r="A553" s="13"/>
      <c r="B553" s="13"/>
      <c r="C553" s="13"/>
    </row>
    <row r="554" ht="15.75" customHeight="1">
      <c r="A554" s="13"/>
      <c r="B554" s="13"/>
      <c r="C554" s="13"/>
    </row>
    <row r="555" ht="15.75" customHeight="1">
      <c r="A555" s="13"/>
      <c r="B555" s="13"/>
      <c r="C555" s="13"/>
    </row>
    <row r="556" ht="15.75" customHeight="1">
      <c r="A556" s="13"/>
      <c r="B556" s="13"/>
      <c r="C556" s="13"/>
    </row>
    <row r="557" ht="15.75" customHeight="1">
      <c r="A557" s="13"/>
      <c r="B557" s="13"/>
      <c r="C557" s="13"/>
    </row>
    <row r="558" ht="15.75" customHeight="1">
      <c r="A558" s="13"/>
      <c r="B558" s="13"/>
      <c r="C558" s="13"/>
    </row>
    <row r="559" ht="15.75" customHeight="1">
      <c r="A559" s="13"/>
      <c r="B559" s="13"/>
      <c r="C559" s="13"/>
    </row>
    <row r="560" ht="15.75" customHeight="1">
      <c r="A560" s="13"/>
      <c r="B560" s="13"/>
      <c r="C560" s="13"/>
    </row>
    <row r="561" ht="15.75" customHeight="1">
      <c r="A561" s="13"/>
      <c r="B561" s="13"/>
      <c r="C561" s="13"/>
    </row>
    <row r="562" ht="15.75" customHeight="1">
      <c r="A562" s="13"/>
      <c r="B562" s="13"/>
      <c r="C562" s="13"/>
    </row>
    <row r="563" ht="15.75" customHeight="1">
      <c r="A563" s="13"/>
      <c r="B563" s="13"/>
      <c r="C563" s="13"/>
    </row>
    <row r="564" ht="15.75" customHeight="1">
      <c r="A564" s="13"/>
      <c r="B564" s="13"/>
      <c r="C564" s="13"/>
    </row>
    <row r="565" ht="15.75" customHeight="1">
      <c r="A565" s="13"/>
      <c r="B565" s="13"/>
      <c r="C565" s="13"/>
    </row>
    <row r="566" ht="15.75" customHeight="1">
      <c r="A566" s="13"/>
      <c r="B566" s="13"/>
      <c r="C566" s="13"/>
    </row>
    <row r="567" ht="15.75" customHeight="1">
      <c r="A567" s="13"/>
      <c r="B567" s="13"/>
      <c r="C567" s="13"/>
    </row>
    <row r="568" ht="15.75" customHeight="1">
      <c r="A568" s="13"/>
      <c r="B568" s="13"/>
      <c r="C568" s="13"/>
    </row>
    <row r="569" ht="15.75" customHeight="1">
      <c r="A569" s="13"/>
      <c r="B569" s="13"/>
      <c r="C569" s="13"/>
    </row>
    <row r="570" ht="15.75" customHeight="1">
      <c r="A570" s="13"/>
      <c r="B570" s="13"/>
      <c r="C570" s="13"/>
    </row>
    <row r="571" ht="15.75" customHeight="1">
      <c r="A571" s="13"/>
      <c r="B571" s="13"/>
      <c r="C571" s="13"/>
    </row>
    <row r="572" ht="15.75" customHeight="1">
      <c r="A572" s="13"/>
      <c r="B572" s="13"/>
      <c r="C572" s="13"/>
    </row>
    <row r="573" ht="15.75" customHeight="1">
      <c r="A573" s="13"/>
      <c r="B573" s="13"/>
      <c r="C573" s="13"/>
    </row>
    <row r="574" ht="15.75" customHeight="1">
      <c r="A574" s="13"/>
      <c r="B574" s="13"/>
      <c r="C574" s="13"/>
    </row>
    <row r="575" ht="15.75" customHeight="1">
      <c r="A575" s="13"/>
      <c r="B575" s="13"/>
      <c r="C575" s="13"/>
    </row>
    <row r="576" ht="15.75" customHeight="1">
      <c r="A576" s="13"/>
      <c r="B576" s="13"/>
      <c r="C576" s="13"/>
    </row>
    <row r="577" ht="15.75" customHeight="1">
      <c r="A577" s="13"/>
      <c r="B577" s="13"/>
      <c r="C577" s="13"/>
    </row>
    <row r="578" ht="15.75" customHeight="1">
      <c r="A578" s="13"/>
      <c r="B578" s="13"/>
      <c r="C578" s="13"/>
    </row>
    <row r="579" ht="15.75" customHeight="1">
      <c r="A579" s="13"/>
      <c r="B579" s="13"/>
      <c r="C579" s="13"/>
    </row>
    <row r="580" ht="15.75" customHeight="1">
      <c r="A580" s="13"/>
      <c r="B580" s="13"/>
      <c r="C580" s="13"/>
    </row>
    <row r="581" ht="15.75" customHeight="1">
      <c r="A581" s="13"/>
      <c r="B581" s="13"/>
      <c r="C581" s="13"/>
    </row>
    <row r="582" ht="15.75" customHeight="1">
      <c r="A582" s="13"/>
      <c r="B582" s="13"/>
      <c r="C582" s="13"/>
    </row>
    <row r="583" ht="15.75" customHeight="1">
      <c r="A583" s="13"/>
      <c r="B583" s="13"/>
      <c r="C583" s="13"/>
    </row>
    <row r="584" ht="15.75" customHeight="1">
      <c r="A584" s="13"/>
      <c r="B584" s="13"/>
      <c r="C584" s="13"/>
    </row>
    <row r="585" ht="15.75" customHeight="1">
      <c r="A585" s="13"/>
      <c r="B585" s="13"/>
      <c r="C585" s="13"/>
    </row>
    <row r="586" ht="15.75" customHeight="1">
      <c r="A586" s="13"/>
      <c r="B586" s="13"/>
      <c r="C586" s="13"/>
    </row>
    <row r="587" ht="15.75" customHeight="1">
      <c r="A587" s="13"/>
      <c r="B587" s="13"/>
      <c r="C587" s="13"/>
    </row>
    <row r="588" ht="15.75" customHeight="1">
      <c r="A588" s="13"/>
      <c r="B588" s="13"/>
      <c r="C588" s="13"/>
    </row>
    <row r="589" ht="15.75" customHeight="1">
      <c r="A589" s="13"/>
      <c r="B589" s="13"/>
      <c r="C589" s="13"/>
    </row>
    <row r="590" ht="15.75" customHeight="1">
      <c r="A590" s="13"/>
      <c r="B590" s="13"/>
      <c r="C590" s="13"/>
    </row>
    <row r="591" ht="15.75" customHeight="1">
      <c r="A591" s="13"/>
      <c r="B591" s="13"/>
      <c r="C591" s="13"/>
    </row>
    <row r="592" ht="15.75" customHeight="1">
      <c r="A592" s="13"/>
      <c r="B592" s="13"/>
      <c r="C592" s="13"/>
    </row>
    <row r="593" ht="15.75" customHeight="1">
      <c r="A593" s="13"/>
      <c r="B593" s="13"/>
      <c r="C593" s="13"/>
    </row>
    <row r="594" ht="15.75" customHeight="1">
      <c r="A594" s="13"/>
      <c r="B594" s="13"/>
      <c r="C594" s="13"/>
    </row>
    <row r="595" ht="15.75" customHeight="1">
      <c r="A595" s="13"/>
      <c r="B595" s="13"/>
      <c r="C595" s="13"/>
    </row>
    <row r="596" ht="15.75" customHeight="1">
      <c r="A596" s="13"/>
      <c r="B596" s="13"/>
      <c r="C596" s="13"/>
    </row>
    <row r="597" ht="15.75" customHeight="1">
      <c r="A597" s="13"/>
      <c r="B597" s="13"/>
      <c r="C597" s="13"/>
    </row>
    <row r="598" ht="15.75" customHeight="1">
      <c r="A598" s="13"/>
      <c r="B598" s="13"/>
      <c r="C598" s="13"/>
    </row>
    <row r="599" ht="15.75" customHeight="1">
      <c r="A599" s="13"/>
      <c r="B599" s="13"/>
      <c r="C599" s="13"/>
    </row>
    <row r="600" ht="15.75" customHeight="1">
      <c r="A600" s="13"/>
      <c r="B600" s="13"/>
      <c r="C600" s="13"/>
    </row>
    <row r="601" ht="15.75" customHeight="1">
      <c r="A601" s="13"/>
      <c r="B601" s="13"/>
      <c r="C601" s="13"/>
    </row>
    <row r="602" ht="15.75" customHeight="1">
      <c r="A602" s="13"/>
      <c r="B602" s="13"/>
      <c r="C602" s="13"/>
    </row>
    <row r="603" ht="15.75" customHeight="1">
      <c r="A603" s="13"/>
      <c r="B603" s="13"/>
      <c r="C603" s="13"/>
    </row>
    <row r="604" ht="15.75" customHeight="1">
      <c r="A604" s="13"/>
      <c r="B604" s="13"/>
      <c r="C604" s="13"/>
    </row>
    <row r="605" ht="15.75" customHeight="1">
      <c r="A605" s="13"/>
      <c r="B605" s="13"/>
      <c r="C605" s="13"/>
    </row>
    <row r="606" ht="15.75" customHeight="1">
      <c r="A606" s="13"/>
      <c r="B606" s="13"/>
      <c r="C606" s="13"/>
    </row>
    <row r="607" ht="15.75" customHeight="1">
      <c r="A607" s="13"/>
      <c r="B607" s="13"/>
      <c r="C607" s="13"/>
    </row>
    <row r="608" ht="15.75" customHeight="1">
      <c r="A608" s="13"/>
      <c r="B608" s="13"/>
      <c r="C608" s="13"/>
    </row>
    <row r="609" ht="15.75" customHeight="1">
      <c r="A609" s="13"/>
      <c r="B609" s="13"/>
      <c r="C609" s="13"/>
    </row>
    <row r="610" ht="15.75" customHeight="1">
      <c r="A610" s="13"/>
      <c r="B610" s="13"/>
      <c r="C610" s="13"/>
    </row>
    <row r="611" ht="15.75" customHeight="1">
      <c r="A611" s="13"/>
      <c r="B611" s="13"/>
      <c r="C611" s="13"/>
    </row>
    <row r="612" ht="15.75" customHeight="1">
      <c r="A612" s="13"/>
      <c r="B612" s="13"/>
      <c r="C612" s="13"/>
    </row>
    <row r="613" ht="15.75" customHeight="1">
      <c r="A613" s="13"/>
      <c r="B613" s="13"/>
      <c r="C613" s="13"/>
    </row>
    <row r="614" ht="15.75" customHeight="1">
      <c r="A614" s="13"/>
      <c r="B614" s="13"/>
      <c r="C614" s="13"/>
    </row>
    <row r="615" ht="15.75" customHeight="1">
      <c r="A615" s="13"/>
      <c r="B615" s="13"/>
      <c r="C615" s="13"/>
    </row>
    <row r="616" ht="15.75" customHeight="1">
      <c r="A616" s="13"/>
      <c r="B616" s="13"/>
      <c r="C616" s="13"/>
    </row>
    <row r="617" ht="15.75" customHeight="1">
      <c r="A617" s="13"/>
      <c r="B617" s="13"/>
      <c r="C617" s="13"/>
    </row>
    <row r="618" ht="15.75" customHeight="1">
      <c r="A618" s="13"/>
      <c r="B618" s="13"/>
      <c r="C618" s="13"/>
    </row>
    <row r="619" ht="15.75" customHeight="1">
      <c r="A619" s="13"/>
      <c r="B619" s="13"/>
      <c r="C619" s="13"/>
    </row>
    <row r="620" ht="15.75" customHeight="1">
      <c r="A620" s="13"/>
      <c r="B620" s="13"/>
      <c r="C620" s="13"/>
    </row>
    <row r="621" ht="15.75" customHeight="1">
      <c r="A621" s="13"/>
      <c r="B621" s="13"/>
      <c r="C621" s="13"/>
    </row>
    <row r="622" ht="15.75" customHeight="1">
      <c r="A622" s="13"/>
      <c r="B622" s="13"/>
      <c r="C622" s="13"/>
    </row>
    <row r="623" ht="15.75" customHeight="1">
      <c r="A623" s="13"/>
      <c r="B623" s="13"/>
      <c r="C623" s="13"/>
    </row>
    <row r="624" ht="15.75" customHeight="1">
      <c r="A624" s="13"/>
      <c r="B624" s="13"/>
      <c r="C624" s="13"/>
    </row>
    <row r="625" ht="15.75" customHeight="1">
      <c r="A625" s="13"/>
      <c r="B625" s="13"/>
      <c r="C625" s="13"/>
    </row>
    <row r="626" ht="15.75" customHeight="1">
      <c r="A626" s="13"/>
      <c r="B626" s="13"/>
      <c r="C626" s="13"/>
    </row>
    <row r="627" ht="15.75" customHeight="1">
      <c r="A627" s="13"/>
      <c r="B627" s="13"/>
      <c r="C627" s="13"/>
    </row>
    <row r="628" ht="15.75" customHeight="1">
      <c r="A628" s="13"/>
      <c r="B628" s="13"/>
      <c r="C628" s="13"/>
    </row>
    <row r="629" ht="15.75" customHeight="1">
      <c r="A629" s="13"/>
      <c r="B629" s="13"/>
      <c r="C629" s="13"/>
    </row>
    <row r="630" ht="15.75" customHeight="1">
      <c r="A630" s="13"/>
      <c r="B630" s="13"/>
      <c r="C630" s="13"/>
    </row>
    <row r="631" ht="15.75" customHeight="1">
      <c r="A631" s="13"/>
      <c r="B631" s="13"/>
      <c r="C631" s="13"/>
    </row>
    <row r="632" ht="15.75" customHeight="1">
      <c r="A632" s="13"/>
      <c r="B632" s="13"/>
      <c r="C632" s="13"/>
    </row>
    <row r="633" ht="15.75" customHeight="1">
      <c r="A633" s="13"/>
      <c r="B633" s="13"/>
      <c r="C633" s="13"/>
    </row>
    <row r="634" ht="15.75" customHeight="1">
      <c r="A634" s="13"/>
      <c r="B634" s="13"/>
      <c r="C634" s="13"/>
    </row>
    <row r="635" ht="15.75" customHeight="1">
      <c r="A635" s="13"/>
      <c r="B635" s="13"/>
      <c r="C635" s="13"/>
    </row>
    <row r="636" ht="15.75" customHeight="1">
      <c r="A636" s="13"/>
      <c r="B636" s="13"/>
      <c r="C636" s="13"/>
    </row>
    <row r="637" ht="15.75" customHeight="1">
      <c r="A637" s="13"/>
      <c r="B637" s="13"/>
      <c r="C637" s="13"/>
    </row>
    <row r="638" ht="15.75" customHeight="1">
      <c r="A638" s="13"/>
      <c r="B638" s="13"/>
      <c r="C638" s="13"/>
    </row>
    <row r="639" ht="15.75" customHeight="1">
      <c r="A639" s="13"/>
      <c r="B639" s="13"/>
      <c r="C639" s="13"/>
    </row>
    <row r="640" ht="15.75" customHeight="1">
      <c r="A640" s="13"/>
      <c r="B640" s="13"/>
      <c r="C640" s="13"/>
    </row>
    <row r="641" ht="15.75" customHeight="1">
      <c r="A641" s="13"/>
      <c r="B641" s="13"/>
      <c r="C641" s="13"/>
    </row>
    <row r="642" ht="15.75" customHeight="1">
      <c r="A642" s="13"/>
      <c r="B642" s="13"/>
      <c r="C642" s="13"/>
    </row>
    <row r="643" ht="15.75" customHeight="1">
      <c r="A643" s="13"/>
      <c r="B643" s="13"/>
      <c r="C643" s="13"/>
    </row>
    <row r="644" ht="15.75" customHeight="1">
      <c r="A644" s="13"/>
      <c r="B644" s="13"/>
      <c r="C644" s="13"/>
    </row>
    <row r="645" ht="15.75" customHeight="1">
      <c r="A645" s="13"/>
      <c r="B645" s="13"/>
      <c r="C645" s="13"/>
    </row>
    <row r="646" ht="15.75" customHeight="1">
      <c r="A646" s="13"/>
      <c r="B646" s="13"/>
      <c r="C646" s="13"/>
    </row>
    <row r="647" ht="15.75" customHeight="1">
      <c r="A647" s="13"/>
      <c r="B647" s="13"/>
      <c r="C647" s="13"/>
    </row>
    <row r="648" ht="15.75" customHeight="1">
      <c r="A648" s="13"/>
      <c r="B648" s="13"/>
      <c r="C648" s="13"/>
    </row>
    <row r="649" ht="15.75" customHeight="1">
      <c r="A649" s="13"/>
      <c r="B649" s="13"/>
      <c r="C649" s="13"/>
    </row>
    <row r="650" ht="15.75" customHeight="1">
      <c r="A650" s="13"/>
      <c r="B650" s="13"/>
      <c r="C650" s="13"/>
    </row>
    <row r="651" ht="15.75" customHeight="1">
      <c r="A651" s="13"/>
      <c r="B651" s="13"/>
      <c r="C651" s="13"/>
    </row>
    <row r="652" ht="15.75" customHeight="1">
      <c r="A652" s="13"/>
      <c r="B652" s="13"/>
      <c r="C652" s="13"/>
    </row>
    <row r="653" ht="15.75" customHeight="1">
      <c r="A653" s="13"/>
      <c r="B653" s="13"/>
      <c r="C653" s="13"/>
    </row>
    <row r="654" ht="15.75" customHeight="1">
      <c r="A654" s="13"/>
      <c r="B654" s="13"/>
      <c r="C654" s="13"/>
    </row>
    <row r="655" ht="15.75" customHeight="1">
      <c r="A655" s="13"/>
      <c r="B655" s="13"/>
      <c r="C655" s="13"/>
    </row>
    <row r="656" ht="15.75" customHeight="1">
      <c r="A656" s="13"/>
      <c r="B656" s="13"/>
      <c r="C656" s="13"/>
    </row>
    <row r="657" ht="15.75" customHeight="1">
      <c r="A657" s="13"/>
      <c r="B657" s="13"/>
      <c r="C657" s="13"/>
    </row>
    <row r="658" ht="15.75" customHeight="1">
      <c r="A658" s="13"/>
      <c r="B658" s="13"/>
      <c r="C658" s="13"/>
    </row>
    <row r="659" ht="15.75" customHeight="1">
      <c r="A659" s="13"/>
      <c r="B659" s="13"/>
      <c r="C659" s="13"/>
    </row>
    <row r="660" ht="15.75" customHeight="1">
      <c r="A660" s="13"/>
      <c r="B660" s="13"/>
      <c r="C660" s="13"/>
    </row>
    <row r="661" ht="15.75" customHeight="1">
      <c r="A661" s="13"/>
      <c r="B661" s="13"/>
      <c r="C661" s="13"/>
    </row>
    <row r="662" ht="15.75" customHeight="1">
      <c r="A662" s="13"/>
      <c r="B662" s="13"/>
      <c r="C662" s="13"/>
    </row>
    <row r="663" ht="15.75" customHeight="1">
      <c r="A663" s="13"/>
      <c r="B663" s="13"/>
      <c r="C663" s="13"/>
    </row>
    <row r="664" ht="15.75" customHeight="1">
      <c r="A664" s="13"/>
      <c r="B664" s="13"/>
      <c r="C664" s="13"/>
    </row>
    <row r="665" ht="15.75" customHeight="1">
      <c r="A665" s="13"/>
      <c r="B665" s="13"/>
      <c r="C665" s="13"/>
    </row>
    <row r="666" ht="15.75" customHeight="1">
      <c r="A666" s="13"/>
      <c r="B666" s="13"/>
      <c r="C666" s="13"/>
    </row>
    <row r="667" ht="15.75" customHeight="1">
      <c r="A667" s="13"/>
      <c r="B667" s="13"/>
      <c r="C667" s="13"/>
    </row>
    <row r="668" ht="15.75" customHeight="1">
      <c r="A668" s="13"/>
      <c r="B668" s="13"/>
      <c r="C668" s="13"/>
    </row>
    <row r="669" ht="15.75" customHeight="1">
      <c r="A669" s="13"/>
      <c r="B669" s="13"/>
      <c r="C669" s="13"/>
    </row>
    <row r="670" ht="15.75" customHeight="1">
      <c r="A670" s="13"/>
      <c r="B670" s="13"/>
      <c r="C670" s="13"/>
    </row>
    <row r="671" ht="15.75" customHeight="1">
      <c r="A671" s="13"/>
      <c r="B671" s="13"/>
      <c r="C671" s="13"/>
    </row>
    <row r="672" ht="15.75" customHeight="1">
      <c r="A672" s="13"/>
      <c r="B672" s="13"/>
      <c r="C672" s="13"/>
    </row>
    <row r="673" ht="15.75" customHeight="1">
      <c r="A673" s="13"/>
      <c r="B673" s="13"/>
      <c r="C673" s="13"/>
    </row>
    <row r="674" ht="15.75" customHeight="1">
      <c r="A674" s="13"/>
      <c r="B674" s="13"/>
      <c r="C674" s="13"/>
    </row>
    <row r="675" ht="15.75" customHeight="1">
      <c r="A675" s="13"/>
      <c r="B675" s="13"/>
      <c r="C675" s="13"/>
    </row>
    <row r="676" ht="15.75" customHeight="1">
      <c r="A676" s="13"/>
      <c r="B676" s="13"/>
      <c r="C676" s="13"/>
    </row>
    <row r="677" ht="15.75" customHeight="1">
      <c r="A677" s="13"/>
      <c r="B677" s="13"/>
      <c r="C677" s="13"/>
    </row>
    <row r="678" ht="15.75" customHeight="1">
      <c r="A678" s="13"/>
      <c r="B678" s="13"/>
      <c r="C678" s="13"/>
    </row>
    <row r="679" ht="15.75" customHeight="1">
      <c r="A679" s="13"/>
      <c r="B679" s="13"/>
      <c r="C679" s="13"/>
    </row>
    <row r="680" ht="15.75" customHeight="1">
      <c r="A680" s="13"/>
      <c r="B680" s="13"/>
      <c r="C680" s="13"/>
    </row>
    <row r="681" ht="15.75" customHeight="1">
      <c r="A681" s="13"/>
      <c r="B681" s="13"/>
      <c r="C681" s="13"/>
    </row>
    <row r="682" ht="15.75" customHeight="1">
      <c r="A682" s="13"/>
      <c r="B682" s="13"/>
      <c r="C682" s="13"/>
    </row>
    <row r="683" ht="15.75" customHeight="1">
      <c r="A683" s="13"/>
      <c r="B683" s="13"/>
      <c r="C683" s="13"/>
    </row>
    <row r="684" ht="15.75" customHeight="1">
      <c r="A684" s="13"/>
      <c r="B684" s="13"/>
      <c r="C684" s="13"/>
    </row>
    <row r="685" ht="15.75" customHeight="1">
      <c r="A685" s="13"/>
      <c r="B685" s="13"/>
      <c r="C685" s="13"/>
    </row>
    <row r="686" ht="15.75" customHeight="1">
      <c r="A686" s="13"/>
      <c r="B686" s="13"/>
      <c r="C686" s="13"/>
    </row>
    <row r="687" ht="15.75" customHeight="1">
      <c r="A687" s="13"/>
      <c r="B687" s="13"/>
      <c r="C687" s="13"/>
    </row>
    <row r="688" ht="15.75" customHeight="1">
      <c r="A688" s="13"/>
      <c r="B688" s="13"/>
      <c r="C688" s="13"/>
    </row>
    <row r="689" ht="15.75" customHeight="1">
      <c r="A689" s="13"/>
      <c r="B689" s="13"/>
      <c r="C689" s="13"/>
    </row>
    <row r="690" ht="15.75" customHeight="1">
      <c r="A690" s="13"/>
      <c r="B690" s="13"/>
      <c r="C690" s="13"/>
    </row>
    <row r="691" ht="15.75" customHeight="1">
      <c r="A691" s="13"/>
      <c r="B691" s="13"/>
      <c r="C691" s="13"/>
    </row>
    <row r="692" ht="15.75" customHeight="1">
      <c r="A692" s="13"/>
      <c r="B692" s="13"/>
      <c r="C692" s="13"/>
    </row>
    <row r="693" ht="15.75" customHeight="1">
      <c r="A693" s="13"/>
      <c r="B693" s="13"/>
      <c r="C693" s="13"/>
    </row>
    <row r="694" ht="15.75" customHeight="1">
      <c r="A694" s="13"/>
      <c r="B694" s="13"/>
      <c r="C694" s="13"/>
    </row>
    <row r="695" ht="15.75" customHeight="1">
      <c r="A695" s="13"/>
      <c r="B695" s="13"/>
      <c r="C695" s="13"/>
    </row>
    <row r="696" ht="15.75" customHeight="1">
      <c r="A696" s="13"/>
      <c r="B696" s="13"/>
      <c r="C696" s="13"/>
    </row>
    <row r="697" ht="15.75" customHeight="1">
      <c r="A697" s="13"/>
      <c r="B697" s="13"/>
      <c r="C697" s="13"/>
    </row>
    <row r="698" ht="15.75" customHeight="1">
      <c r="A698" s="13"/>
      <c r="B698" s="13"/>
      <c r="C698" s="13"/>
    </row>
    <row r="699" ht="15.75" customHeight="1">
      <c r="A699" s="13"/>
      <c r="B699" s="13"/>
      <c r="C699" s="13"/>
    </row>
    <row r="700" ht="15.75" customHeight="1">
      <c r="A700" s="13"/>
      <c r="B700" s="13"/>
      <c r="C700" s="13"/>
    </row>
    <row r="701" ht="15.75" customHeight="1">
      <c r="A701" s="13"/>
      <c r="B701" s="13"/>
      <c r="C701" s="13"/>
    </row>
    <row r="702" ht="15.75" customHeight="1">
      <c r="A702" s="13"/>
      <c r="B702" s="13"/>
      <c r="C702" s="13"/>
    </row>
    <row r="703" ht="15.75" customHeight="1">
      <c r="A703" s="13"/>
      <c r="B703" s="13"/>
      <c r="C703" s="13"/>
    </row>
    <row r="704" ht="15.75" customHeight="1">
      <c r="A704" s="13"/>
      <c r="B704" s="13"/>
      <c r="C704" s="13"/>
    </row>
    <row r="705" ht="15.75" customHeight="1">
      <c r="A705" s="13"/>
      <c r="B705" s="13"/>
      <c r="C705" s="13"/>
    </row>
    <row r="706" ht="15.75" customHeight="1">
      <c r="A706" s="13"/>
      <c r="B706" s="13"/>
      <c r="C706" s="13"/>
    </row>
    <row r="707" ht="15.75" customHeight="1">
      <c r="A707" s="13"/>
      <c r="B707" s="13"/>
      <c r="C707" s="13"/>
    </row>
    <row r="708" ht="15.75" customHeight="1">
      <c r="A708" s="13"/>
      <c r="B708" s="13"/>
      <c r="C708" s="13"/>
    </row>
    <row r="709" ht="15.75" customHeight="1">
      <c r="A709" s="13"/>
      <c r="B709" s="13"/>
      <c r="C709" s="13"/>
    </row>
    <row r="710" ht="15.75" customHeight="1">
      <c r="A710" s="13"/>
      <c r="B710" s="13"/>
      <c r="C710" s="13"/>
    </row>
    <row r="711" ht="15.75" customHeight="1">
      <c r="A711" s="13"/>
      <c r="B711" s="13"/>
      <c r="C711" s="13"/>
    </row>
    <row r="712" ht="15.75" customHeight="1">
      <c r="A712" s="13"/>
      <c r="B712" s="13"/>
      <c r="C712" s="13"/>
    </row>
    <row r="713" ht="15.75" customHeight="1">
      <c r="A713" s="13"/>
      <c r="B713" s="13"/>
      <c r="C713" s="13"/>
    </row>
    <row r="714" ht="15.75" customHeight="1">
      <c r="A714" s="13"/>
      <c r="B714" s="13"/>
      <c r="C714" s="13"/>
    </row>
    <row r="715" ht="15.75" customHeight="1">
      <c r="A715" s="13"/>
      <c r="B715" s="13"/>
      <c r="C715" s="13"/>
    </row>
    <row r="716" ht="15.75" customHeight="1">
      <c r="A716" s="13"/>
      <c r="B716" s="13"/>
      <c r="C716" s="13"/>
    </row>
    <row r="717" ht="15.75" customHeight="1">
      <c r="A717" s="13"/>
      <c r="B717" s="13"/>
      <c r="C717" s="13"/>
    </row>
    <row r="718" ht="15.75" customHeight="1">
      <c r="A718" s="13"/>
      <c r="B718" s="13"/>
      <c r="C718" s="13"/>
    </row>
    <row r="719" ht="15.75" customHeight="1">
      <c r="A719" s="13"/>
      <c r="B719" s="13"/>
      <c r="C719" s="13"/>
    </row>
    <row r="720" ht="15.75" customHeight="1">
      <c r="A720" s="13"/>
      <c r="B720" s="13"/>
      <c r="C720" s="13"/>
    </row>
    <row r="721" ht="15.75" customHeight="1">
      <c r="A721" s="13"/>
      <c r="B721" s="13"/>
      <c r="C721" s="13"/>
    </row>
    <row r="722" ht="15.75" customHeight="1">
      <c r="A722" s="13"/>
      <c r="B722" s="13"/>
      <c r="C722" s="13"/>
    </row>
    <row r="723" ht="15.75" customHeight="1">
      <c r="A723" s="13"/>
      <c r="B723" s="13"/>
      <c r="C723" s="13"/>
    </row>
    <row r="724" ht="15.75" customHeight="1">
      <c r="A724" s="13"/>
      <c r="B724" s="13"/>
      <c r="C724" s="13"/>
    </row>
    <row r="725" ht="15.75" customHeight="1">
      <c r="A725" s="13"/>
      <c r="B725" s="13"/>
      <c r="C725" s="13"/>
    </row>
    <row r="726" ht="15.75" customHeight="1">
      <c r="A726" s="13"/>
      <c r="B726" s="13"/>
      <c r="C726" s="13"/>
    </row>
    <row r="727" ht="15.75" customHeight="1">
      <c r="A727" s="13"/>
      <c r="B727" s="13"/>
      <c r="C727" s="13"/>
    </row>
    <row r="728" ht="15.75" customHeight="1">
      <c r="A728" s="13"/>
      <c r="B728" s="13"/>
      <c r="C728" s="13"/>
    </row>
    <row r="729" ht="15.75" customHeight="1">
      <c r="A729" s="13"/>
      <c r="B729" s="13"/>
      <c r="C729" s="13"/>
    </row>
    <row r="730" ht="15.75" customHeight="1">
      <c r="A730" s="13"/>
      <c r="B730" s="13"/>
      <c r="C730" s="13"/>
    </row>
    <row r="731" ht="15.75" customHeight="1">
      <c r="A731" s="13"/>
      <c r="B731" s="13"/>
      <c r="C731" s="13"/>
    </row>
    <row r="732" ht="15.75" customHeight="1">
      <c r="A732" s="13"/>
      <c r="B732" s="13"/>
      <c r="C732" s="13"/>
    </row>
    <row r="733" ht="15.75" customHeight="1">
      <c r="A733" s="13"/>
      <c r="B733" s="13"/>
      <c r="C733" s="13"/>
    </row>
    <row r="734" ht="15.75" customHeight="1">
      <c r="A734" s="13"/>
      <c r="B734" s="13"/>
      <c r="C734" s="13"/>
    </row>
    <row r="735" ht="15.75" customHeight="1">
      <c r="A735" s="13"/>
      <c r="B735" s="13"/>
      <c r="C735" s="13"/>
    </row>
    <row r="736" ht="15.75" customHeight="1">
      <c r="A736" s="13"/>
      <c r="B736" s="13"/>
      <c r="C736" s="13"/>
    </row>
    <row r="737" ht="15.75" customHeight="1">
      <c r="A737" s="13"/>
      <c r="B737" s="13"/>
      <c r="C737" s="13"/>
    </row>
    <row r="738" ht="15.75" customHeight="1">
      <c r="A738" s="13"/>
      <c r="B738" s="13"/>
      <c r="C738" s="13"/>
    </row>
    <row r="739" ht="15.75" customHeight="1">
      <c r="A739" s="13"/>
      <c r="B739" s="13"/>
      <c r="C739" s="13"/>
    </row>
    <row r="740" ht="15.75" customHeight="1">
      <c r="A740" s="13"/>
      <c r="B740" s="13"/>
      <c r="C740" s="13"/>
    </row>
    <row r="741" ht="15.75" customHeight="1">
      <c r="A741" s="13"/>
      <c r="B741" s="13"/>
      <c r="C741" s="13"/>
    </row>
    <row r="742" ht="15.75" customHeight="1">
      <c r="A742" s="13"/>
      <c r="B742" s="13"/>
      <c r="C742" s="13"/>
    </row>
    <row r="743" ht="15.75" customHeight="1">
      <c r="A743" s="13"/>
      <c r="B743" s="13"/>
      <c r="C743" s="13"/>
    </row>
    <row r="744" ht="15.75" customHeight="1">
      <c r="A744" s="13"/>
      <c r="B744" s="13"/>
      <c r="C744" s="13"/>
    </row>
    <row r="745" ht="15.75" customHeight="1">
      <c r="A745" s="13"/>
      <c r="B745" s="13"/>
      <c r="C745" s="13"/>
    </row>
    <row r="746" ht="15.75" customHeight="1">
      <c r="A746" s="13"/>
      <c r="B746" s="13"/>
      <c r="C746" s="13"/>
    </row>
    <row r="747" ht="15.75" customHeight="1">
      <c r="A747" s="13"/>
      <c r="B747" s="13"/>
      <c r="C747" s="13"/>
    </row>
    <row r="748" ht="15.75" customHeight="1">
      <c r="A748" s="13"/>
      <c r="B748" s="13"/>
      <c r="C748" s="13"/>
    </row>
    <row r="749" ht="15.75" customHeight="1">
      <c r="A749" s="13"/>
      <c r="B749" s="13"/>
      <c r="C749" s="13"/>
    </row>
    <row r="750" ht="15.75" customHeight="1">
      <c r="A750" s="13"/>
      <c r="B750" s="13"/>
      <c r="C750" s="13"/>
    </row>
    <row r="751" ht="15.75" customHeight="1">
      <c r="A751" s="13"/>
      <c r="B751" s="13"/>
      <c r="C751" s="13"/>
    </row>
    <row r="752" ht="15.75" customHeight="1">
      <c r="A752" s="13"/>
      <c r="B752" s="13"/>
      <c r="C752" s="13"/>
    </row>
    <row r="753" ht="15.75" customHeight="1">
      <c r="A753" s="13"/>
      <c r="B753" s="13"/>
      <c r="C753" s="13"/>
    </row>
    <row r="754" ht="15.75" customHeight="1">
      <c r="A754" s="13"/>
      <c r="B754" s="13"/>
      <c r="C754" s="13"/>
    </row>
    <row r="755" ht="15.75" customHeight="1">
      <c r="A755" s="13"/>
      <c r="B755" s="13"/>
      <c r="C755" s="13"/>
    </row>
    <row r="756" ht="15.75" customHeight="1">
      <c r="A756" s="13"/>
      <c r="B756" s="13"/>
      <c r="C756" s="13"/>
    </row>
    <row r="757" ht="15.75" customHeight="1">
      <c r="A757" s="13"/>
      <c r="B757" s="13"/>
      <c r="C757" s="13"/>
    </row>
    <row r="758" ht="15.75" customHeight="1">
      <c r="A758" s="13"/>
      <c r="B758" s="13"/>
      <c r="C758" s="13"/>
    </row>
    <row r="759" ht="15.75" customHeight="1">
      <c r="A759" s="13"/>
      <c r="B759" s="13"/>
      <c r="C759" s="13"/>
    </row>
    <row r="760" ht="15.75" customHeight="1">
      <c r="A760" s="13"/>
      <c r="B760" s="13"/>
      <c r="C760" s="13"/>
    </row>
    <row r="761" ht="15.75" customHeight="1">
      <c r="A761" s="13"/>
      <c r="B761" s="13"/>
      <c r="C761" s="13"/>
    </row>
    <row r="762" ht="15.75" customHeight="1">
      <c r="A762" s="13"/>
      <c r="B762" s="13"/>
      <c r="C762" s="13"/>
    </row>
    <row r="763" ht="15.75" customHeight="1">
      <c r="A763" s="13"/>
      <c r="B763" s="13"/>
      <c r="C763" s="13"/>
    </row>
    <row r="764" ht="15.75" customHeight="1">
      <c r="A764" s="13"/>
      <c r="B764" s="13"/>
      <c r="C764" s="13"/>
    </row>
    <row r="765" ht="15.75" customHeight="1">
      <c r="A765" s="13"/>
      <c r="B765" s="13"/>
      <c r="C765" s="13"/>
    </row>
    <row r="766" ht="15.75" customHeight="1">
      <c r="A766" s="13"/>
      <c r="B766" s="13"/>
      <c r="C766" s="13"/>
    </row>
    <row r="767" ht="15.75" customHeight="1">
      <c r="A767" s="13"/>
      <c r="B767" s="13"/>
      <c r="C767" s="13"/>
    </row>
    <row r="768" ht="15.75" customHeight="1">
      <c r="A768" s="13"/>
      <c r="B768" s="13"/>
      <c r="C768" s="13"/>
    </row>
    <row r="769" ht="15.75" customHeight="1">
      <c r="A769" s="13"/>
      <c r="B769" s="13"/>
      <c r="C769" s="13"/>
    </row>
    <row r="770" ht="15.75" customHeight="1">
      <c r="A770" s="13"/>
      <c r="B770" s="13"/>
      <c r="C770" s="13"/>
    </row>
    <row r="771" ht="15.75" customHeight="1">
      <c r="A771" s="13"/>
      <c r="B771" s="13"/>
      <c r="C771" s="13"/>
    </row>
    <row r="772" ht="15.75" customHeight="1">
      <c r="A772" s="13"/>
      <c r="B772" s="13"/>
      <c r="C772" s="13"/>
    </row>
    <row r="773" ht="15.75" customHeight="1">
      <c r="A773" s="13"/>
      <c r="B773" s="13"/>
      <c r="C773" s="13"/>
    </row>
    <row r="774" ht="15.75" customHeight="1">
      <c r="A774" s="13"/>
      <c r="B774" s="13"/>
      <c r="C774" s="13"/>
    </row>
    <row r="775" ht="15.75" customHeight="1">
      <c r="A775" s="13"/>
      <c r="B775" s="13"/>
      <c r="C775" s="13"/>
    </row>
    <row r="776" ht="15.75" customHeight="1">
      <c r="A776" s="13"/>
      <c r="B776" s="13"/>
      <c r="C776" s="13"/>
    </row>
    <row r="777" ht="15.75" customHeight="1">
      <c r="A777" s="13"/>
      <c r="B777" s="13"/>
      <c r="C777" s="13"/>
    </row>
    <row r="778" ht="15.75" customHeight="1">
      <c r="A778" s="13"/>
      <c r="B778" s="13"/>
      <c r="C778" s="13"/>
    </row>
    <row r="779" ht="15.75" customHeight="1">
      <c r="A779" s="13"/>
      <c r="B779" s="13"/>
      <c r="C779" s="13"/>
    </row>
    <row r="780" ht="15.75" customHeight="1">
      <c r="A780" s="13"/>
      <c r="B780" s="13"/>
      <c r="C780" s="13"/>
    </row>
    <row r="781" ht="15.75" customHeight="1">
      <c r="A781" s="13"/>
      <c r="B781" s="13"/>
      <c r="C781" s="13"/>
    </row>
    <row r="782" ht="15.75" customHeight="1">
      <c r="A782" s="13"/>
      <c r="B782" s="13"/>
      <c r="C782" s="13"/>
    </row>
    <row r="783" ht="15.75" customHeight="1">
      <c r="A783" s="13"/>
      <c r="B783" s="13"/>
      <c r="C783" s="13"/>
    </row>
    <row r="784" ht="15.75" customHeight="1">
      <c r="A784" s="13"/>
      <c r="B784" s="13"/>
      <c r="C784" s="13"/>
    </row>
    <row r="785" ht="15.75" customHeight="1">
      <c r="A785" s="13"/>
      <c r="B785" s="13"/>
      <c r="C785" s="13"/>
    </row>
    <row r="786" ht="15.75" customHeight="1">
      <c r="A786" s="13"/>
      <c r="B786" s="13"/>
      <c r="C786" s="13"/>
    </row>
    <row r="787" ht="15.75" customHeight="1">
      <c r="A787" s="13"/>
      <c r="B787" s="13"/>
      <c r="C787" s="13"/>
    </row>
    <row r="788" ht="15.75" customHeight="1">
      <c r="A788" s="13"/>
      <c r="B788" s="13"/>
      <c r="C788" s="13"/>
    </row>
    <row r="789" ht="15.75" customHeight="1">
      <c r="A789" s="13"/>
      <c r="B789" s="13"/>
      <c r="C789" s="13"/>
    </row>
    <row r="790" ht="15.75" customHeight="1">
      <c r="A790" s="13"/>
      <c r="B790" s="13"/>
      <c r="C790" s="13"/>
    </row>
    <row r="791" ht="15.75" customHeight="1">
      <c r="A791" s="13"/>
      <c r="B791" s="13"/>
      <c r="C791" s="13"/>
    </row>
    <row r="792" ht="15.75" customHeight="1">
      <c r="A792" s="13"/>
      <c r="B792" s="13"/>
      <c r="C792" s="13"/>
    </row>
    <row r="793" ht="15.75" customHeight="1">
      <c r="A793" s="13"/>
      <c r="B793" s="13"/>
      <c r="C793" s="13"/>
    </row>
    <row r="794" ht="15.75" customHeight="1">
      <c r="A794" s="13"/>
      <c r="B794" s="13"/>
      <c r="C794" s="13"/>
    </row>
    <row r="795" ht="15.75" customHeight="1">
      <c r="A795" s="13"/>
      <c r="B795" s="13"/>
      <c r="C795" s="13"/>
    </row>
    <row r="796" ht="15.75" customHeight="1">
      <c r="A796" s="13"/>
      <c r="B796" s="13"/>
      <c r="C796" s="13"/>
    </row>
    <row r="797" ht="15.75" customHeight="1">
      <c r="A797" s="13"/>
      <c r="B797" s="13"/>
      <c r="C797" s="13"/>
    </row>
    <row r="798" ht="15.75" customHeight="1">
      <c r="A798" s="13"/>
      <c r="B798" s="13"/>
      <c r="C798" s="13"/>
    </row>
    <row r="799" ht="15.75" customHeight="1">
      <c r="A799" s="13"/>
      <c r="B799" s="13"/>
      <c r="C799" s="13"/>
    </row>
    <row r="800" ht="15.75" customHeight="1">
      <c r="A800" s="13"/>
      <c r="B800" s="13"/>
      <c r="C800" s="13"/>
    </row>
    <row r="801" ht="15.75" customHeight="1">
      <c r="A801" s="13"/>
      <c r="B801" s="13"/>
      <c r="C801" s="13"/>
    </row>
    <row r="802" ht="15.75" customHeight="1">
      <c r="A802" s="13"/>
      <c r="B802" s="13"/>
      <c r="C802" s="13"/>
    </row>
    <row r="803" ht="15.75" customHeight="1">
      <c r="A803" s="13"/>
      <c r="B803" s="13"/>
      <c r="C803" s="13"/>
    </row>
    <row r="804" ht="15.75" customHeight="1">
      <c r="A804" s="13"/>
      <c r="B804" s="13"/>
      <c r="C804" s="13"/>
    </row>
    <row r="805" ht="15.75" customHeight="1">
      <c r="A805" s="13"/>
      <c r="B805" s="13"/>
      <c r="C805" s="13"/>
    </row>
    <row r="806" ht="15.75" customHeight="1">
      <c r="A806" s="13"/>
      <c r="B806" s="13"/>
      <c r="C806" s="13"/>
    </row>
    <row r="807" ht="15.75" customHeight="1">
      <c r="A807" s="13"/>
      <c r="B807" s="13"/>
      <c r="C807" s="13"/>
    </row>
    <row r="808" ht="15.75" customHeight="1">
      <c r="A808" s="13"/>
      <c r="B808" s="13"/>
      <c r="C808" s="13"/>
    </row>
    <row r="809" ht="15.75" customHeight="1">
      <c r="A809" s="13"/>
      <c r="B809" s="13"/>
      <c r="C809" s="13"/>
    </row>
    <row r="810" ht="15.75" customHeight="1">
      <c r="A810" s="13"/>
      <c r="B810" s="13"/>
      <c r="C810" s="13"/>
    </row>
    <row r="811" ht="15.75" customHeight="1">
      <c r="A811" s="13"/>
      <c r="B811" s="13"/>
      <c r="C811" s="13"/>
    </row>
    <row r="812" ht="15.75" customHeight="1">
      <c r="A812" s="13"/>
      <c r="B812" s="13"/>
      <c r="C812" s="13"/>
    </row>
    <row r="813" ht="15.75" customHeight="1">
      <c r="A813" s="13"/>
      <c r="B813" s="13"/>
      <c r="C813" s="13"/>
    </row>
    <row r="814" ht="15.75" customHeight="1">
      <c r="A814" s="13"/>
      <c r="B814" s="13"/>
      <c r="C814" s="13"/>
    </row>
    <row r="815" ht="15.75" customHeight="1">
      <c r="A815" s="13"/>
      <c r="B815" s="13"/>
      <c r="C815" s="13"/>
    </row>
    <row r="816" ht="15.75" customHeight="1">
      <c r="A816" s="13"/>
      <c r="B816" s="13"/>
      <c r="C816" s="13"/>
    </row>
    <row r="817" ht="15.75" customHeight="1">
      <c r="A817" s="13"/>
      <c r="B817" s="13"/>
      <c r="C817" s="13"/>
    </row>
    <row r="818" ht="15.75" customHeight="1">
      <c r="A818" s="13"/>
      <c r="B818" s="13"/>
      <c r="C818" s="13"/>
    </row>
    <row r="819" ht="15.75" customHeight="1">
      <c r="A819" s="13"/>
      <c r="B819" s="13"/>
      <c r="C819" s="13"/>
    </row>
    <row r="820" ht="15.75" customHeight="1">
      <c r="A820" s="13"/>
      <c r="B820" s="13"/>
      <c r="C820" s="13"/>
    </row>
    <row r="821" ht="15.75" customHeight="1">
      <c r="A821" s="13"/>
      <c r="B821" s="13"/>
      <c r="C821" s="13"/>
    </row>
    <row r="822" ht="15.75" customHeight="1">
      <c r="A822" s="13"/>
      <c r="B822" s="13"/>
      <c r="C822" s="13"/>
    </row>
    <row r="823" ht="15.75" customHeight="1">
      <c r="A823" s="13"/>
      <c r="B823" s="13"/>
      <c r="C823" s="13"/>
    </row>
    <row r="824" ht="15.75" customHeight="1">
      <c r="A824" s="13"/>
      <c r="B824" s="13"/>
      <c r="C824" s="13"/>
    </row>
    <row r="825" ht="15.75" customHeight="1">
      <c r="A825" s="13"/>
      <c r="B825" s="13"/>
      <c r="C825" s="13"/>
    </row>
    <row r="826" ht="15.75" customHeight="1">
      <c r="A826" s="13"/>
      <c r="B826" s="13"/>
      <c r="C826" s="13"/>
    </row>
    <row r="827" ht="15.75" customHeight="1">
      <c r="A827" s="13"/>
      <c r="B827" s="13"/>
      <c r="C827" s="13"/>
    </row>
    <row r="828" ht="15.75" customHeight="1">
      <c r="A828" s="13"/>
      <c r="B828" s="13"/>
      <c r="C828" s="13"/>
    </row>
    <row r="829" ht="15.75" customHeight="1">
      <c r="A829" s="13"/>
      <c r="B829" s="13"/>
      <c r="C829" s="13"/>
    </row>
    <row r="830" ht="15.75" customHeight="1">
      <c r="A830" s="13"/>
      <c r="B830" s="13"/>
      <c r="C830" s="13"/>
    </row>
    <row r="831" ht="15.75" customHeight="1">
      <c r="A831" s="13"/>
      <c r="B831" s="13"/>
      <c r="C831" s="13"/>
    </row>
    <row r="832" ht="15.75" customHeight="1">
      <c r="A832" s="13"/>
      <c r="B832" s="13"/>
      <c r="C832" s="13"/>
    </row>
    <row r="833" ht="15.75" customHeight="1">
      <c r="A833" s="13"/>
      <c r="B833" s="13"/>
      <c r="C833" s="13"/>
    </row>
    <row r="834" ht="15.75" customHeight="1">
      <c r="A834" s="13"/>
      <c r="B834" s="13"/>
      <c r="C834" s="13"/>
    </row>
    <row r="835" ht="15.75" customHeight="1">
      <c r="A835" s="13"/>
      <c r="B835" s="13"/>
      <c r="C835" s="13"/>
    </row>
    <row r="836" ht="15.75" customHeight="1">
      <c r="A836" s="13"/>
      <c r="B836" s="13"/>
      <c r="C836" s="13"/>
    </row>
    <row r="837" ht="15.75" customHeight="1">
      <c r="A837" s="13"/>
      <c r="B837" s="13"/>
      <c r="C837" s="13"/>
    </row>
    <row r="838" ht="15.75" customHeight="1">
      <c r="A838" s="13"/>
      <c r="B838" s="13"/>
      <c r="C838" s="13"/>
    </row>
    <row r="839" ht="15.75" customHeight="1">
      <c r="A839" s="13"/>
      <c r="B839" s="13"/>
      <c r="C839" s="13"/>
    </row>
    <row r="840" ht="15.75" customHeight="1">
      <c r="A840" s="13"/>
      <c r="B840" s="13"/>
      <c r="C840" s="13"/>
    </row>
    <row r="841" ht="15.75" customHeight="1">
      <c r="A841" s="13"/>
      <c r="B841" s="13"/>
      <c r="C841" s="13"/>
    </row>
    <row r="842" ht="15.75" customHeight="1">
      <c r="A842" s="13"/>
      <c r="B842" s="13"/>
      <c r="C842" s="13"/>
    </row>
    <row r="843" ht="15.75" customHeight="1">
      <c r="A843" s="13"/>
      <c r="B843" s="13"/>
      <c r="C843" s="13"/>
    </row>
    <row r="844" ht="15.75" customHeight="1">
      <c r="A844" s="13"/>
      <c r="B844" s="13"/>
      <c r="C844" s="13"/>
    </row>
    <row r="845" ht="15.75" customHeight="1">
      <c r="A845" s="13"/>
      <c r="B845" s="13"/>
      <c r="C845" s="13"/>
    </row>
    <row r="846" ht="15.75" customHeight="1">
      <c r="A846" s="13"/>
      <c r="B846" s="13"/>
      <c r="C846" s="13"/>
    </row>
    <row r="847" ht="15.75" customHeight="1">
      <c r="A847" s="13"/>
      <c r="B847" s="13"/>
      <c r="C847" s="13"/>
    </row>
    <row r="848" ht="15.75" customHeight="1">
      <c r="A848" s="13"/>
      <c r="B848" s="13"/>
      <c r="C848" s="13"/>
    </row>
    <row r="849" ht="15.75" customHeight="1">
      <c r="A849" s="13"/>
      <c r="B849" s="13"/>
      <c r="C849" s="13"/>
    </row>
    <row r="850" ht="15.75" customHeight="1">
      <c r="A850" s="13"/>
      <c r="B850" s="13"/>
      <c r="C850" s="13"/>
    </row>
    <row r="851" ht="15.75" customHeight="1">
      <c r="A851" s="13"/>
      <c r="B851" s="13"/>
      <c r="C851" s="13"/>
    </row>
    <row r="852" ht="15.75" customHeight="1">
      <c r="A852" s="13"/>
      <c r="B852" s="13"/>
      <c r="C852" s="13"/>
    </row>
    <row r="853" ht="15.75" customHeight="1">
      <c r="A853" s="13"/>
      <c r="B853" s="13"/>
      <c r="C853" s="13"/>
    </row>
    <row r="854" ht="15.75" customHeight="1">
      <c r="A854" s="13"/>
      <c r="B854" s="13"/>
      <c r="C854" s="13"/>
    </row>
    <row r="855" ht="15.75" customHeight="1">
      <c r="A855" s="13"/>
      <c r="B855" s="13"/>
      <c r="C855" s="13"/>
    </row>
    <row r="856" ht="15.75" customHeight="1">
      <c r="A856" s="13"/>
      <c r="B856" s="13"/>
      <c r="C856" s="13"/>
    </row>
    <row r="857" ht="15.75" customHeight="1">
      <c r="A857" s="13"/>
      <c r="B857" s="13"/>
      <c r="C857" s="13"/>
    </row>
    <row r="858" ht="15.75" customHeight="1">
      <c r="A858" s="13"/>
      <c r="B858" s="13"/>
      <c r="C858" s="13"/>
    </row>
    <row r="859" ht="15.75" customHeight="1">
      <c r="A859" s="13"/>
      <c r="B859" s="13"/>
      <c r="C859" s="13"/>
    </row>
    <row r="860" ht="15.75" customHeight="1">
      <c r="A860" s="13"/>
      <c r="B860" s="13"/>
      <c r="C860" s="13"/>
    </row>
    <row r="861" ht="15.75" customHeight="1">
      <c r="A861" s="13"/>
      <c r="B861" s="13"/>
      <c r="C861" s="13"/>
    </row>
    <row r="862" ht="15.75" customHeight="1">
      <c r="A862" s="13"/>
      <c r="B862" s="13"/>
      <c r="C862" s="13"/>
    </row>
    <row r="863" ht="15.75" customHeight="1">
      <c r="A863" s="13"/>
      <c r="B863" s="13"/>
      <c r="C863" s="13"/>
    </row>
    <row r="864" ht="15.75" customHeight="1">
      <c r="A864" s="13"/>
      <c r="B864" s="13"/>
      <c r="C864" s="13"/>
    </row>
    <row r="865" ht="15.75" customHeight="1">
      <c r="A865" s="13"/>
      <c r="B865" s="13"/>
      <c r="C865" s="13"/>
    </row>
    <row r="866" ht="15.75" customHeight="1">
      <c r="A866" s="13"/>
      <c r="B866" s="13"/>
      <c r="C866" s="13"/>
    </row>
    <row r="867" ht="15.75" customHeight="1">
      <c r="A867" s="13"/>
      <c r="B867" s="13"/>
      <c r="C867" s="13"/>
    </row>
    <row r="868" ht="15.75" customHeight="1">
      <c r="A868" s="13"/>
      <c r="B868" s="13"/>
      <c r="C868" s="13"/>
    </row>
    <row r="869" ht="15.75" customHeight="1">
      <c r="A869" s="13"/>
      <c r="B869" s="13"/>
      <c r="C869" s="13"/>
    </row>
    <row r="870" ht="15.75" customHeight="1">
      <c r="A870" s="13"/>
      <c r="B870" s="13"/>
      <c r="C870" s="13"/>
    </row>
    <row r="871" ht="15.75" customHeight="1">
      <c r="A871" s="13"/>
      <c r="B871" s="13"/>
      <c r="C871" s="13"/>
    </row>
    <row r="872" ht="15.75" customHeight="1">
      <c r="A872" s="13"/>
      <c r="B872" s="13"/>
      <c r="C872" s="13"/>
    </row>
    <row r="873" ht="15.75" customHeight="1">
      <c r="A873" s="13"/>
      <c r="B873" s="13"/>
      <c r="C873" s="13"/>
    </row>
    <row r="874" ht="15.75" customHeight="1">
      <c r="A874" s="13"/>
      <c r="B874" s="13"/>
      <c r="C874" s="13"/>
    </row>
    <row r="875" ht="15.75" customHeight="1">
      <c r="A875" s="13"/>
      <c r="B875" s="13"/>
      <c r="C875" s="13"/>
    </row>
    <row r="876" ht="15.75" customHeight="1">
      <c r="A876" s="13"/>
      <c r="B876" s="13"/>
      <c r="C876" s="13"/>
    </row>
    <row r="877" ht="15.75" customHeight="1">
      <c r="A877" s="13"/>
      <c r="B877" s="13"/>
      <c r="C877" s="13"/>
    </row>
    <row r="878" ht="15.75" customHeight="1">
      <c r="A878" s="13"/>
      <c r="B878" s="13"/>
      <c r="C878" s="13"/>
    </row>
    <row r="879" ht="15.75" customHeight="1">
      <c r="A879" s="13"/>
      <c r="B879" s="13"/>
      <c r="C879" s="13"/>
    </row>
    <row r="880" ht="15.75" customHeight="1">
      <c r="A880" s="13"/>
      <c r="B880" s="13"/>
      <c r="C880" s="13"/>
    </row>
    <row r="881" ht="15.75" customHeight="1">
      <c r="A881" s="13"/>
      <c r="B881" s="13"/>
      <c r="C881" s="13"/>
    </row>
    <row r="882" ht="15.75" customHeight="1">
      <c r="A882" s="13"/>
      <c r="B882" s="13"/>
      <c r="C882" s="13"/>
    </row>
    <row r="883" ht="15.75" customHeight="1">
      <c r="A883" s="13"/>
      <c r="B883" s="13"/>
      <c r="C883" s="13"/>
    </row>
    <row r="884" ht="15.75" customHeight="1">
      <c r="A884" s="13"/>
      <c r="B884" s="13"/>
      <c r="C884" s="13"/>
    </row>
    <row r="885" ht="15.75" customHeight="1">
      <c r="A885" s="13"/>
      <c r="B885" s="13"/>
      <c r="C885" s="13"/>
    </row>
    <row r="886" ht="15.75" customHeight="1">
      <c r="A886" s="13"/>
      <c r="B886" s="13"/>
      <c r="C886" s="13"/>
    </row>
    <row r="887" ht="15.75" customHeight="1">
      <c r="A887" s="13"/>
      <c r="B887" s="13"/>
      <c r="C887" s="13"/>
    </row>
    <row r="888" ht="15.75" customHeight="1">
      <c r="A888" s="13"/>
      <c r="B888" s="13"/>
      <c r="C888" s="13"/>
    </row>
    <row r="889" ht="15.75" customHeight="1">
      <c r="A889" s="13"/>
      <c r="B889" s="13"/>
      <c r="C889" s="13"/>
    </row>
    <row r="890" ht="15.75" customHeight="1">
      <c r="A890" s="13"/>
      <c r="B890" s="13"/>
      <c r="C890" s="13"/>
    </row>
    <row r="891" ht="15.75" customHeight="1">
      <c r="A891" s="13"/>
      <c r="B891" s="13"/>
      <c r="C891" s="13"/>
    </row>
    <row r="892" ht="15.75" customHeight="1">
      <c r="A892" s="13"/>
      <c r="B892" s="13"/>
      <c r="C892" s="13"/>
    </row>
    <row r="893" ht="15.75" customHeight="1">
      <c r="A893" s="13"/>
      <c r="B893" s="13"/>
      <c r="C893" s="13"/>
    </row>
    <row r="894" ht="15.75" customHeight="1">
      <c r="A894" s="13"/>
      <c r="B894" s="13"/>
      <c r="C894" s="13"/>
    </row>
    <row r="895" ht="15.75" customHeight="1">
      <c r="A895" s="13"/>
      <c r="B895" s="13"/>
      <c r="C895" s="13"/>
    </row>
    <row r="896" ht="15.75" customHeight="1">
      <c r="A896" s="13"/>
      <c r="B896" s="13"/>
      <c r="C896" s="13"/>
    </row>
    <row r="897" ht="15.75" customHeight="1">
      <c r="A897" s="13"/>
      <c r="B897" s="13"/>
      <c r="C897" s="13"/>
    </row>
    <row r="898" ht="15.75" customHeight="1">
      <c r="A898" s="13"/>
      <c r="B898" s="13"/>
      <c r="C898" s="13"/>
    </row>
    <row r="899" ht="15.75" customHeight="1">
      <c r="A899" s="13"/>
      <c r="B899" s="13"/>
      <c r="C899" s="13"/>
    </row>
    <row r="900" ht="15.75" customHeight="1">
      <c r="A900" s="13"/>
      <c r="B900" s="13"/>
      <c r="C900" s="13"/>
    </row>
    <row r="901" ht="15.75" customHeight="1">
      <c r="A901" s="13"/>
      <c r="B901" s="13"/>
      <c r="C901" s="13"/>
    </row>
    <row r="902" ht="15.75" customHeight="1">
      <c r="A902" s="13"/>
      <c r="B902" s="13"/>
      <c r="C902" s="13"/>
    </row>
    <row r="903" ht="15.75" customHeight="1">
      <c r="A903" s="13"/>
      <c r="B903" s="13"/>
      <c r="C903" s="13"/>
    </row>
    <row r="904" ht="15.75" customHeight="1">
      <c r="A904" s="13"/>
      <c r="B904" s="13"/>
      <c r="C904" s="13"/>
    </row>
    <row r="905" ht="15.75" customHeight="1">
      <c r="A905" s="13"/>
      <c r="B905" s="13"/>
      <c r="C905" s="13"/>
    </row>
    <row r="906" ht="15.75" customHeight="1">
      <c r="A906" s="13"/>
      <c r="B906" s="13"/>
      <c r="C906" s="13"/>
    </row>
    <row r="907" ht="15.75" customHeight="1">
      <c r="A907" s="13"/>
      <c r="B907" s="13"/>
      <c r="C907" s="13"/>
    </row>
    <row r="908" ht="15.75" customHeight="1">
      <c r="A908" s="13"/>
      <c r="B908" s="13"/>
      <c r="C908" s="13"/>
    </row>
    <row r="909" ht="15.75" customHeight="1">
      <c r="A909" s="13"/>
      <c r="B909" s="13"/>
      <c r="C909" s="13"/>
    </row>
    <row r="910" ht="15.75" customHeight="1">
      <c r="A910" s="13"/>
      <c r="B910" s="13"/>
      <c r="C910" s="13"/>
    </row>
    <row r="911" ht="15.75" customHeight="1">
      <c r="A911" s="13"/>
      <c r="B911" s="13"/>
      <c r="C911" s="13"/>
    </row>
    <row r="912" ht="15.75" customHeight="1">
      <c r="A912" s="13"/>
      <c r="B912" s="13"/>
      <c r="C912" s="13"/>
    </row>
    <row r="913" ht="15.75" customHeight="1">
      <c r="A913" s="13"/>
      <c r="B913" s="13"/>
      <c r="C913" s="13"/>
    </row>
    <row r="914" ht="15.75" customHeight="1">
      <c r="A914" s="13"/>
      <c r="B914" s="13"/>
      <c r="C914" s="13"/>
    </row>
    <row r="915" ht="15.75" customHeight="1">
      <c r="A915" s="13"/>
      <c r="B915" s="13"/>
      <c r="C915" s="13"/>
    </row>
    <row r="916" ht="15.75" customHeight="1">
      <c r="A916" s="13"/>
      <c r="B916" s="13"/>
      <c r="C916" s="13"/>
    </row>
    <row r="917" ht="15.75" customHeight="1">
      <c r="A917" s="13"/>
      <c r="B917" s="13"/>
      <c r="C917" s="13"/>
    </row>
    <row r="918" ht="15.75" customHeight="1">
      <c r="A918" s="13"/>
      <c r="B918" s="13"/>
      <c r="C918" s="13"/>
    </row>
    <row r="919" ht="15.75" customHeight="1">
      <c r="A919" s="13"/>
      <c r="B919" s="13"/>
      <c r="C919" s="13"/>
    </row>
    <row r="920" ht="15.75" customHeight="1">
      <c r="A920" s="13"/>
      <c r="B920" s="13"/>
      <c r="C920" s="13"/>
    </row>
    <row r="921" ht="15.75" customHeight="1">
      <c r="A921" s="13"/>
      <c r="B921" s="13"/>
      <c r="C921" s="13"/>
    </row>
    <row r="922" ht="15.75" customHeight="1">
      <c r="A922" s="13"/>
      <c r="B922" s="13"/>
      <c r="C922" s="13"/>
    </row>
    <row r="923" ht="15.75" customHeight="1">
      <c r="A923" s="13"/>
      <c r="B923" s="13"/>
      <c r="C923" s="13"/>
    </row>
    <row r="924" ht="15.75" customHeight="1">
      <c r="A924" s="13"/>
      <c r="B924" s="13"/>
      <c r="C924" s="13"/>
    </row>
    <row r="925" ht="15.75" customHeight="1">
      <c r="A925" s="13"/>
      <c r="B925" s="13"/>
      <c r="C925" s="13"/>
    </row>
    <row r="926" ht="15.75" customHeight="1">
      <c r="A926" s="13"/>
      <c r="B926" s="13"/>
      <c r="C926" s="13"/>
    </row>
    <row r="927" ht="15.75" customHeight="1">
      <c r="A927" s="13"/>
      <c r="B927" s="13"/>
      <c r="C927" s="13"/>
    </row>
    <row r="928" ht="15.75" customHeight="1">
      <c r="A928" s="13"/>
      <c r="B928" s="13"/>
      <c r="C928" s="13"/>
    </row>
    <row r="929" ht="15.75" customHeight="1">
      <c r="A929" s="13"/>
      <c r="B929" s="13"/>
      <c r="C929" s="13"/>
    </row>
    <row r="930" ht="15.75" customHeight="1">
      <c r="A930" s="13"/>
      <c r="B930" s="13"/>
      <c r="C930" s="13"/>
    </row>
    <row r="931" ht="15.75" customHeight="1">
      <c r="A931" s="13"/>
      <c r="B931" s="13"/>
      <c r="C931" s="13"/>
    </row>
    <row r="932" ht="15.75" customHeight="1">
      <c r="A932" s="13"/>
      <c r="B932" s="13"/>
      <c r="C932" s="13"/>
    </row>
    <row r="933" ht="15.75" customHeight="1">
      <c r="A933" s="13"/>
      <c r="B933" s="13"/>
      <c r="C933" s="13"/>
    </row>
    <row r="934" ht="15.75" customHeight="1">
      <c r="A934" s="13"/>
      <c r="B934" s="13"/>
      <c r="C934" s="13"/>
    </row>
    <row r="935" ht="15.75" customHeight="1">
      <c r="A935" s="13"/>
      <c r="B935" s="13"/>
      <c r="C935" s="13"/>
    </row>
    <row r="936" ht="15.75" customHeight="1">
      <c r="A936" s="13"/>
      <c r="B936" s="13"/>
      <c r="C936" s="13"/>
    </row>
    <row r="937" ht="15.75" customHeight="1">
      <c r="A937" s="13"/>
      <c r="B937" s="13"/>
      <c r="C937" s="13"/>
    </row>
    <row r="938" ht="15.75" customHeight="1">
      <c r="A938" s="13"/>
      <c r="B938" s="13"/>
      <c r="C938" s="13"/>
    </row>
    <row r="939" ht="15.75" customHeight="1">
      <c r="A939" s="13"/>
      <c r="B939" s="13"/>
      <c r="C939" s="13"/>
    </row>
    <row r="940" ht="15.75" customHeight="1">
      <c r="A940" s="13"/>
      <c r="B940" s="13"/>
      <c r="C940" s="13"/>
    </row>
    <row r="941" ht="15.75" customHeight="1">
      <c r="A941" s="13"/>
      <c r="B941" s="13"/>
      <c r="C941" s="13"/>
    </row>
    <row r="942" ht="15.75" customHeight="1">
      <c r="A942" s="13"/>
      <c r="B942" s="13"/>
      <c r="C942" s="13"/>
    </row>
    <row r="943" ht="15.75" customHeight="1">
      <c r="A943" s="13"/>
      <c r="B943" s="13"/>
      <c r="C943" s="13"/>
    </row>
    <row r="944" ht="15.75" customHeight="1">
      <c r="A944" s="13"/>
      <c r="B944" s="13"/>
      <c r="C944" s="13"/>
    </row>
    <row r="945" ht="15.75" customHeight="1">
      <c r="A945" s="13"/>
      <c r="B945" s="13"/>
      <c r="C945" s="13"/>
    </row>
    <row r="946" ht="15.75" customHeight="1">
      <c r="A946" s="13"/>
      <c r="B946" s="13"/>
      <c r="C946" s="13"/>
    </row>
    <row r="947" ht="15.75" customHeight="1">
      <c r="A947" s="13"/>
      <c r="B947" s="13"/>
      <c r="C947" s="13"/>
    </row>
    <row r="948" ht="15.75" customHeight="1">
      <c r="A948" s="13"/>
      <c r="B948" s="13"/>
      <c r="C948" s="13"/>
    </row>
    <row r="949" ht="15.75" customHeight="1">
      <c r="A949" s="13"/>
      <c r="B949" s="13"/>
      <c r="C949" s="13"/>
    </row>
    <row r="950" ht="15.75" customHeight="1">
      <c r="A950" s="13"/>
      <c r="B950" s="13"/>
      <c r="C950" s="13"/>
    </row>
    <row r="951" ht="15.75" customHeight="1">
      <c r="A951" s="13"/>
      <c r="B951" s="13"/>
      <c r="C951" s="13"/>
    </row>
    <row r="952" ht="15.75" customHeight="1">
      <c r="A952" s="13"/>
      <c r="B952" s="13"/>
      <c r="C952" s="13"/>
    </row>
    <row r="953" ht="15.75" customHeight="1">
      <c r="A953" s="13"/>
      <c r="B953" s="13"/>
      <c r="C953" s="13"/>
    </row>
    <row r="954" ht="15.75" customHeight="1">
      <c r="A954" s="13"/>
      <c r="B954" s="13"/>
      <c r="C954" s="13"/>
    </row>
    <row r="955" ht="15.75" customHeight="1">
      <c r="A955" s="13"/>
      <c r="B955" s="13"/>
      <c r="C955" s="13"/>
    </row>
    <row r="956" ht="15.75" customHeight="1">
      <c r="A956" s="13"/>
      <c r="B956" s="13"/>
      <c r="C956" s="13"/>
    </row>
    <row r="957" ht="15.75" customHeight="1">
      <c r="A957" s="13"/>
      <c r="B957" s="13"/>
      <c r="C957" s="13"/>
    </row>
    <row r="958" ht="15.75" customHeight="1">
      <c r="A958" s="13"/>
      <c r="B958" s="13"/>
      <c r="C958" s="13"/>
    </row>
    <row r="959" ht="15.75" customHeight="1">
      <c r="A959" s="13"/>
      <c r="B959" s="13"/>
      <c r="C959" s="13"/>
    </row>
    <row r="960" ht="15.75" customHeight="1">
      <c r="A960" s="13"/>
      <c r="B960" s="13"/>
      <c r="C960" s="13"/>
    </row>
    <row r="961" ht="15.75" customHeight="1">
      <c r="A961" s="13"/>
      <c r="B961" s="13"/>
      <c r="C961" s="13"/>
    </row>
    <row r="962" ht="15.75" customHeight="1">
      <c r="A962" s="13"/>
      <c r="B962" s="13"/>
      <c r="C962" s="13"/>
    </row>
    <row r="963" ht="15.75" customHeight="1">
      <c r="A963" s="13"/>
      <c r="B963" s="13"/>
      <c r="C963" s="13"/>
    </row>
    <row r="964" ht="15.75" customHeight="1">
      <c r="A964" s="13"/>
      <c r="B964" s="13"/>
      <c r="C964" s="13"/>
    </row>
    <row r="965" ht="15.75" customHeight="1">
      <c r="A965" s="13"/>
      <c r="B965" s="13"/>
      <c r="C965" s="13"/>
    </row>
    <row r="966" ht="15.75" customHeight="1">
      <c r="A966" s="13"/>
      <c r="B966" s="13"/>
      <c r="C966" s="13"/>
    </row>
    <row r="967" ht="15.75" customHeight="1">
      <c r="A967" s="13"/>
      <c r="B967" s="13"/>
      <c r="C967" s="13"/>
    </row>
    <row r="968" ht="15.75" customHeight="1">
      <c r="A968" s="13"/>
      <c r="B968" s="13"/>
      <c r="C968" s="13"/>
    </row>
    <row r="969" ht="15.75" customHeight="1">
      <c r="A969" s="13"/>
      <c r="B969" s="13"/>
      <c r="C969" s="13"/>
    </row>
    <row r="970" ht="15.75" customHeight="1">
      <c r="A970" s="13"/>
      <c r="B970" s="13"/>
      <c r="C970" s="13"/>
    </row>
    <row r="971" ht="15.75" customHeight="1">
      <c r="A971" s="13"/>
      <c r="B971" s="13"/>
      <c r="C971" s="13"/>
    </row>
    <row r="972" ht="15.75" customHeight="1">
      <c r="A972" s="13"/>
      <c r="B972" s="13"/>
      <c r="C972" s="13"/>
    </row>
    <row r="973" ht="15.75" customHeight="1">
      <c r="A973" s="13"/>
      <c r="B973" s="13"/>
      <c r="C973" s="13"/>
    </row>
    <row r="974" ht="15.75" customHeight="1">
      <c r="A974" s="13"/>
      <c r="B974" s="13"/>
      <c r="C974" s="13"/>
    </row>
    <row r="975" ht="15.75" customHeight="1">
      <c r="A975" s="13"/>
      <c r="B975" s="13"/>
      <c r="C975" s="13"/>
    </row>
    <row r="976" ht="15.75" customHeight="1">
      <c r="A976" s="13"/>
      <c r="B976" s="13"/>
      <c r="C976" s="13"/>
    </row>
    <row r="977" ht="15.75" customHeight="1">
      <c r="A977" s="13"/>
      <c r="B977" s="13"/>
      <c r="C977" s="13"/>
    </row>
    <row r="978" ht="15.75" customHeight="1">
      <c r="A978" s="13"/>
      <c r="B978" s="13"/>
      <c r="C978" s="13"/>
    </row>
    <row r="979" ht="15.75" customHeight="1">
      <c r="A979" s="13"/>
      <c r="B979" s="13"/>
      <c r="C979" s="13"/>
    </row>
    <row r="980" ht="15.75" customHeight="1">
      <c r="A980" s="13"/>
      <c r="B980" s="13"/>
      <c r="C980" s="13"/>
    </row>
    <row r="981" ht="15.75" customHeight="1">
      <c r="A981" s="13"/>
      <c r="B981" s="13"/>
      <c r="C981" s="13"/>
    </row>
    <row r="982" ht="15.75" customHeight="1">
      <c r="A982" s="13"/>
      <c r="B982" s="13"/>
      <c r="C982" s="13"/>
    </row>
    <row r="983" ht="15.75" customHeight="1">
      <c r="A983" s="13"/>
      <c r="B983" s="13"/>
      <c r="C983" s="13"/>
    </row>
    <row r="984" ht="15.75" customHeight="1">
      <c r="A984" s="13"/>
      <c r="B984" s="13"/>
      <c r="C984" s="13"/>
    </row>
    <row r="985" ht="15.75" customHeight="1">
      <c r="A985" s="13"/>
      <c r="B985" s="13"/>
      <c r="C985" s="13"/>
    </row>
    <row r="986" ht="15.75" customHeight="1">
      <c r="A986" s="13"/>
      <c r="B986" s="13"/>
      <c r="C986" s="13"/>
    </row>
    <row r="987" ht="15.75" customHeight="1">
      <c r="A987" s="13"/>
      <c r="B987" s="13"/>
      <c r="C987" s="13"/>
    </row>
    <row r="988" ht="15.75" customHeight="1">
      <c r="A988" s="13"/>
      <c r="B988" s="13"/>
      <c r="C988" s="13"/>
    </row>
    <row r="989" ht="15.75" customHeight="1">
      <c r="A989" s="13"/>
      <c r="B989" s="13"/>
      <c r="C989" s="13"/>
    </row>
    <row r="990" ht="15.75" customHeight="1">
      <c r="A990" s="13"/>
      <c r="B990" s="13"/>
      <c r="C990" s="13"/>
    </row>
    <row r="991" ht="15.75" customHeight="1">
      <c r="A991" s="13"/>
      <c r="B991" s="13"/>
      <c r="C991" s="13"/>
    </row>
    <row r="992" ht="15.75" customHeight="1">
      <c r="A992" s="13"/>
      <c r="B992" s="13"/>
      <c r="C992" s="13"/>
    </row>
    <row r="993" ht="15.75" customHeight="1">
      <c r="A993" s="13"/>
      <c r="B993" s="13"/>
      <c r="C993" s="13"/>
    </row>
    <row r="994" ht="15.75" customHeight="1">
      <c r="A994" s="13"/>
      <c r="B994" s="13"/>
      <c r="C994" s="13"/>
    </row>
    <row r="995" ht="15.75" customHeight="1">
      <c r="A995" s="13"/>
      <c r="B995" s="13"/>
      <c r="C995" s="13"/>
    </row>
    <row r="996" ht="15.75" customHeight="1">
      <c r="A996" s="13"/>
      <c r="B996" s="13"/>
      <c r="C996" s="13"/>
    </row>
    <row r="997" ht="15.75" customHeight="1">
      <c r="A997" s="13"/>
      <c r="B997" s="13"/>
      <c r="C997" s="13"/>
    </row>
    <row r="998" ht="15.75" customHeight="1">
      <c r="A998" s="13"/>
      <c r="B998" s="13"/>
      <c r="C998" s="13"/>
    </row>
    <row r="999" ht="15.75" customHeight="1">
      <c r="A999" s="13"/>
      <c r="B999" s="13"/>
      <c r="C999" s="13"/>
    </row>
    <row r="1000" ht="15.75" customHeight="1">
      <c r="A1000" s="13"/>
      <c r="B1000" s="13"/>
      <c r="C1000" s="13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2" width="12.43"/>
    <col customWidth="1" min="13" max="13" width="8.71"/>
    <col customWidth="1" hidden="1" min="14" max="14" width="13.0"/>
    <col customWidth="1" min="15" max="26" width="8.71"/>
  </cols>
  <sheetData>
    <row r="1" ht="39.75" customHeight="1">
      <c r="A1" s="26" t="s">
        <v>488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  <c r="N1" s="13">
        <f>IF($B$11="All","*",$B$11)</f>
        <v>6</v>
      </c>
    </row>
    <row r="2" ht="19.5" customHeight="1">
      <c r="A2" s="27" t="s">
        <v>489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N2" s="13" t="str">
        <f>IF($E$11="All","*",$E$11)</f>
        <v>Podium</v>
      </c>
    </row>
    <row r="3" ht="15.0" customHeight="1">
      <c r="A3" s="28" t="s">
        <v>490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  <c r="N3" s="13" t="str">
        <f>IF($H$11="All","*",$H$11)</f>
        <v>E</v>
      </c>
    </row>
    <row r="4" ht="15.0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13"/>
      <c r="N4" s="13" t="str">
        <f>IF($K$11="All","*",$K$11)</f>
        <v>Putty Work</v>
      </c>
    </row>
    <row r="5" ht="15.75" customHeight="1">
      <c r="A5" s="30" t="s">
        <v>491</v>
      </c>
      <c r="B5" s="16"/>
      <c r="C5" s="31" t="s">
        <v>492</v>
      </c>
      <c r="D5" s="16"/>
      <c r="E5" s="32" t="s">
        <v>493</v>
      </c>
      <c r="F5" s="16"/>
      <c r="G5" s="33" t="s">
        <v>494</v>
      </c>
      <c r="H5" s="16"/>
      <c r="I5" s="34" t="s">
        <v>495</v>
      </c>
      <c r="J5" s="16"/>
      <c r="K5" s="35" t="s">
        <v>496</v>
      </c>
      <c r="L5" s="16"/>
      <c r="N5" s="13"/>
    </row>
    <row r="6" ht="24.0" customHeight="1">
      <c r="A6" s="36">
        <f>COUNTA('Inspection Log'!$G$2:$G$5000)</f>
        <v>249</v>
      </c>
      <c r="B6" s="37"/>
      <c r="C6" s="38">
        <f>COUNTIF('Inspection Log'!$I$2:$I$5000,"OK")</f>
        <v>143</v>
      </c>
      <c r="D6" s="37"/>
      <c r="E6" s="39">
        <f>COUNTIF('Inspection Log'!$I$2:$I$5000,"NOT OK")</f>
        <v>73</v>
      </c>
      <c r="F6" s="37"/>
      <c r="G6" s="40">
        <f>COUNTIF('Inspection Log'!$I$2:$I$5000,"NOT OK")-COUNTIFS('Inspection Log'!$I$2:$I$5000,"NOT OK",'Inspection Log'!$K$2:$K$5000,"Yes")</f>
        <v>73</v>
      </c>
      <c r="H6" s="37"/>
      <c r="I6" s="41">
        <f>COUNTIFS('Inspection Log'!$I$2:$I$5000,"NOT OK",'Inspection Log'!$K$2:$K$5000,"Yes")</f>
        <v>0</v>
      </c>
      <c r="J6" s="37"/>
      <c r="K6" s="42">
        <f>IFERROR(COUNTIF('Inspection Log'!$I$2:$I$5000,"OK")/(COUNTIF('Inspection Log'!$I$2:$I$5000,"OK")+COUNTIF('Inspection Log'!$I$2:$I$5000,"NOT OK")),0)</f>
        <v>0.662037037</v>
      </c>
      <c r="L6" s="37"/>
      <c r="N6" s="13"/>
    </row>
    <row r="7" ht="19.5" customHeight="1">
      <c r="A7" s="43"/>
      <c r="B7" s="44"/>
      <c r="C7" s="43"/>
      <c r="D7" s="44"/>
      <c r="E7" s="43"/>
      <c r="F7" s="44"/>
      <c r="G7" s="43"/>
      <c r="H7" s="44"/>
      <c r="I7" s="43"/>
      <c r="J7" s="44"/>
      <c r="K7" s="43"/>
      <c r="L7" s="44"/>
      <c r="N7" s="13"/>
    </row>
    <row r="8" ht="15.0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13"/>
      <c r="N8" s="13"/>
    </row>
    <row r="9" ht="24.0" customHeight="1">
      <c r="A9" s="45" t="s">
        <v>497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/>
      <c r="N9" s="13"/>
    </row>
    <row r="10" ht="15.0" customHeight="1">
      <c r="A10" s="46" t="s">
        <v>2</v>
      </c>
      <c r="B10" s="29"/>
      <c r="C10" s="47"/>
      <c r="D10" s="48" t="s">
        <v>3</v>
      </c>
      <c r="E10" s="47"/>
      <c r="F10" s="29"/>
      <c r="G10" s="46" t="s">
        <v>4</v>
      </c>
      <c r="H10" s="29"/>
      <c r="I10" s="49"/>
      <c r="J10" s="48" t="s">
        <v>498</v>
      </c>
      <c r="K10" s="47"/>
      <c r="L10" s="13"/>
      <c r="N10" s="13"/>
    </row>
    <row r="11">
      <c r="A11" s="50"/>
      <c r="B11" s="51">
        <v>6.0</v>
      </c>
      <c r="C11" s="52"/>
      <c r="D11" s="29"/>
      <c r="E11" s="51" t="s">
        <v>338</v>
      </c>
      <c r="F11" s="52"/>
      <c r="G11" s="29"/>
      <c r="H11" s="51" t="s">
        <v>351</v>
      </c>
      <c r="I11" s="52"/>
      <c r="J11" s="29"/>
      <c r="K11" s="51" t="s">
        <v>357</v>
      </c>
      <c r="L11" s="52"/>
      <c r="N11" s="13"/>
    </row>
    <row r="12" ht="15.0" customHeight="1">
      <c r="A12" s="53" t="s">
        <v>499</v>
      </c>
      <c r="B12" s="16"/>
      <c r="C12" s="54" t="s">
        <v>334</v>
      </c>
      <c r="D12" s="44"/>
      <c r="E12" s="54" t="s">
        <v>352</v>
      </c>
      <c r="F12" s="44"/>
      <c r="G12" s="53" t="s">
        <v>500</v>
      </c>
      <c r="H12" s="16"/>
      <c r="I12" s="54" t="s">
        <v>501</v>
      </c>
      <c r="J12" s="55"/>
      <c r="K12" s="55"/>
      <c r="L12" s="44"/>
      <c r="N12" s="13"/>
    </row>
    <row r="13" ht="24.0" customHeight="1">
      <c r="A13" s="56">
        <f>COUNTIFS('Inspection Log'!$C$2:$C$5000,$N$1,'Inspection Log'!$D$2:$D$5000,$N$2,'Inspection Log'!$E$2:$E$5000,$N$3,'Inspection Log'!$F$2:$F$5000,$N$4)</f>
        <v>5</v>
      </c>
      <c r="B13" s="52"/>
      <c r="C13" s="56">
        <f>COUNTIFS('Inspection Log'!$C$2:$C$5000,$N$1,'Inspection Log'!$D$2:$D$5000,$N$2,'Inspection Log'!$E$2:$E$5000,$N$3,'Inspection Log'!$F$2:$F$5000,$N$4,'Inspection Log'!$I$2:$I$5000,"OK")</f>
        <v>4</v>
      </c>
      <c r="D13" s="52"/>
      <c r="E13" s="56">
        <f>COUNTIFS('Inspection Log'!$C$2:$C$5000,$N$1,'Inspection Log'!$D$2:$D$5000,$N$2,'Inspection Log'!$E$2:$E$5000,$N$3,'Inspection Log'!$F$2:$F$5000,$N$4,'Inspection Log'!$I$2:$I$5000,"NOT OK")</f>
        <v>1</v>
      </c>
      <c r="F13" s="52"/>
      <c r="G13" s="56">
        <f>COUNTIFS('Inspection Log'!$C$2:$C$5000,$N$1,'Inspection Log'!$D$2:$D$5000,$N$2,'Inspection Log'!$E$2:$E$5000,$N$3,'Inspection Log'!$F$2:$F$5000,$N$4,'Inspection Log'!$I$2:$I$5000,"NOT OK")-COUNTIFS('Inspection Log'!$C$2:$C$5000,$N$1,'Inspection Log'!$D$2:$D$5000,$N$2,'Inspection Log'!$E$2:$E$5000,$N$3,'Inspection Log'!$F$2:$F$5000,$N$4,'Inspection Log'!$I$2:$I$5000,"NOT OK",'Inspection Log'!$K$2:$K$5000,"Yes")</f>
        <v>1</v>
      </c>
      <c r="H13" s="52"/>
      <c r="I13" s="57">
        <f>IFERROR(COUNTIFS('Inspection Log'!$C$2:$C$5000,$N$1,'Inspection Log'!$D$2:$D$5000,$N$2,'Inspection Log'!$E$2:$E$5000,$N$3,'Inspection Log'!$F$2:$F$5000,$N$4,'Inspection Log'!$I$2:$I$5000,"OK")/(COUNTIFS('Inspection Log'!$C$2:$C$5000,$N$1,'Inspection Log'!$D$2:$D$5000,$N$2,'Inspection Log'!$E$2:$E$5000,$N$3,'Inspection Log'!$F$2:$F$5000,$N$4,'Inspection Log'!$I$2:$I$5000,"OK")+COUNTIFS('Inspection Log'!$C$2:$C$5000,$N$1,'Inspection Log'!$D$2:$D$5000,$N$2,'Inspection Log'!$E$2:$E$5000,$N$3,'Inspection Log'!$F$2:$F$5000,$N$4,'Inspection Log'!$I$2:$I$5000,"NOT OK")),0)</f>
        <v>0.8</v>
      </c>
      <c r="J13" s="58"/>
      <c r="K13" s="58"/>
      <c r="L13" s="52"/>
      <c r="N13" s="13"/>
    </row>
    <row r="14" ht="21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13"/>
      <c r="N14" s="13"/>
    </row>
    <row r="15" ht="19.5" customHeight="1">
      <c r="A15" s="59" t="s">
        <v>502</v>
      </c>
      <c r="B15" s="15"/>
      <c r="C15" s="15"/>
      <c r="D15" s="15"/>
      <c r="E15" s="15"/>
      <c r="F15" s="16"/>
      <c r="G15" s="59" t="s">
        <v>503</v>
      </c>
      <c r="H15" s="15"/>
      <c r="I15" s="15"/>
      <c r="J15" s="15"/>
      <c r="K15" s="15"/>
      <c r="L15" s="16"/>
      <c r="N15" s="13"/>
    </row>
    <row r="16" ht="18.0" customHeight="1">
      <c r="A16" s="60" t="s">
        <v>2</v>
      </c>
      <c r="B16" s="60" t="s">
        <v>499</v>
      </c>
      <c r="C16" s="60" t="s">
        <v>334</v>
      </c>
      <c r="D16" s="60" t="s">
        <v>352</v>
      </c>
      <c r="E16" s="60" t="s">
        <v>500</v>
      </c>
      <c r="F16" s="60" t="s">
        <v>504</v>
      </c>
      <c r="G16" s="61" t="s">
        <v>505</v>
      </c>
      <c r="H16" s="52"/>
      <c r="I16" s="60" t="s">
        <v>499</v>
      </c>
      <c r="J16" s="60" t="s">
        <v>334</v>
      </c>
      <c r="K16" s="60" t="s">
        <v>352</v>
      </c>
      <c r="L16" s="60" t="s">
        <v>504</v>
      </c>
      <c r="N16" s="13"/>
    </row>
    <row r="17" ht="15.0" customHeight="1">
      <c r="A17" s="62" t="s">
        <v>404</v>
      </c>
      <c r="B17" s="62">
        <f>COUNTIF('Inspection Log'!$C$2:$C$5000,$A17)</f>
        <v>16</v>
      </c>
      <c r="C17" s="62">
        <f>COUNTIFS('Inspection Log'!$C$2:$C$5000,$A17,'Inspection Log'!$I$2:$I$5000,"OK")</f>
        <v>16</v>
      </c>
      <c r="D17" s="62">
        <f>COUNTIFS('Inspection Log'!$C$2:$C$5000,$A17,'Inspection Log'!$I$2:$I$5000,"NOT OK")</f>
        <v>0</v>
      </c>
      <c r="E17" s="62">
        <f>COUNTIFS('Inspection Log'!$C$2:$C$5000,$A17,'Inspection Log'!$I$2:$I$5000,"NOT OK")-COUNTIFS('Inspection Log'!$C$2:$C$5000,$A17,'Inspection Log'!$I$2:$I$5000,"NOT OK",'Inspection Log'!$K$2:$K$5000,"Yes")</f>
        <v>0</v>
      </c>
      <c r="F17" s="63">
        <f t="shared" ref="F17:F31" si="1">IFERROR(C17/(C17+D17),0)</f>
        <v>1</v>
      </c>
      <c r="G17" s="64" t="s">
        <v>333</v>
      </c>
      <c r="H17" s="52"/>
      <c r="I17" s="62">
        <f>COUNTIFS('Inspection Log'!$F$2:$F$5000,"RCC Work")</f>
        <v>70</v>
      </c>
      <c r="J17" s="62">
        <f>COUNTIFS('Inspection Log'!$F$2:$F$5000,"RCC Work",'Inspection Log'!$I$2:$I$5000,"OK")</f>
        <v>49</v>
      </c>
      <c r="K17" s="62">
        <f>COUNTIFS('Inspection Log'!$F$2:$F$5000,"RCC Work",'Inspection Log'!$I$2:$I$5000,"NOT OK")</f>
        <v>21</v>
      </c>
      <c r="L17" s="63">
        <f t="shared" ref="L17:L28" si="2">IFERROR(J17/(J17+K17),0)</f>
        <v>0.7</v>
      </c>
      <c r="N17" s="13"/>
    </row>
    <row r="18" ht="15.0" customHeight="1">
      <c r="A18" s="65" t="s">
        <v>408</v>
      </c>
      <c r="B18" s="65">
        <f>COUNTIF('Inspection Log'!$C$2:$C$5000,$A18)</f>
        <v>35</v>
      </c>
      <c r="C18" s="65">
        <f>COUNTIFS('Inspection Log'!$C$2:$C$5000,$A18,'Inspection Log'!$I$2:$I$5000,"OK")</f>
        <v>14</v>
      </c>
      <c r="D18" s="65">
        <f>COUNTIFS('Inspection Log'!$C$2:$C$5000,$A18,'Inspection Log'!$I$2:$I$5000,"NOT OK")</f>
        <v>21</v>
      </c>
      <c r="E18" s="65">
        <f>COUNTIFS('Inspection Log'!$C$2:$C$5000,$A18,'Inspection Log'!$I$2:$I$5000,"NOT OK")-COUNTIFS('Inspection Log'!$C$2:$C$5000,$A18,'Inspection Log'!$I$2:$I$5000,"NOT OK",'Inspection Log'!$K$2:$K$5000,"Yes")</f>
        <v>21</v>
      </c>
      <c r="F18" s="66">
        <f t="shared" si="1"/>
        <v>0.4</v>
      </c>
      <c r="G18" s="67" t="s">
        <v>382</v>
      </c>
      <c r="H18" s="52"/>
      <c r="I18" s="65">
        <f>COUNTIFS('Inspection Log'!$F$2:$F$5000,"Masonry Work")</f>
        <v>5</v>
      </c>
      <c r="J18" s="65">
        <f>COUNTIFS('Inspection Log'!$F$2:$F$5000,"Masonry Work",'Inspection Log'!$I$2:$I$5000,"OK")</f>
        <v>5</v>
      </c>
      <c r="K18" s="65">
        <f>COUNTIFS('Inspection Log'!$F$2:$F$5000,"Masonry Work",'Inspection Log'!$I$2:$I$5000,"NOT OK")</f>
        <v>0</v>
      </c>
      <c r="L18" s="66">
        <f t="shared" si="2"/>
        <v>1</v>
      </c>
      <c r="N18" s="13"/>
    </row>
    <row r="19" ht="15.0" customHeight="1">
      <c r="A19" s="62" t="s">
        <v>411</v>
      </c>
      <c r="B19" s="62">
        <f>COUNTIF('Inspection Log'!$C$2:$C$5000,$A19)</f>
        <v>0</v>
      </c>
      <c r="C19" s="62">
        <f>COUNTIFS('Inspection Log'!$C$2:$C$5000,$A19,'Inspection Log'!$I$2:$I$5000,"OK")</f>
        <v>0</v>
      </c>
      <c r="D19" s="62">
        <f>COUNTIFS('Inspection Log'!$C$2:$C$5000,$A19,'Inspection Log'!$I$2:$I$5000,"NOT OK")</f>
        <v>0</v>
      </c>
      <c r="E19" s="62">
        <f>COUNTIFS('Inspection Log'!$C$2:$C$5000,$A19,'Inspection Log'!$I$2:$I$5000,"NOT OK")-COUNTIFS('Inspection Log'!$C$2:$C$5000,$A19,'Inspection Log'!$I$2:$I$5000,"NOT OK",'Inspection Log'!$K$2:$K$5000,"Yes")</f>
        <v>0</v>
      </c>
      <c r="F19" s="63">
        <f t="shared" si="1"/>
        <v>0</v>
      </c>
      <c r="G19" s="64" t="s">
        <v>365</v>
      </c>
      <c r="H19" s="52"/>
      <c r="I19" s="62">
        <f>COUNTIFS('Inspection Log'!$F$2:$F$5000,"Excavation &amp; Earthwork")</f>
        <v>11</v>
      </c>
      <c r="J19" s="62">
        <f>COUNTIFS('Inspection Log'!$F$2:$F$5000,"Excavation &amp; Earthwork",'Inspection Log'!$I$2:$I$5000,"OK")</f>
        <v>11</v>
      </c>
      <c r="K19" s="62">
        <f>COUNTIFS('Inspection Log'!$F$2:$F$5000,"Excavation &amp; Earthwork",'Inspection Log'!$I$2:$I$5000,"NOT OK")</f>
        <v>0</v>
      </c>
      <c r="L19" s="63">
        <f t="shared" si="2"/>
        <v>1</v>
      </c>
      <c r="N19" s="13"/>
    </row>
    <row r="20" ht="15.0" customHeight="1">
      <c r="A20" s="65" t="s">
        <v>413</v>
      </c>
      <c r="B20" s="65">
        <f>COUNTIF('Inspection Log'!$C$2:$C$5000,$A20)</f>
        <v>30</v>
      </c>
      <c r="C20" s="65">
        <f>COUNTIFS('Inspection Log'!$C$2:$C$5000,$A20,'Inspection Log'!$I$2:$I$5000,"OK")</f>
        <v>30</v>
      </c>
      <c r="D20" s="65">
        <f>COUNTIFS('Inspection Log'!$C$2:$C$5000,$A20,'Inspection Log'!$I$2:$I$5000,"NOT OK")</f>
        <v>0</v>
      </c>
      <c r="E20" s="68">
        <f>COUNTIFS('Inspection Log'!$C$2:$C$5000,$A20,'Inspection Log'!$I$2:$I$5000,"NOT OK")-COUNTIFS('Inspection Log'!$C$2:$C$5000,$A20,'Inspection Log'!$I$2:$I$5000,"NOT OK",'Inspection Log'!$K$2:$K$5000,"Yes")</f>
        <v>0</v>
      </c>
      <c r="F20" s="66">
        <f t="shared" si="1"/>
        <v>1</v>
      </c>
      <c r="G20" s="67" t="s">
        <v>415</v>
      </c>
      <c r="H20" s="52"/>
      <c r="I20" s="65">
        <f>COUNTIFS('Inspection Log'!$F$2:$F$5000,"Plaster &amp; Waterproofing")</f>
        <v>0</v>
      </c>
      <c r="J20" s="65">
        <f>COUNTIFS('Inspection Log'!$F$2:$F$5000,"Plaster &amp; Waterproofing",'Inspection Log'!$I$2:$I$5000,"OK")</f>
        <v>0</v>
      </c>
      <c r="K20" s="65">
        <f>COUNTIFS('Inspection Log'!$F$2:$F$5000,"Plaster &amp; Waterproofing",'Inspection Log'!$I$2:$I$5000,"NOT OK")</f>
        <v>0</v>
      </c>
      <c r="L20" s="66">
        <f t="shared" si="2"/>
        <v>0</v>
      </c>
      <c r="N20" s="13"/>
    </row>
    <row r="21" ht="15.0" customHeight="1">
      <c r="A21" s="62" t="s">
        <v>414</v>
      </c>
      <c r="B21" s="62">
        <f>COUNTIF('Inspection Log'!$C$2:$C$5000,$A21)</f>
        <v>24</v>
      </c>
      <c r="C21" s="62">
        <f>COUNTIFS('Inspection Log'!$C$2:$C$5000,$A21,'Inspection Log'!$I$2:$I$5000,"OK")</f>
        <v>24</v>
      </c>
      <c r="D21" s="62">
        <f>COUNTIFS('Inspection Log'!$C$2:$C$5000,$A21,'Inspection Log'!$I$2:$I$5000,"NOT OK")</f>
        <v>0</v>
      </c>
      <c r="E21" s="62">
        <f>COUNTIFS('Inspection Log'!$C$2:$C$5000,$A21,'Inspection Log'!$I$2:$I$5000,"NOT OK")-COUNTIFS('Inspection Log'!$C$2:$C$5000,$A21,'Inspection Log'!$I$2:$I$5000,"NOT OK",'Inspection Log'!$K$2:$K$5000,"Yes")</f>
        <v>0</v>
      </c>
      <c r="F21" s="63">
        <f t="shared" si="1"/>
        <v>1</v>
      </c>
      <c r="G21" s="64" t="s">
        <v>372</v>
      </c>
      <c r="H21" s="52"/>
      <c r="I21" s="62">
        <f>COUNTIFS('Inspection Log'!$F$2:$F$5000,"Tile Work")</f>
        <v>22</v>
      </c>
      <c r="J21" s="62">
        <f>COUNTIFS('Inspection Log'!$F$2:$F$5000,"Tile Work",'Inspection Log'!$I$2:$I$5000,"OK")</f>
        <v>18</v>
      </c>
      <c r="K21" s="62">
        <f>COUNTIFS('Inspection Log'!$F$2:$F$5000,"Tile Work",'Inspection Log'!$I$2:$I$5000,"NOT OK")</f>
        <v>0</v>
      </c>
      <c r="L21" s="63">
        <f t="shared" si="2"/>
        <v>1</v>
      </c>
      <c r="N21" s="13"/>
    </row>
    <row r="22" ht="15.0" customHeight="1">
      <c r="A22" s="65" t="s">
        <v>416</v>
      </c>
      <c r="B22" s="65">
        <f>COUNTIF('Inspection Log'!$C$2:$C$5000,$A22)</f>
        <v>8</v>
      </c>
      <c r="C22" s="65">
        <f>COUNTIFS('Inspection Log'!$C$2:$C$5000,$A22,'Inspection Log'!$I$2:$I$5000,"OK")</f>
        <v>5</v>
      </c>
      <c r="D22" s="65">
        <f>COUNTIFS('Inspection Log'!$C$2:$C$5000,$A22,'Inspection Log'!$I$2:$I$5000,"NOT OK")</f>
        <v>2</v>
      </c>
      <c r="E22" s="65">
        <f>COUNTIFS('Inspection Log'!$C$2:$C$5000,$A22,'Inspection Log'!$I$2:$I$5000,"NOT OK")-COUNTIFS('Inspection Log'!$C$2:$C$5000,$A22,'Inspection Log'!$I$2:$I$5000,"NOT OK",'Inspection Log'!$K$2:$K$5000,"Yes")</f>
        <v>2</v>
      </c>
      <c r="F22" s="66">
        <f t="shared" si="1"/>
        <v>0.7142857143</v>
      </c>
      <c r="G22" s="67" t="s">
        <v>357</v>
      </c>
      <c r="H22" s="52"/>
      <c r="I22" s="65">
        <f>COUNTIFS('Inspection Log'!$F$2:$F$5000,"Putty Work")</f>
        <v>8</v>
      </c>
      <c r="J22" s="65">
        <f>COUNTIFS('Inspection Log'!$F$2:$F$5000,"Putty Work",'Inspection Log'!$I$2:$I$5000,"OK")</f>
        <v>5</v>
      </c>
      <c r="K22" s="65">
        <f>COUNTIFS('Inspection Log'!$F$2:$F$5000,"Putty Work",'Inspection Log'!$I$2:$I$5000,"NOT OK")</f>
        <v>2</v>
      </c>
      <c r="L22" s="66">
        <f t="shared" si="2"/>
        <v>0.7142857143</v>
      </c>
      <c r="N22" s="13"/>
    </row>
    <row r="23" ht="15.0" customHeight="1">
      <c r="A23" s="62" t="s">
        <v>417</v>
      </c>
      <c r="B23" s="62">
        <f>COUNTIF('Inspection Log'!$C$2:$C$5000,$A23)</f>
        <v>5</v>
      </c>
      <c r="C23" s="62">
        <f>COUNTIFS('Inspection Log'!$C$2:$C$5000,$A23,'Inspection Log'!$I$2:$I$5000,"OK")</f>
        <v>5</v>
      </c>
      <c r="D23" s="62">
        <f>COUNTIFS('Inspection Log'!$C$2:$C$5000,$A23,'Inspection Log'!$I$2:$I$5000,"NOT OK")</f>
        <v>0</v>
      </c>
      <c r="E23" s="62">
        <f>COUNTIFS('Inspection Log'!$C$2:$C$5000,$A23,'Inspection Log'!$I$2:$I$5000,"NOT OK")-COUNTIFS('Inspection Log'!$C$2:$C$5000,$A23,'Inspection Log'!$I$2:$I$5000,"NOT OK",'Inspection Log'!$K$2:$K$5000,"Yes")</f>
        <v>0</v>
      </c>
      <c r="F23" s="63">
        <f t="shared" si="1"/>
        <v>1</v>
      </c>
      <c r="G23" s="64" t="s">
        <v>419</v>
      </c>
      <c r="H23" s="52"/>
      <c r="I23" s="62">
        <f>COUNTIFS('Inspection Log'!$F$2:$F$5000,"Electrical Work")</f>
        <v>0</v>
      </c>
      <c r="J23" s="62">
        <f>COUNTIFS('Inspection Log'!$F$2:$F$5000,"Electrical Work",'Inspection Log'!$I$2:$I$5000,"OK")</f>
        <v>0</v>
      </c>
      <c r="K23" s="62">
        <f>COUNTIFS('Inspection Log'!$F$2:$F$5000,"Electrical Work",'Inspection Log'!$I$2:$I$5000,"NOT OK")</f>
        <v>0</v>
      </c>
      <c r="L23" s="63">
        <f t="shared" si="2"/>
        <v>0</v>
      </c>
      <c r="N23" s="13"/>
    </row>
    <row r="24" ht="15.0" customHeight="1">
      <c r="A24" s="65" t="s">
        <v>418</v>
      </c>
      <c r="B24" s="65">
        <f>COUNTIF('Inspection Log'!$C$2:$C$5000,$A24)</f>
        <v>0</v>
      </c>
      <c r="C24" s="65">
        <f>COUNTIFS('Inspection Log'!$C$2:$C$5000,$A24,'Inspection Log'!$I$2:$I$5000,"OK")</f>
        <v>0</v>
      </c>
      <c r="D24" s="65">
        <f>COUNTIFS('Inspection Log'!$C$2:$C$5000,$A24,'Inspection Log'!$I$2:$I$5000,"NOT OK")</f>
        <v>0</v>
      </c>
      <c r="E24" s="65">
        <f>COUNTIFS('Inspection Log'!$C$2:$C$5000,$A24,'Inspection Log'!$I$2:$I$5000,"NOT OK")-COUNTIFS('Inspection Log'!$C$2:$C$5000,$A24,'Inspection Log'!$I$2:$I$5000,"NOT OK",'Inspection Log'!$K$2:$K$5000,"Yes")</f>
        <v>0</v>
      </c>
      <c r="F24" s="66">
        <f t="shared" si="1"/>
        <v>0</v>
      </c>
      <c r="G24" s="67" t="s">
        <v>368</v>
      </c>
      <c r="H24" s="52"/>
      <c r="I24" s="65">
        <f>COUNTIFS('Inspection Log'!$F$2:$F$5000,"Plumbing Work")</f>
        <v>31</v>
      </c>
      <c r="J24" s="65">
        <f>COUNTIFS('Inspection Log'!$F$2:$F$5000,"Plumbing Work",'Inspection Log'!$I$2:$I$5000,"OK")</f>
        <v>0</v>
      </c>
      <c r="K24" s="65">
        <f>COUNTIFS('Inspection Log'!$F$2:$F$5000,"Plumbing Work",'Inspection Log'!$I$2:$I$5000,"NOT OK")</f>
        <v>31</v>
      </c>
      <c r="L24" s="66">
        <f t="shared" si="2"/>
        <v>0</v>
      </c>
      <c r="N24" s="13"/>
    </row>
    <row r="25" ht="15.0" customHeight="1">
      <c r="A25" s="62" t="s">
        <v>420</v>
      </c>
      <c r="B25" s="62">
        <f>COUNTIF('Inspection Log'!$C$2:$C$5000,$A25)</f>
        <v>21</v>
      </c>
      <c r="C25" s="62">
        <f>COUNTIFS('Inspection Log'!$C$2:$C$5000,$A25,'Inspection Log'!$I$2:$I$5000,"OK")</f>
        <v>21</v>
      </c>
      <c r="D25" s="62">
        <f>COUNTIFS('Inspection Log'!$C$2:$C$5000,$A25,'Inspection Log'!$I$2:$I$5000,"NOT OK")</f>
        <v>0</v>
      </c>
      <c r="E25" s="62">
        <f>COUNTIFS('Inspection Log'!$C$2:$C$5000,$A25,'Inspection Log'!$I$2:$I$5000,"NOT OK")-COUNTIFS('Inspection Log'!$C$2:$C$5000,$A25,'Inspection Log'!$I$2:$I$5000,"NOT OK",'Inspection Log'!$K$2:$K$5000,"Yes")</f>
        <v>0</v>
      </c>
      <c r="F25" s="63">
        <f t="shared" si="1"/>
        <v>1</v>
      </c>
      <c r="G25" s="64" t="s">
        <v>379</v>
      </c>
      <c r="H25" s="52"/>
      <c r="I25" s="62">
        <f>COUNTIFS('Inspection Log'!$F$2:$F$5000,"False Ceiling Work")</f>
        <v>21</v>
      </c>
      <c r="J25" s="62">
        <f>COUNTIFS('Inspection Log'!$F$2:$F$5000,"False Ceiling Work",'Inspection Log'!$I$2:$I$5000,"OK")</f>
        <v>21</v>
      </c>
      <c r="K25" s="62">
        <f>COUNTIFS('Inspection Log'!$F$2:$F$5000,"False Ceiling Work",'Inspection Log'!$I$2:$I$5000,"NOT OK")</f>
        <v>0</v>
      </c>
      <c r="L25" s="63">
        <f t="shared" si="2"/>
        <v>1</v>
      </c>
      <c r="N25" s="13"/>
    </row>
    <row r="26" ht="15.0" customHeight="1">
      <c r="A26" s="65" t="s">
        <v>421</v>
      </c>
      <c r="B26" s="65">
        <f>COUNTIF('Inspection Log'!$C$2:$C$5000,$A26)</f>
        <v>22</v>
      </c>
      <c r="C26" s="65">
        <f>COUNTIFS('Inspection Log'!$C$2:$C$5000,$A26,'Inspection Log'!$I$2:$I$5000,"OK")</f>
        <v>18</v>
      </c>
      <c r="D26" s="65">
        <f>COUNTIFS('Inspection Log'!$C$2:$C$5000,$A26,'Inspection Log'!$I$2:$I$5000,"NOT OK")</f>
        <v>0</v>
      </c>
      <c r="E26" s="65">
        <f>COUNTIFS('Inspection Log'!$C$2:$C$5000,$A26,'Inspection Log'!$I$2:$I$5000,"NOT OK")-COUNTIFS('Inspection Log'!$C$2:$C$5000,$A26,'Inspection Log'!$I$2:$I$5000,"NOT OK",'Inspection Log'!$K$2:$K$5000,"Yes")</f>
        <v>0</v>
      </c>
      <c r="F26" s="66">
        <f t="shared" si="1"/>
        <v>1</v>
      </c>
      <c r="G26" s="67" t="s">
        <v>423</v>
      </c>
      <c r="H26" s="52"/>
      <c r="I26" s="65">
        <f>COUNTIFS('Inspection Log'!$F$2:$F$5000,"Paint Work")</f>
        <v>0</v>
      </c>
      <c r="J26" s="65">
        <f>COUNTIFS('Inspection Log'!$F$2:$F$5000,"Paint Work",'Inspection Log'!$I$2:$I$5000,"OK")</f>
        <v>0</v>
      </c>
      <c r="K26" s="65">
        <f>COUNTIFS('Inspection Log'!$F$2:$F$5000,"Paint Work",'Inspection Log'!$I$2:$I$5000,"NOT OK")</f>
        <v>0</v>
      </c>
      <c r="L26" s="66">
        <f t="shared" si="2"/>
        <v>0</v>
      </c>
      <c r="N26" s="13"/>
    </row>
    <row r="27" ht="15.0" customHeight="1">
      <c r="A27" s="62" t="s">
        <v>422</v>
      </c>
      <c r="B27" s="62">
        <f>COUNTIF('Inspection Log'!$C$2:$C$5000,$A27)</f>
        <v>31</v>
      </c>
      <c r="C27" s="62">
        <f>COUNTIFS('Inspection Log'!$C$2:$C$5000,$A27,'Inspection Log'!$I$2:$I$5000,"OK")</f>
        <v>0</v>
      </c>
      <c r="D27" s="62">
        <f>COUNTIFS('Inspection Log'!$C$2:$C$5000,$A27,'Inspection Log'!$I$2:$I$5000,"NOT OK")</f>
        <v>31</v>
      </c>
      <c r="E27" s="62">
        <f>COUNTIFS('Inspection Log'!$C$2:$C$5000,$A27,'Inspection Log'!$I$2:$I$5000,"NOT OK")-COUNTIFS('Inspection Log'!$C$2:$C$5000,$A27,'Inspection Log'!$I$2:$I$5000,"NOT OK",'Inspection Log'!$K$2:$K$5000,"Yes")</f>
        <v>31</v>
      </c>
      <c r="F27" s="63">
        <f t="shared" si="1"/>
        <v>0</v>
      </c>
      <c r="G27" s="64" t="s">
        <v>346</v>
      </c>
      <c r="H27" s="52"/>
      <c r="I27" s="62">
        <f>COUNTIFS('Inspection Log'!$F$2:$F$5000,"Landscape Development")</f>
        <v>48</v>
      </c>
      <c r="J27" s="62">
        <f>COUNTIFS('Inspection Log'!$F$2:$F$5000,"Landscape Development",'Inspection Log'!$I$2:$I$5000,"OK")</f>
        <v>28</v>
      </c>
      <c r="K27" s="62">
        <f>COUNTIFS('Inspection Log'!$F$2:$F$5000,"Landscape Development",'Inspection Log'!$I$2:$I$5000,"NOT OK")</f>
        <v>8</v>
      </c>
      <c r="L27" s="63">
        <f t="shared" si="2"/>
        <v>0.7777777778</v>
      </c>
      <c r="N27" s="13"/>
    </row>
    <row r="28" ht="15.0" customHeight="1">
      <c r="A28" s="65" t="s">
        <v>424</v>
      </c>
      <c r="B28" s="65">
        <f>COUNTIF('Inspection Log'!$C$2:$C$5000,$A28)</f>
        <v>0</v>
      </c>
      <c r="C28" s="65">
        <f>COUNTIFS('Inspection Log'!$C$2:$C$5000,$A28,'Inspection Log'!$I$2:$I$5000,"OK")</f>
        <v>0</v>
      </c>
      <c r="D28" s="65">
        <f>COUNTIFS('Inspection Log'!$C$2:$C$5000,$A28,'Inspection Log'!$I$2:$I$5000,"NOT OK")</f>
        <v>0</v>
      </c>
      <c r="E28" s="65">
        <f>COUNTIFS('Inspection Log'!$C$2:$C$5000,$A28,'Inspection Log'!$I$2:$I$5000,"NOT OK")-COUNTIFS('Inspection Log'!$C$2:$C$5000,$A28,'Inspection Log'!$I$2:$I$5000,"NOT OK",'Inspection Log'!$K$2:$K$5000,"Yes")</f>
        <v>0</v>
      </c>
      <c r="F28" s="66">
        <f t="shared" si="1"/>
        <v>0</v>
      </c>
      <c r="G28" s="67" t="s">
        <v>340</v>
      </c>
      <c r="H28" s="52"/>
      <c r="I28" s="65">
        <f>COUNTIFS('Inspection Log'!$F$2:$F$5000,"Fire Fighting Work")</f>
        <v>33</v>
      </c>
      <c r="J28" s="65">
        <f>COUNTIFS('Inspection Log'!$F$2:$F$5000,"Fire Fighting Work",'Inspection Log'!$I$2:$I$5000,"OK")</f>
        <v>6</v>
      </c>
      <c r="K28" s="65">
        <f>COUNTIFS('Inspection Log'!$F$2:$F$5000,"Fire Fighting Work",'Inspection Log'!$I$2:$I$5000,"NOT OK")</f>
        <v>11</v>
      </c>
      <c r="L28" s="66">
        <f t="shared" si="2"/>
        <v>0.3529411765</v>
      </c>
      <c r="N28" s="13"/>
    </row>
    <row r="29" ht="15.0" customHeight="1">
      <c r="A29" s="62" t="s">
        <v>425</v>
      </c>
      <c r="B29" s="62">
        <f>COUNTIF('Inspection Log'!$C$2:$C$5000,$A29)</f>
        <v>0</v>
      </c>
      <c r="C29" s="62">
        <f>COUNTIFS('Inspection Log'!$C$2:$C$5000,$A29,'Inspection Log'!$I$2:$I$5000,"OK")</f>
        <v>0</v>
      </c>
      <c r="D29" s="62">
        <f>COUNTIFS('Inspection Log'!$C$2:$C$5000,$A29,'Inspection Log'!$I$2:$I$5000,"NOT OK")</f>
        <v>0</v>
      </c>
      <c r="E29" s="62">
        <f>COUNTIFS('Inspection Log'!$C$2:$C$5000,$A29,'Inspection Log'!$I$2:$I$5000,"NOT OK")-COUNTIFS('Inspection Log'!$C$2:$C$5000,$A29,'Inspection Log'!$I$2:$I$5000,"NOT OK",'Inspection Log'!$K$2:$K$5000,"Yes")</f>
        <v>0</v>
      </c>
      <c r="F29" s="63">
        <f t="shared" si="1"/>
        <v>0</v>
      </c>
      <c r="G29" s="29"/>
      <c r="H29" s="29"/>
      <c r="I29" s="29"/>
      <c r="J29" s="29"/>
      <c r="K29" s="29"/>
      <c r="L29" s="13"/>
      <c r="N29" s="13"/>
    </row>
    <row r="30" ht="15.0" customHeight="1">
      <c r="A30" s="65" t="s">
        <v>426</v>
      </c>
      <c r="B30" s="65">
        <f>COUNTIF('Inspection Log'!$C$2:$C$5000,$A30)</f>
        <v>24</v>
      </c>
      <c r="C30" s="65">
        <f>COUNTIFS('Inspection Log'!$C$2:$C$5000,$A30,'Inspection Log'!$I$2:$I$5000,"OK")</f>
        <v>4</v>
      </c>
      <c r="D30" s="65">
        <f>COUNTIFS('Inspection Log'!$C$2:$C$5000,$A30,'Inspection Log'!$I$2:$I$5000,"NOT OK")</f>
        <v>8</v>
      </c>
      <c r="E30" s="65">
        <f>COUNTIFS('Inspection Log'!$C$2:$C$5000,$A30,'Inspection Log'!$I$2:$I$5000,"NOT OK")-COUNTIFS('Inspection Log'!$C$2:$C$5000,$A30,'Inspection Log'!$I$2:$I$5000,"NOT OK",'Inspection Log'!$K$2:$K$5000,"Yes")</f>
        <v>8</v>
      </c>
      <c r="F30" s="66">
        <f t="shared" si="1"/>
        <v>0.3333333333</v>
      </c>
      <c r="G30" s="29"/>
      <c r="H30" s="29"/>
      <c r="I30" s="29"/>
      <c r="J30" s="29"/>
      <c r="K30" s="29"/>
      <c r="L30" s="13"/>
      <c r="N30" s="13"/>
    </row>
    <row r="31" ht="15.0" customHeight="1">
      <c r="A31" s="62" t="s">
        <v>427</v>
      </c>
      <c r="B31" s="62">
        <f>COUNTIF('Inspection Log'!$C$2:$C$5000,$A31)</f>
        <v>33</v>
      </c>
      <c r="C31" s="62">
        <f>COUNTIFS('Inspection Log'!$C$2:$C$5000,$A31,'Inspection Log'!$I$2:$I$5000,"OK")</f>
        <v>6</v>
      </c>
      <c r="D31" s="62">
        <f>COUNTIFS('Inspection Log'!$C$2:$C$5000,$A31,'Inspection Log'!$I$2:$I$5000,"NOT OK")</f>
        <v>11</v>
      </c>
      <c r="E31" s="62">
        <f>COUNTIFS('Inspection Log'!$C$2:$C$5000,$A31,'Inspection Log'!$I$2:$I$5000,"NOT OK")-COUNTIFS('Inspection Log'!$C$2:$C$5000,$A31,'Inspection Log'!$I$2:$I$5000,"NOT OK",'Inspection Log'!$K$2:$K$5000,"Yes")</f>
        <v>11</v>
      </c>
      <c r="F31" s="63">
        <f t="shared" si="1"/>
        <v>0.3529411765</v>
      </c>
      <c r="G31" s="29"/>
      <c r="H31" s="29"/>
      <c r="I31" s="29"/>
      <c r="J31" s="29"/>
      <c r="K31" s="29"/>
      <c r="L31" s="13"/>
      <c r="N31" s="13"/>
    </row>
    <row r="32" ht="19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13"/>
      <c r="N32" s="13"/>
    </row>
    <row r="33" ht="19.5" customHeight="1">
      <c r="A33" s="69" t="s">
        <v>506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/>
      <c r="N33" s="13"/>
    </row>
    <row r="34">
      <c r="A34" s="60" t="s">
        <v>2</v>
      </c>
      <c r="B34" s="60" t="s">
        <v>3</v>
      </c>
      <c r="C34" s="60" t="s">
        <v>4</v>
      </c>
      <c r="D34" s="60" t="s">
        <v>505</v>
      </c>
      <c r="E34" s="60" t="s">
        <v>507</v>
      </c>
      <c r="F34" s="60" t="s">
        <v>508</v>
      </c>
      <c r="G34" s="60" t="s">
        <v>509</v>
      </c>
      <c r="H34" s="60" t="s">
        <v>510</v>
      </c>
      <c r="I34" s="13"/>
      <c r="J34" s="13"/>
      <c r="K34" s="13"/>
      <c r="L34" s="70"/>
      <c r="N34" s="13"/>
    </row>
    <row r="35" ht="15.0" customHeight="1">
      <c r="A35" s="71" t="str">
        <f>IFERROR(__xludf.DUMMYFUNCTION("IFERROR(filter('Inspection Log'!C2:J5000,('Inspection Log'!I2:I5000=""NOT OK"")*('Inspection Log'!K2:K5000&lt;&gt;""Yes"")),""No open defects logged yet — all clear"")"),"#REF!")</f>
        <v>#REF!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13"/>
      <c r="N35" s="13"/>
    </row>
    <row r="36" ht="15.0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13"/>
      <c r="N36" s="13"/>
    </row>
    <row r="37" ht="18.0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13"/>
      <c r="N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N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N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N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N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N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N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N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13"/>
    </row>
    <row r="48" ht="19.5" customHeight="1">
      <c r="A48" s="59" t="s">
        <v>511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6"/>
      <c r="N48" s="13"/>
    </row>
    <row r="49" ht="19.5" customHeight="1">
      <c r="A49" s="72" t="s">
        <v>512</v>
      </c>
      <c r="B49" s="58"/>
      <c r="C49" s="52"/>
      <c r="D49" s="73" t="s">
        <v>513</v>
      </c>
      <c r="E49" s="58"/>
      <c r="F49" s="52"/>
      <c r="G49" s="73" t="s">
        <v>514</v>
      </c>
      <c r="H49" s="58"/>
      <c r="I49" s="52"/>
      <c r="J49" s="73" t="s">
        <v>515</v>
      </c>
      <c r="K49" s="58"/>
      <c r="L49" s="52"/>
      <c r="N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N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N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N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N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N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N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N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N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N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N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N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N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N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N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N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N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N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N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N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N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N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N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N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N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N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N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N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N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N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N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N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N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N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N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N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N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N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N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N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N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N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N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N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N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N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N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N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N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N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N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N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N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N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N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N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N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N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N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N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N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N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N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N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N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N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N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N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N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N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N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N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N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N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N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N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N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N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N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N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N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N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N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N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N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N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N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N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N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N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N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N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N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N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N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N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N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N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N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N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N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N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N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N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N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N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N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N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N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N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N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N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N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N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N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N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N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N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N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N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N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N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N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N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N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N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N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N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N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N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N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N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N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N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N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N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N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N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N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N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N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N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N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N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N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N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N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N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N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N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N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N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N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N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N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N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N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N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N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N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N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N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N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N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N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N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N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N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N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N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N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N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N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N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N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N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N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N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N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N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N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N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N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N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N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N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N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N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N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N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N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N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N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N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N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N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N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N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N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N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N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N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N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N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N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N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N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N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N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N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N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N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N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N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N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N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N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N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N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N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N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N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N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N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N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N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N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N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N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N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N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N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N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N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N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N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N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N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N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N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N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N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N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N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N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N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N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N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N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N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N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N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N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N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N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N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N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N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N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N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N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N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N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N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N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N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N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N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N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N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N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N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N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N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N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N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N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N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N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N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N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N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N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N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N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N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N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N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N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N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N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N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N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N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N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N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N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N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N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N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N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N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N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N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N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N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N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N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N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N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N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N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N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N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N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N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N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N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N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N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N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N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N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N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N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N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N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N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N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N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N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N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N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N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N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N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N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N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N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N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N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N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N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N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N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N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N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N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N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N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N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N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N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N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N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N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N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N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N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N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N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N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N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N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N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N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N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N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N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N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N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N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N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N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N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N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N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N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N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N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N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N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N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N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N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N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N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N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N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N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N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N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N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N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N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N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N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N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N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N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N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N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N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N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N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N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N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N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N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N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N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N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N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N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N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N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N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N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N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N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N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N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N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N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N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N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N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N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N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N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N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N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N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N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N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N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N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N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N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N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N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N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N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N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N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N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N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N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N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N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N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N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N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N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N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N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N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N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N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N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N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N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N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N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N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N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N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N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N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N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N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N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N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N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N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N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N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N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N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N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N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N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N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N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N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N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N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N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N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N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N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N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N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N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N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N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N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N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N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N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N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N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N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N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N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N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N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N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N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N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N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N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N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N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N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N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N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N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N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N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N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N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N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N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N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N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N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N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N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N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N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N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N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N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N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N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N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N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N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N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N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N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N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N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N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N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N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N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N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N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N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N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N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N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N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N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N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N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N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N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N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N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N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N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N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N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N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N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N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N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N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N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N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N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N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N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N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N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N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N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N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N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N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N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N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N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N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N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N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N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N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N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N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N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N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N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N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N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N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N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N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N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N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N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N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N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N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N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N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N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N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N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N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N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N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N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N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N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N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N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N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N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N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N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N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N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N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N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N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N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N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N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N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N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N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N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N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N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N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N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N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N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N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N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N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N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N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N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N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N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N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N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N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N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N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N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N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N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N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N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N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N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N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N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N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N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N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N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N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N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N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N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N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N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N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N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N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N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N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N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N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N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N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N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N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N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N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N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N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N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N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N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N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N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N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N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N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N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N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N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N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N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N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N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N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N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N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N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N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N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N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N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N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N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N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N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N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N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N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N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N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N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N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N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N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N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N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N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N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N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N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N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N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N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N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N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N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N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N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N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N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N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N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N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N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N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N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N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N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N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N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N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N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N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N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N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N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N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N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N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N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N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N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N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N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N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N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N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N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N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N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N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N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N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N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N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N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N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N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N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N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N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N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N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N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N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N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N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N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N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N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N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N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N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N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N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N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N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N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N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N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N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N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N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N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N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N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N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N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N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N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N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N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N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N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N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N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N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N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N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N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N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N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N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N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N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N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N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N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N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N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N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N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N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N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N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N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N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N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N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N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N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N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N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N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N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N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N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N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N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N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N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N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N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N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N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N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N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N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N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N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N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N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N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N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N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N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N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N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N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N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N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N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N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N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N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N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N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N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N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N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N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N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N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N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N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N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N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N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N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N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N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N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N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N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N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N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N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N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N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N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N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N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N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N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N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N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N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N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N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N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N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N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N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N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N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N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N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N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N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N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N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N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N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N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N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N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N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N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N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N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N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N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N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N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N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N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N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N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N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N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N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N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N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N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N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N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N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N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N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N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N1000" s="13"/>
    </row>
  </sheetData>
  <mergeCells count="51"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A33:L33"/>
    <mergeCell ref="I5:J5"/>
    <mergeCell ref="K5:L5"/>
    <mergeCell ref="A1:L1"/>
    <mergeCell ref="A2:L2"/>
    <mergeCell ref="A3:L3"/>
    <mergeCell ref="A5:B5"/>
    <mergeCell ref="C5:D5"/>
    <mergeCell ref="E5:F5"/>
    <mergeCell ref="G5:H5"/>
    <mergeCell ref="A6:B7"/>
    <mergeCell ref="C6:D7"/>
    <mergeCell ref="E6:F7"/>
    <mergeCell ref="G6:H7"/>
    <mergeCell ref="I6:J7"/>
    <mergeCell ref="K6:L7"/>
    <mergeCell ref="A9:L9"/>
    <mergeCell ref="G12:H12"/>
    <mergeCell ref="I12:L12"/>
    <mergeCell ref="B11:C11"/>
    <mergeCell ref="E11:F11"/>
    <mergeCell ref="H11:I11"/>
    <mergeCell ref="K11:L11"/>
    <mergeCell ref="A12:B12"/>
    <mergeCell ref="C12:D12"/>
    <mergeCell ref="E12:F12"/>
    <mergeCell ref="A13:B13"/>
    <mergeCell ref="C13:D13"/>
    <mergeCell ref="E13:F13"/>
    <mergeCell ref="G13:H13"/>
    <mergeCell ref="I13:L13"/>
    <mergeCell ref="A15:F15"/>
    <mergeCell ref="G15:L15"/>
    <mergeCell ref="A48:L48"/>
    <mergeCell ref="A49:C49"/>
    <mergeCell ref="D49:F49"/>
    <mergeCell ref="G49:I49"/>
    <mergeCell ref="J49:L49"/>
  </mergeCells>
  <conditionalFormatting sqref="F15:F26">
    <cfRule type="cellIs" dxfId="5" priority="1" operator="greaterThan">
      <formula>0</formula>
    </cfRule>
  </conditionalFormatting>
  <conditionalFormatting sqref="H15:L26">
    <cfRule type="colorScale" priority="2">
      <colorScale>
        <cfvo type="formula" val="0"/>
        <cfvo type="formula" val="0.5"/>
        <cfvo type="formula" val="1"/>
        <color rgb="FFFCE3E4"/>
        <color rgb="FFFFE6A8"/>
        <color rgb="FFC8E6C9"/>
      </colorScale>
    </cfRule>
  </conditionalFormatting>
  <conditionalFormatting sqref="F17:F31">
    <cfRule type="colorScale" priority="3">
      <colorScale>
        <cfvo type="formula" val="0"/>
        <cfvo type="formula" val="0.5"/>
        <cfvo type="formula" val="1"/>
        <color rgb="FFFCE3E4"/>
        <color rgb="FFFFE6A8"/>
        <color rgb="FFC8E6C9"/>
      </colorScale>
    </cfRule>
  </conditionalFormatting>
  <conditionalFormatting sqref="L17:L28">
    <cfRule type="colorScale" priority="4">
      <colorScale>
        <cfvo type="formula" val="0"/>
        <cfvo type="formula" val="0.5"/>
        <cfvo type="formula" val="1"/>
        <color rgb="FFFCE3E4"/>
        <color rgb="FFFFE6A8"/>
        <color rgb="FFC8E6C9"/>
      </colorScale>
    </cfRule>
  </conditionalFormatting>
  <conditionalFormatting sqref="D17:D31">
    <cfRule type="cellIs" dxfId="6" priority="5" operator="greaterThan">
      <formula>0</formula>
    </cfRule>
  </conditionalFormatting>
  <conditionalFormatting sqref="K17:K28">
    <cfRule type="cellIs" dxfId="6" priority="6" operator="greaterThan">
      <formula>0</formula>
    </cfRule>
  </conditionalFormatting>
  <dataValidations>
    <dataValidation type="list" allowBlank="1" showErrorMessage="1" sqref="K11">
      <formula1>"All,RCC Work,Masonry Work,Excavation &amp; Earthwork,Plaster &amp; Waterproofing,Tile Work,Putty Work,Electrical Work,Plumbing Work,False Ceiling Work,Paint Work,Landscape Development,Fire Fighting Work"</formula1>
    </dataValidation>
    <dataValidation type="list" allowBlank="1" showErrorMessage="1" sqref="E11">
      <formula1>"All,Basement,Ground,Podium,1,2,3,4,5,6,7,8,9,10,11,12,13,14,15,16,17,18,19,20,21,22,23,24,25,26,27,28,29,30,31,32,33,34,35,36,37,38,39,40"</formula1>
    </dataValidation>
    <dataValidation type="list" allowBlank="1" showErrorMessage="1" sqref="B11">
      <formula1>"All,1,2,3,4,5,6,7,8,9,10,11,12,13,14,15"</formula1>
    </dataValidation>
    <dataValidation type="list" allowBlank="1" showErrorMessage="1" sqref="H11">
      <formula1>"All,A,B,C,D,E,F,G,H"</formula1>
    </dataValidation>
  </dataValidations>
  <hyperlinks>
    <hyperlink r:id="rId1" location="'Master Checklist'!A1" ref="A49"/>
    <hyperlink r:id="rId2" location="'Inspection Log'!A1" ref="D49"/>
    <hyperlink r:id="rId3" location="'Training Library'!A1" ref="G49"/>
    <hyperlink r:id="rId4" location="'Setup &amp; Sync Guide'!A1" ref="J49"/>
  </hyperlinks>
  <printOptions/>
  <pageMargins bottom="1.0" footer="0.0" header="0.0" left="0.75" right="0.75" top="1.0"/>
  <pageSetup paperSize="9" orientation="portrait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1D22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4" width="22.0"/>
    <col customWidth="1" min="15" max="15" width="12.0"/>
    <col customWidth="1" min="16" max="16" width="22.0"/>
    <col customWidth="1" min="17" max="17" width="13.0"/>
    <col customWidth="1" min="18" max="18" width="14.0"/>
    <col customWidth="1" min="19" max="19" width="22.0"/>
    <col customWidth="1" min="20" max="20" width="30.0"/>
    <col customWidth="1" min="21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4" t="s">
        <v>523</v>
      </c>
      <c r="P1" s="75" t="s">
        <v>510</v>
      </c>
      <c r="Q1" s="75" t="s">
        <v>524</v>
      </c>
      <c r="R1" s="75" t="s">
        <v>525</v>
      </c>
      <c r="S1" s="75" t="s">
        <v>526</v>
      </c>
      <c r="T1" s="75" t="s">
        <v>527</v>
      </c>
    </row>
    <row r="2" ht="20.25" customHeight="1">
      <c r="A2" s="76"/>
      <c r="B2" s="76"/>
      <c r="C2" s="68"/>
      <c r="D2" s="68" t="s">
        <v>528</v>
      </c>
      <c r="E2" s="77" t="s">
        <v>333</v>
      </c>
      <c r="F2" s="77" t="s">
        <v>529</v>
      </c>
      <c r="G2" s="77" t="s">
        <v>530</v>
      </c>
      <c r="H2" s="77" t="s">
        <v>531</v>
      </c>
      <c r="I2" s="68" t="s">
        <v>373</v>
      </c>
      <c r="J2" s="77"/>
      <c r="K2" s="77"/>
      <c r="L2" s="77"/>
      <c r="M2" s="77"/>
      <c r="N2" s="78" t="s">
        <v>532</v>
      </c>
      <c r="O2" s="68" t="str">
        <f t="shared" ref="O2:O312" si="1">IF($I2="OK","",IF($I2="N/A","",IF($J2="","",MAX(0,TODAY()-$J2))))</f>
        <v/>
      </c>
      <c r="P2" s="77"/>
      <c r="Q2" s="77"/>
      <c r="R2" s="77"/>
      <c r="S2" s="77"/>
      <c r="T2" s="77"/>
    </row>
    <row r="3" ht="23.25" customHeight="1">
      <c r="A3" s="79"/>
      <c r="B3" s="79"/>
      <c r="C3" s="79"/>
      <c r="D3" s="79" t="s">
        <v>533</v>
      </c>
      <c r="E3" s="80" t="s">
        <v>333</v>
      </c>
      <c r="F3" s="80" t="s">
        <v>534</v>
      </c>
      <c r="G3" s="80" t="s">
        <v>535</v>
      </c>
      <c r="H3" s="80" t="s">
        <v>536</v>
      </c>
      <c r="I3" s="79" t="s">
        <v>373</v>
      </c>
      <c r="J3" s="80"/>
      <c r="K3" s="80"/>
      <c r="L3" s="80"/>
      <c r="M3" s="81" t="s">
        <v>537</v>
      </c>
      <c r="N3" s="82" t="s">
        <v>538</v>
      </c>
      <c r="O3" s="79" t="str">
        <f t="shared" si="1"/>
        <v/>
      </c>
      <c r="P3" s="80"/>
      <c r="Q3" s="80"/>
      <c r="R3" s="80"/>
      <c r="S3" s="80"/>
      <c r="T3" s="80"/>
    </row>
    <row r="4" ht="23.25" customHeight="1">
      <c r="A4" s="68"/>
      <c r="B4" s="68"/>
      <c r="C4" s="68"/>
      <c r="D4" s="68" t="s">
        <v>539</v>
      </c>
      <c r="E4" s="77" t="s">
        <v>333</v>
      </c>
      <c r="F4" s="77" t="s">
        <v>534</v>
      </c>
      <c r="G4" s="77" t="s">
        <v>540</v>
      </c>
      <c r="H4" s="77" t="s">
        <v>536</v>
      </c>
      <c r="I4" s="68" t="s">
        <v>373</v>
      </c>
      <c r="J4" s="77"/>
      <c r="K4" s="77"/>
      <c r="L4" s="77"/>
      <c r="M4" s="81" t="s">
        <v>537</v>
      </c>
      <c r="N4" s="78" t="s">
        <v>538</v>
      </c>
      <c r="O4" s="68" t="str">
        <f t="shared" si="1"/>
        <v/>
      </c>
      <c r="P4" s="77"/>
      <c r="Q4" s="77"/>
      <c r="R4" s="77"/>
      <c r="S4" s="77"/>
      <c r="T4" s="77"/>
    </row>
    <row r="5" ht="23.25" customHeight="1">
      <c r="A5" s="79"/>
      <c r="B5" s="79"/>
      <c r="C5" s="79"/>
      <c r="D5" s="79" t="s">
        <v>541</v>
      </c>
      <c r="E5" s="80" t="s">
        <v>333</v>
      </c>
      <c r="F5" s="80" t="s">
        <v>534</v>
      </c>
      <c r="G5" s="80" t="s">
        <v>542</v>
      </c>
      <c r="H5" s="80" t="s">
        <v>536</v>
      </c>
      <c r="I5" s="79" t="s">
        <v>373</v>
      </c>
      <c r="J5" s="80"/>
      <c r="K5" s="80"/>
      <c r="L5" s="80"/>
      <c r="M5" s="81" t="s">
        <v>537</v>
      </c>
      <c r="N5" s="82" t="s">
        <v>538</v>
      </c>
      <c r="O5" s="79" t="str">
        <f t="shared" si="1"/>
        <v/>
      </c>
      <c r="P5" s="80"/>
      <c r="Q5" s="80"/>
      <c r="R5" s="80"/>
      <c r="S5" s="80"/>
      <c r="T5" s="80"/>
    </row>
    <row r="6" ht="23.25" customHeight="1">
      <c r="A6" s="68"/>
      <c r="B6" s="68"/>
      <c r="C6" s="68"/>
      <c r="D6" s="68" t="s">
        <v>543</v>
      </c>
      <c r="E6" s="77" t="s">
        <v>333</v>
      </c>
      <c r="F6" s="77" t="s">
        <v>534</v>
      </c>
      <c r="G6" s="77" t="s">
        <v>544</v>
      </c>
      <c r="H6" s="77" t="s">
        <v>536</v>
      </c>
      <c r="I6" s="68" t="s">
        <v>373</v>
      </c>
      <c r="J6" s="77"/>
      <c r="K6" s="77"/>
      <c r="L6" s="77"/>
      <c r="M6" s="81" t="s">
        <v>537</v>
      </c>
      <c r="N6" s="78" t="s">
        <v>538</v>
      </c>
      <c r="O6" s="68" t="str">
        <f t="shared" si="1"/>
        <v/>
      </c>
      <c r="P6" s="77"/>
      <c r="Q6" s="77"/>
      <c r="R6" s="77"/>
      <c r="S6" s="77"/>
      <c r="T6" s="77"/>
    </row>
    <row r="7" ht="23.25" customHeight="1">
      <c r="A7" s="79"/>
      <c r="B7" s="79"/>
      <c r="C7" s="79"/>
      <c r="D7" s="79" t="s">
        <v>545</v>
      </c>
      <c r="E7" s="80" t="s">
        <v>333</v>
      </c>
      <c r="F7" s="80" t="s">
        <v>534</v>
      </c>
      <c r="G7" s="80" t="s">
        <v>546</v>
      </c>
      <c r="H7" s="80" t="s">
        <v>536</v>
      </c>
      <c r="I7" s="79" t="s">
        <v>373</v>
      </c>
      <c r="J7" s="80"/>
      <c r="K7" s="80"/>
      <c r="L7" s="80"/>
      <c r="M7" s="81" t="s">
        <v>537</v>
      </c>
      <c r="N7" s="82" t="s">
        <v>538</v>
      </c>
      <c r="O7" s="79" t="str">
        <f t="shared" si="1"/>
        <v/>
      </c>
      <c r="P7" s="80"/>
      <c r="Q7" s="80"/>
      <c r="R7" s="80"/>
      <c r="S7" s="80"/>
      <c r="T7" s="80"/>
    </row>
    <row r="8" ht="23.25" customHeight="1">
      <c r="A8" s="68"/>
      <c r="B8" s="68"/>
      <c r="C8" s="68"/>
      <c r="D8" s="68" t="s">
        <v>547</v>
      </c>
      <c r="E8" s="77" t="s">
        <v>333</v>
      </c>
      <c r="F8" s="77" t="s">
        <v>534</v>
      </c>
      <c r="G8" s="77" t="s">
        <v>548</v>
      </c>
      <c r="H8" s="77" t="s">
        <v>536</v>
      </c>
      <c r="I8" s="68" t="s">
        <v>373</v>
      </c>
      <c r="J8" s="77"/>
      <c r="K8" s="77"/>
      <c r="L8" s="77"/>
      <c r="M8" s="81" t="s">
        <v>537</v>
      </c>
      <c r="N8" s="78" t="s">
        <v>538</v>
      </c>
      <c r="O8" s="68" t="str">
        <f t="shared" si="1"/>
        <v/>
      </c>
      <c r="P8" s="77"/>
      <c r="Q8" s="77"/>
      <c r="R8" s="77"/>
      <c r="S8" s="77"/>
      <c r="T8" s="77"/>
    </row>
    <row r="9" ht="23.25" customHeight="1">
      <c r="A9" s="79"/>
      <c r="B9" s="79"/>
      <c r="C9" s="79"/>
      <c r="D9" s="79" t="s">
        <v>549</v>
      </c>
      <c r="E9" s="80" t="s">
        <v>333</v>
      </c>
      <c r="F9" s="80" t="s">
        <v>534</v>
      </c>
      <c r="G9" s="80" t="s">
        <v>550</v>
      </c>
      <c r="H9" s="80" t="s">
        <v>536</v>
      </c>
      <c r="I9" s="79" t="s">
        <v>373</v>
      </c>
      <c r="J9" s="80"/>
      <c r="K9" s="80"/>
      <c r="L9" s="80"/>
      <c r="M9" s="81" t="s">
        <v>537</v>
      </c>
      <c r="N9" s="82" t="s">
        <v>538</v>
      </c>
      <c r="O9" s="79" t="str">
        <f t="shared" si="1"/>
        <v/>
      </c>
      <c r="P9" s="80"/>
      <c r="Q9" s="80"/>
      <c r="R9" s="80"/>
      <c r="S9" s="80"/>
      <c r="T9" s="80"/>
    </row>
    <row r="10" ht="23.25" customHeight="1">
      <c r="A10" s="68"/>
      <c r="B10" s="68"/>
      <c r="C10" s="68"/>
      <c r="D10" s="68" t="s">
        <v>551</v>
      </c>
      <c r="E10" s="77" t="s">
        <v>333</v>
      </c>
      <c r="F10" s="77" t="s">
        <v>534</v>
      </c>
      <c r="G10" s="77" t="s">
        <v>552</v>
      </c>
      <c r="H10" s="77" t="s">
        <v>536</v>
      </c>
      <c r="I10" s="68" t="s">
        <v>373</v>
      </c>
      <c r="J10" s="77"/>
      <c r="K10" s="77"/>
      <c r="L10" s="77"/>
      <c r="M10" s="81" t="s">
        <v>537</v>
      </c>
      <c r="N10" s="78" t="s">
        <v>538</v>
      </c>
      <c r="O10" s="68" t="str">
        <f t="shared" si="1"/>
        <v/>
      </c>
      <c r="P10" s="77"/>
      <c r="Q10" s="77"/>
      <c r="R10" s="77"/>
      <c r="S10" s="77"/>
      <c r="T10" s="77"/>
    </row>
    <row r="11" ht="20.25" customHeight="1">
      <c r="A11" s="79"/>
      <c r="B11" s="79"/>
      <c r="C11" s="79"/>
      <c r="D11" s="79" t="s">
        <v>553</v>
      </c>
      <c r="E11" s="80" t="s">
        <v>333</v>
      </c>
      <c r="F11" s="80" t="s">
        <v>554</v>
      </c>
      <c r="G11" s="80" t="s">
        <v>555</v>
      </c>
      <c r="H11" s="80" t="s">
        <v>556</v>
      </c>
      <c r="I11" s="79" t="s">
        <v>373</v>
      </c>
      <c r="J11" s="80"/>
      <c r="K11" s="80"/>
      <c r="L11" s="80"/>
      <c r="M11" s="81" t="s">
        <v>557</v>
      </c>
      <c r="N11" s="82" t="s">
        <v>532</v>
      </c>
      <c r="O11" s="79" t="str">
        <f t="shared" si="1"/>
        <v/>
      </c>
      <c r="P11" s="80"/>
      <c r="Q11" s="80"/>
      <c r="R11" s="80"/>
      <c r="S11" s="80"/>
      <c r="T11" s="80"/>
    </row>
    <row r="12" ht="23.25" customHeight="1">
      <c r="A12" s="68"/>
      <c r="B12" s="68"/>
      <c r="C12" s="68"/>
      <c r="D12" s="68" t="s">
        <v>558</v>
      </c>
      <c r="E12" s="77" t="s">
        <v>333</v>
      </c>
      <c r="F12" s="77" t="s">
        <v>559</v>
      </c>
      <c r="G12" s="77" t="s">
        <v>560</v>
      </c>
      <c r="H12" s="77" t="s">
        <v>536</v>
      </c>
      <c r="I12" s="68" t="s">
        <v>373</v>
      </c>
      <c r="J12" s="77"/>
      <c r="K12" s="77"/>
      <c r="L12" s="77"/>
      <c r="M12" s="77"/>
      <c r="N12" s="78" t="s">
        <v>538</v>
      </c>
      <c r="O12" s="68" t="str">
        <f t="shared" si="1"/>
        <v/>
      </c>
      <c r="P12" s="77"/>
      <c r="Q12" s="77"/>
      <c r="R12" s="77"/>
      <c r="S12" s="77"/>
      <c r="T12" s="77"/>
    </row>
    <row r="13" ht="23.25" customHeight="1">
      <c r="A13" s="79"/>
      <c r="B13" s="79"/>
      <c r="C13" s="79"/>
      <c r="D13" s="79" t="s">
        <v>561</v>
      </c>
      <c r="E13" s="80" t="s">
        <v>333</v>
      </c>
      <c r="F13" s="80" t="s">
        <v>559</v>
      </c>
      <c r="G13" s="80" t="s">
        <v>562</v>
      </c>
      <c r="H13" s="80" t="s">
        <v>536</v>
      </c>
      <c r="I13" s="79" t="s">
        <v>373</v>
      </c>
      <c r="J13" s="80"/>
      <c r="K13" s="80"/>
      <c r="L13" s="80"/>
      <c r="M13" s="80"/>
      <c r="N13" s="82" t="s">
        <v>538</v>
      </c>
      <c r="O13" s="79" t="str">
        <f t="shared" si="1"/>
        <v/>
      </c>
      <c r="P13" s="80"/>
      <c r="Q13" s="80"/>
      <c r="R13" s="80"/>
      <c r="S13" s="80"/>
      <c r="T13" s="80"/>
    </row>
    <row r="14" ht="23.25" customHeight="1">
      <c r="A14" s="68"/>
      <c r="B14" s="68"/>
      <c r="C14" s="68"/>
      <c r="D14" s="68" t="s">
        <v>563</v>
      </c>
      <c r="E14" s="77" t="s">
        <v>333</v>
      </c>
      <c r="F14" s="77" t="s">
        <v>559</v>
      </c>
      <c r="G14" s="77" t="s">
        <v>564</v>
      </c>
      <c r="H14" s="77" t="s">
        <v>536</v>
      </c>
      <c r="I14" s="68" t="s">
        <v>373</v>
      </c>
      <c r="J14" s="77"/>
      <c r="K14" s="77"/>
      <c r="L14" s="77"/>
      <c r="M14" s="81" t="s">
        <v>537</v>
      </c>
      <c r="N14" s="78" t="s">
        <v>538</v>
      </c>
      <c r="O14" s="68" t="str">
        <f t="shared" si="1"/>
        <v/>
      </c>
      <c r="P14" s="77"/>
      <c r="Q14" s="77"/>
      <c r="R14" s="77"/>
      <c r="S14" s="77"/>
      <c r="T14" s="77"/>
    </row>
    <row r="15" ht="23.25" customHeight="1">
      <c r="A15" s="79"/>
      <c r="B15" s="79"/>
      <c r="C15" s="79"/>
      <c r="D15" s="79" t="s">
        <v>565</v>
      </c>
      <c r="E15" s="80" t="s">
        <v>333</v>
      </c>
      <c r="F15" s="80" t="s">
        <v>559</v>
      </c>
      <c r="G15" s="80" t="s">
        <v>566</v>
      </c>
      <c r="H15" s="80" t="s">
        <v>536</v>
      </c>
      <c r="I15" s="79" t="s">
        <v>373</v>
      </c>
      <c r="J15" s="80"/>
      <c r="K15" s="80"/>
      <c r="L15" s="80"/>
      <c r="M15" s="80"/>
      <c r="N15" s="82" t="s">
        <v>538</v>
      </c>
      <c r="O15" s="79" t="str">
        <f t="shared" si="1"/>
        <v/>
      </c>
      <c r="P15" s="80"/>
      <c r="Q15" s="80"/>
      <c r="R15" s="80"/>
      <c r="S15" s="80"/>
      <c r="T15" s="80"/>
    </row>
    <row r="16" ht="23.25" customHeight="1">
      <c r="A16" s="68"/>
      <c r="B16" s="68"/>
      <c r="C16" s="68"/>
      <c r="D16" s="68" t="s">
        <v>567</v>
      </c>
      <c r="E16" s="77" t="s">
        <v>333</v>
      </c>
      <c r="F16" s="77" t="s">
        <v>559</v>
      </c>
      <c r="G16" s="77" t="s">
        <v>568</v>
      </c>
      <c r="H16" s="77" t="s">
        <v>536</v>
      </c>
      <c r="I16" s="68" t="s">
        <v>373</v>
      </c>
      <c r="J16" s="77"/>
      <c r="K16" s="77"/>
      <c r="L16" s="77"/>
      <c r="M16" s="77"/>
      <c r="N16" s="78" t="s">
        <v>538</v>
      </c>
      <c r="O16" s="68" t="str">
        <f t="shared" si="1"/>
        <v/>
      </c>
      <c r="P16" s="77"/>
      <c r="Q16" s="77"/>
      <c r="R16" s="77"/>
      <c r="S16" s="77"/>
      <c r="T16" s="77"/>
    </row>
    <row r="17" ht="23.25" customHeight="1">
      <c r="A17" s="79"/>
      <c r="B17" s="79"/>
      <c r="C17" s="79"/>
      <c r="D17" s="79" t="s">
        <v>569</v>
      </c>
      <c r="E17" s="80" t="s">
        <v>333</v>
      </c>
      <c r="F17" s="80" t="s">
        <v>559</v>
      </c>
      <c r="G17" s="80" t="s">
        <v>570</v>
      </c>
      <c r="H17" s="80" t="s">
        <v>536</v>
      </c>
      <c r="I17" s="79" t="s">
        <v>373</v>
      </c>
      <c r="J17" s="80"/>
      <c r="K17" s="80"/>
      <c r="L17" s="80"/>
      <c r="M17" s="80"/>
      <c r="N17" s="82" t="s">
        <v>538</v>
      </c>
      <c r="O17" s="79" t="str">
        <f t="shared" si="1"/>
        <v/>
      </c>
      <c r="P17" s="80"/>
      <c r="Q17" s="80"/>
      <c r="R17" s="80"/>
      <c r="S17" s="80"/>
      <c r="T17" s="80"/>
    </row>
    <row r="18" ht="15.0" customHeight="1">
      <c r="A18" s="68"/>
      <c r="B18" s="68"/>
      <c r="C18" s="68"/>
      <c r="D18" s="68" t="s">
        <v>571</v>
      </c>
      <c r="E18" s="77" t="s">
        <v>333</v>
      </c>
      <c r="F18" s="77" t="s">
        <v>559</v>
      </c>
      <c r="G18" s="77" t="s">
        <v>572</v>
      </c>
      <c r="H18" s="77" t="s">
        <v>573</v>
      </c>
      <c r="I18" s="68" t="s">
        <v>373</v>
      </c>
      <c r="J18" s="77"/>
      <c r="K18" s="77"/>
      <c r="L18" s="77"/>
      <c r="M18" s="77"/>
      <c r="N18" s="78" t="s">
        <v>538</v>
      </c>
      <c r="O18" s="68" t="str">
        <f t="shared" si="1"/>
        <v/>
      </c>
      <c r="P18" s="77"/>
      <c r="Q18" s="77"/>
      <c r="R18" s="77"/>
      <c r="S18" s="77"/>
      <c r="T18" s="77"/>
    </row>
    <row r="19" ht="23.25" customHeight="1">
      <c r="A19" s="79"/>
      <c r="B19" s="79"/>
      <c r="C19" s="79"/>
      <c r="D19" s="79" t="s">
        <v>574</v>
      </c>
      <c r="E19" s="80" t="s">
        <v>333</v>
      </c>
      <c r="F19" s="80" t="s">
        <v>559</v>
      </c>
      <c r="G19" s="80" t="s">
        <v>575</v>
      </c>
      <c r="H19" s="80" t="s">
        <v>536</v>
      </c>
      <c r="I19" s="79" t="s">
        <v>373</v>
      </c>
      <c r="J19" s="80"/>
      <c r="K19" s="80"/>
      <c r="L19" s="80"/>
      <c r="M19" s="80"/>
      <c r="N19" s="82" t="s">
        <v>538</v>
      </c>
      <c r="O19" s="79" t="str">
        <f t="shared" si="1"/>
        <v/>
      </c>
      <c r="P19" s="80"/>
      <c r="Q19" s="80"/>
      <c r="R19" s="80"/>
      <c r="S19" s="80"/>
      <c r="T19" s="80"/>
    </row>
    <row r="20" ht="23.25" customHeight="1">
      <c r="A20" s="68"/>
      <c r="B20" s="68"/>
      <c r="C20" s="68"/>
      <c r="D20" s="68" t="s">
        <v>576</v>
      </c>
      <c r="E20" s="77" t="s">
        <v>333</v>
      </c>
      <c r="F20" s="77" t="s">
        <v>559</v>
      </c>
      <c r="G20" s="77" t="s">
        <v>577</v>
      </c>
      <c r="H20" s="77" t="s">
        <v>536</v>
      </c>
      <c r="I20" s="68" t="s">
        <v>373</v>
      </c>
      <c r="J20" s="77"/>
      <c r="K20" s="77"/>
      <c r="L20" s="77"/>
      <c r="M20" s="77"/>
      <c r="N20" s="78" t="s">
        <v>538</v>
      </c>
      <c r="O20" s="68" t="str">
        <f t="shared" si="1"/>
        <v/>
      </c>
      <c r="P20" s="77"/>
      <c r="Q20" s="77"/>
      <c r="R20" s="77"/>
      <c r="S20" s="77"/>
      <c r="T20" s="77"/>
    </row>
    <row r="21" ht="23.25" customHeight="1">
      <c r="A21" s="79"/>
      <c r="B21" s="79"/>
      <c r="C21" s="79"/>
      <c r="D21" s="79" t="s">
        <v>578</v>
      </c>
      <c r="E21" s="80" t="s">
        <v>333</v>
      </c>
      <c r="F21" s="80" t="s">
        <v>554</v>
      </c>
      <c r="G21" s="80" t="s">
        <v>579</v>
      </c>
      <c r="H21" s="80" t="s">
        <v>580</v>
      </c>
      <c r="I21" s="79" t="s">
        <v>373</v>
      </c>
      <c r="J21" s="80"/>
      <c r="K21" s="80"/>
      <c r="L21" s="80"/>
      <c r="M21" s="81" t="s">
        <v>537</v>
      </c>
      <c r="N21" s="82" t="s">
        <v>532</v>
      </c>
      <c r="O21" s="79" t="str">
        <f t="shared" si="1"/>
        <v/>
      </c>
      <c r="P21" s="80"/>
      <c r="Q21" s="80"/>
      <c r="R21" s="80"/>
      <c r="S21" s="80"/>
      <c r="T21" s="80"/>
    </row>
    <row r="22" ht="15.0" customHeight="1">
      <c r="A22" s="68"/>
      <c r="B22" s="68"/>
      <c r="C22" s="68"/>
      <c r="D22" s="68" t="s">
        <v>581</v>
      </c>
      <c r="E22" s="77" t="s">
        <v>333</v>
      </c>
      <c r="F22" s="77" t="s">
        <v>582</v>
      </c>
      <c r="G22" s="77" t="s">
        <v>583</v>
      </c>
      <c r="H22" s="77" t="s">
        <v>584</v>
      </c>
      <c r="I22" s="68" t="s">
        <v>373</v>
      </c>
      <c r="J22" s="77"/>
      <c r="K22" s="77"/>
      <c r="L22" s="77"/>
      <c r="M22" s="81" t="s">
        <v>585</v>
      </c>
      <c r="N22" s="78" t="s">
        <v>586</v>
      </c>
      <c r="O22" s="68" t="str">
        <f t="shared" si="1"/>
        <v/>
      </c>
      <c r="P22" s="77"/>
      <c r="Q22" s="77"/>
      <c r="R22" s="77"/>
      <c r="S22" s="77"/>
      <c r="T22" s="77"/>
    </row>
    <row r="23" ht="15.0" customHeight="1">
      <c r="A23" s="79"/>
      <c r="B23" s="79"/>
      <c r="C23" s="79"/>
      <c r="D23" s="79" t="s">
        <v>587</v>
      </c>
      <c r="E23" s="80" t="s">
        <v>333</v>
      </c>
      <c r="F23" s="80" t="s">
        <v>582</v>
      </c>
      <c r="G23" s="80" t="s">
        <v>588</v>
      </c>
      <c r="H23" s="80" t="s">
        <v>589</v>
      </c>
      <c r="I23" s="79" t="s">
        <v>373</v>
      </c>
      <c r="J23" s="80"/>
      <c r="K23" s="80"/>
      <c r="L23" s="80"/>
      <c r="M23" s="81" t="s">
        <v>557</v>
      </c>
      <c r="N23" s="82" t="s">
        <v>586</v>
      </c>
      <c r="O23" s="79" t="str">
        <f t="shared" si="1"/>
        <v/>
      </c>
      <c r="P23" s="80"/>
      <c r="Q23" s="80"/>
      <c r="R23" s="80"/>
      <c r="S23" s="80"/>
      <c r="T23" s="80"/>
    </row>
    <row r="24" ht="15.0" customHeight="1">
      <c r="A24" s="68"/>
      <c r="B24" s="68"/>
      <c r="C24" s="68"/>
      <c r="D24" s="68" t="s">
        <v>590</v>
      </c>
      <c r="E24" s="77" t="s">
        <v>333</v>
      </c>
      <c r="F24" s="77" t="s">
        <v>582</v>
      </c>
      <c r="G24" s="77" t="s">
        <v>591</v>
      </c>
      <c r="H24" s="77" t="s">
        <v>592</v>
      </c>
      <c r="I24" s="68" t="s">
        <v>373</v>
      </c>
      <c r="J24" s="77"/>
      <c r="K24" s="77"/>
      <c r="L24" s="77"/>
      <c r="M24" s="81" t="s">
        <v>557</v>
      </c>
      <c r="N24" s="78" t="s">
        <v>586</v>
      </c>
      <c r="O24" s="68" t="str">
        <f t="shared" si="1"/>
        <v/>
      </c>
      <c r="P24" s="77"/>
      <c r="Q24" s="77"/>
      <c r="R24" s="77"/>
      <c r="S24" s="77"/>
      <c r="T24" s="77"/>
    </row>
    <row r="25" ht="15.0" customHeight="1">
      <c r="A25" s="79"/>
      <c r="B25" s="79"/>
      <c r="C25" s="79"/>
      <c r="D25" s="79" t="s">
        <v>593</v>
      </c>
      <c r="E25" s="80" t="s">
        <v>333</v>
      </c>
      <c r="F25" s="80" t="s">
        <v>582</v>
      </c>
      <c r="G25" s="80" t="s">
        <v>594</v>
      </c>
      <c r="H25" s="80" t="s">
        <v>595</v>
      </c>
      <c r="I25" s="79" t="s">
        <v>373</v>
      </c>
      <c r="J25" s="80"/>
      <c r="K25" s="80"/>
      <c r="L25" s="80"/>
      <c r="M25" s="81" t="s">
        <v>557</v>
      </c>
      <c r="N25" s="82" t="s">
        <v>586</v>
      </c>
      <c r="O25" s="79" t="str">
        <f t="shared" si="1"/>
        <v/>
      </c>
      <c r="P25" s="80"/>
      <c r="Q25" s="80"/>
      <c r="R25" s="80"/>
      <c r="S25" s="80"/>
      <c r="T25" s="80"/>
    </row>
    <row r="26" ht="15.0" customHeight="1">
      <c r="A26" s="68"/>
      <c r="B26" s="68"/>
      <c r="C26" s="68"/>
      <c r="D26" s="68" t="s">
        <v>596</v>
      </c>
      <c r="E26" s="77" t="s">
        <v>333</v>
      </c>
      <c r="F26" s="77" t="s">
        <v>582</v>
      </c>
      <c r="G26" s="77" t="s">
        <v>597</v>
      </c>
      <c r="H26" s="77" t="s">
        <v>598</v>
      </c>
      <c r="I26" s="68" t="s">
        <v>373</v>
      </c>
      <c r="J26" s="77"/>
      <c r="K26" s="77"/>
      <c r="L26" s="77"/>
      <c r="M26" s="81" t="s">
        <v>585</v>
      </c>
      <c r="N26" s="78" t="s">
        <v>586</v>
      </c>
      <c r="O26" s="68" t="str">
        <f t="shared" si="1"/>
        <v/>
      </c>
      <c r="P26" s="77"/>
      <c r="Q26" s="77"/>
      <c r="R26" s="77"/>
      <c r="S26" s="77"/>
      <c r="T26" s="77"/>
    </row>
    <row r="27" ht="15.0" customHeight="1">
      <c r="A27" s="79"/>
      <c r="B27" s="79"/>
      <c r="C27" s="79"/>
      <c r="D27" s="79" t="s">
        <v>599</v>
      </c>
      <c r="E27" s="80" t="s">
        <v>333</v>
      </c>
      <c r="F27" s="80" t="s">
        <v>582</v>
      </c>
      <c r="G27" s="80" t="s">
        <v>600</v>
      </c>
      <c r="H27" s="80" t="s">
        <v>601</v>
      </c>
      <c r="I27" s="79" t="s">
        <v>373</v>
      </c>
      <c r="J27" s="80"/>
      <c r="K27" s="80"/>
      <c r="L27" s="80"/>
      <c r="M27" s="81" t="s">
        <v>557</v>
      </c>
      <c r="N27" s="82" t="s">
        <v>586</v>
      </c>
      <c r="O27" s="79" t="str">
        <f t="shared" si="1"/>
        <v/>
      </c>
      <c r="P27" s="80"/>
      <c r="Q27" s="80"/>
      <c r="R27" s="80"/>
      <c r="S27" s="80"/>
      <c r="T27" s="80"/>
    </row>
    <row r="28" ht="23.25" customHeight="1">
      <c r="A28" s="68"/>
      <c r="B28" s="68"/>
      <c r="C28" s="68"/>
      <c r="D28" s="68" t="s">
        <v>602</v>
      </c>
      <c r="E28" s="77" t="s">
        <v>333</v>
      </c>
      <c r="F28" s="77" t="s">
        <v>603</v>
      </c>
      <c r="G28" s="77" t="s">
        <v>604</v>
      </c>
      <c r="H28" s="77" t="s">
        <v>605</v>
      </c>
      <c r="I28" s="68" t="s">
        <v>373</v>
      </c>
      <c r="J28" s="77"/>
      <c r="K28" s="77"/>
      <c r="L28" s="77"/>
      <c r="M28" s="81" t="s">
        <v>537</v>
      </c>
      <c r="N28" s="78" t="s">
        <v>586</v>
      </c>
      <c r="O28" s="68" t="str">
        <f t="shared" si="1"/>
        <v/>
      </c>
      <c r="P28" s="77"/>
      <c r="Q28" s="77"/>
      <c r="R28" s="77"/>
      <c r="S28" s="77"/>
      <c r="T28" s="77"/>
    </row>
    <row r="29" ht="23.25" customHeight="1">
      <c r="A29" s="79"/>
      <c r="B29" s="79"/>
      <c r="C29" s="79"/>
      <c r="D29" s="79" t="s">
        <v>606</v>
      </c>
      <c r="E29" s="80" t="s">
        <v>333</v>
      </c>
      <c r="F29" s="80" t="s">
        <v>603</v>
      </c>
      <c r="G29" s="80" t="s">
        <v>607</v>
      </c>
      <c r="H29" s="80" t="s">
        <v>608</v>
      </c>
      <c r="I29" s="79" t="s">
        <v>373</v>
      </c>
      <c r="J29" s="80"/>
      <c r="K29" s="80"/>
      <c r="L29" s="80"/>
      <c r="M29" s="81" t="s">
        <v>537</v>
      </c>
      <c r="N29" s="82" t="s">
        <v>586</v>
      </c>
      <c r="O29" s="79" t="str">
        <f t="shared" si="1"/>
        <v/>
      </c>
      <c r="P29" s="80"/>
      <c r="Q29" s="80"/>
      <c r="R29" s="80"/>
      <c r="S29" s="80"/>
      <c r="T29" s="80"/>
    </row>
    <row r="30" ht="23.25" customHeight="1">
      <c r="A30" s="68"/>
      <c r="B30" s="68"/>
      <c r="C30" s="68"/>
      <c r="D30" s="68" t="s">
        <v>609</v>
      </c>
      <c r="E30" s="77" t="s">
        <v>333</v>
      </c>
      <c r="F30" s="77" t="s">
        <v>603</v>
      </c>
      <c r="G30" s="77" t="s">
        <v>610</v>
      </c>
      <c r="H30" s="77" t="s">
        <v>611</v>
      </c>
      <c r="I30" s="68" t="s">
        <v>373</v>
      </c>
      <c r="J30" s="77"/>
      <c r="K30" s="77"/>
      <c r="L30" s="77"/>
      <c r="M30" s="81" t="s">
        <v>537</v>
      </c>
      <c r="N30" s="78" t="s">
        <v>586</v>
      </c>
      <c r="O30" s="68" t="str">
        <f t="shared" si="1"/>
        <v/>
      </c>
      <c r="P30" s="77"/>
      <c r="Q30" s="77"/>
      <c r="R30" s="77"/>
      <c r="S30" s="77"/>
      <c r="T30" s="77"/>
    </row>
    <row r="31" ht="23.25" customHeight="1">
      <c r="A31" s="79"/>
      <c r="B31" s="79"/>
      <c r="C31" s="79"/>
      <c r="D31" s="79" t="s">
        <v>612</v>
      </c>
      <c r="E31" s="80" t="s">
        <v>333</v>
      </c>
      <c r="F31" s="80" t="s">
        <v>603</v>
      </c>
      <c r="G31" s="80" t="s">
        <v>613</v>
      </c>
      <c r="H31" s="80" t="s">
        <v>614</v>
      </c>
      <c r="I31" s="79" t="s">
        <v>373</v>
      </c>
      <c r="J31" s="80"/>
      <c r="K31" s="80"/>
      <c r="L31" s="80"/>
      <c r="M31" s="81" t="s">
        <v>537</v>
      </c>
      <c r="N31" s="82" t="s">
        <v>586</v>
      </c>
      <c r="O31" s="79" t="str">
        <f t="shared" si="1"/>
        <v/>
      </c>
      <c r="P31" s="80"/>
      <c r="Q31" s="80"/>
      <c r="R31" s="80"/>
      <c r="S31" s="80"/>
      <c r="T31" s="80"/>
    </row>
    <row r="32" ht="23.25" customHeight="1">
      <c r="A32" s="68"/>
      <c r="B32" s="68"/>
      <c r="C32" s="68"/>
      <c r="D32" s="68" t="s">
        <v>615</v>
      </c>
      <c r="E32" s="77" t="s">
        <v>333</v>
      </c>
      <c r="F32" s="77" t="s">
        <v>603</v>
      </c>
      <c r="G32" s="77" t="s">
        <v>616</v>
      </c>
      <c r="H32" s="77" t="s">
        <v>617</v>
      </c>
      <c r="I32" s="68" t="s">
        <v>373</v>
      </c>
      <c r="J32" s="77"/>
      <c r="K32" s="77"/>
      <c r="L32" s="77"/>
      <c r="M32" s="81" t="s">
        <v>537</v>
      </c>
      <c r="N32" s="78" t="s">
        <v>586</v>
      </c>
      <c r="O32" s="68" t="str">
        <f t="shared" si="1"/>
        <v/>
      </c>
      <c r="P32" s="77"/>
      <c r="Q32" s="77"/>
      <c r="R32" s="77"/>
      <c r="S32" s="77"/>
      <c r="T32" s="77"/>
    </row>
    <row r="33" ht="23.25" customHeight="1">
      <c r="A33" s="79"/>
      <c r="B33" s="79"/>
      <c r="C33" s="79"/>
      <c r="D33" s="79" t="s">
        <v>618</v>
      </c>
      <c r="E33" s="80" t="s">
        <v>333</v>
      </c>
      <c r="F33" s="80" t="s">
        <v>603</v>
      </c>
      <c r="G33" s="80" t="s">
        <v>619</v>
      </c>
      <c r="H33" s="80" t="s">
        <v>620</v>
      </c>
      <c r="I33" s="79" t="s">
        <v>373</v>
      </c>
      <c r="J33" s="80"/>
      <c r="K33" s="80"/>
      <c r="L33" s="80"/>
      <c r="M33" s="81" t="s">
        <v>537</v>
      </c>
      <c r="N33" s="82" t="s">
        <v>586</v>
      </c>
      <c r="O33" s="79" t="str">
        <f t="shared" si="1"/>
        <v/>
      </c>
      <c r="P33" s="80"/>
      <c r="Q33" s="80"/>
      <c r="R33" s="80"/>
      <c r="S33" s="80"/>
      <c r="T33" s="80"/>
    </row>
    <row r="34" ht="23.25" customHeight="1">
      <c r="A34" s="68"/>
      <c r="B34" s="68"/>
      <c r="C34" s="68"/>
      <c r="D34" s="68" t="s">
        <v>621</v>
      </c>
      <c r="E34" s="77" t="s">
        <v>333</v>
      </c>
      <c r="F34" s="77" t="s">
        <v>603</v>
      </c>
      <c r="G34" s="77" t="s">
        <v>622</v>
      </c>
      <c r="H34" s="77" t="s">
        <v>623</v>
      </c>
      <c r="I34" s="68" t="s">
        <v>373</v>
      </c>
      <c r="J34" s="77"/>
      <c r="K34" s="77"/>
      <c r="L34" s="77"/>
      <c r="M34" s="81" t="s">
        <v>537</v>
      </c>
      <c r="N34" s="78" t="s">
        <v>586</v>
      </c>
      <c r="O34" s="68" t="str">
        <f t="shared" si="1"/>
        <v/>
      </c>
      <c r="P34" s="77"/>
      <c r="Q34" s="77"/>
      <c r="R34" s="77"/>
      <c r="S34" s="77"/>
      <c r="T34" s="77"/>
    </row>
    <row r="35" ht="23.25" customHeight="1">
      <c r="A35" s="79"/>
      <c r="B35" s="79"/>
      <c r="C35" s="79"/>
      <c r="D35" s="79" t="s">
        <v>624</v>
      </c>
      <c r="E35" s="80" t="s">
        <v>333</v>
      </c>
      <c r="F35" s="80" t="s">
        <v>603</v>
      </c>
      <c r="G35" s="80" t="s">
        <v>625</v>
      </c>
      <c r="H35" s="80" t="s">
        <v>626</v>
      </c>
      <c r="I35" s="79" t="s">
        <v>373</v>
      </c>
      <c r="J35" s="80"/>
      <c r="K35" s="80"/>
      <c r="L35" s="80"/>
      <c r="M35" s="81" t="s">
        <v>537</v>
      </c>
      <c r="N35" s="82" t="s">
        <v>586</v>
      </c>
      <c r="O35" s="79" t="str">
        <f t="shared" si="1"/>
        <v/>
      </c>
      <c r="P35" s="80"/>
      <c r="Q35" s="80"/>
      <c r="R35" s="80"/>
      <c r="S35" s="80"/>
      <c r="T35" s="80"/>
    </row>
    <row r="36" ht="23.25" customHeight="1">
      <c r="A36" s="68"/>
      <c r="B36" s="68"/>
      <c r="C36" s="68"/>
      <c r="D36" s="68" t="s">
        <v>627</v>
      </c>
      <c r="E36" s="77" t="s">
        <v>333</v>
      </c>
      <c r="F36" s="77" t="s">
        <v>603</v>
      </c>
      <c r="G36" s="77" t="s">
        <v>628</v>
      </c>
      <c r="H36" s="77" t="s">
        <v>629</v>
      </c>
      <c r="I36" s="68" t="s">
        <v>373</v>
      </c>
      <c r="J36" s="77"/>
      <c r="K36" s="77"/>
      <c r="L36" s="77"/>
      <c r="M36" s="81" t="s">
        <v>537</v>
      </c>
      <c r="N36" s="78" t="s">
        <v>586</v>
      </c>
      <c r="O36" s="68" t="str">
        <f t="shared" si="1"/>
        <v/>
      </c>
      <c r="P36" s="77"/>
      <c r="Q36" s="77"/>
      <c r="R36" s="77"/>
      <c r="S36" s="77"/>
      <c r="T36" s="77"/>
    </row>
    <row r="37" ht="15.0" customHeight="1">
      <c r="A37" s="79"/>
      <c r="B37" s="79"/>
      <c r="C37" s="79"/>
      <c r="D37" s="79" t="s">
        <v>630</v>
      </c>
      <c r="E37" s="80" t="s">
        <v>333</v>
      </c>
      <c r="F37" s="80" t="s">
        <v>631</v>
      </c>
      <c r="G37" s="80" t="s">
        <v>632</v>
      </c>
      <c r="H37" s="80" t="s">
        <v>633</v>
      </c>
      <c r="I37" s="79" t="s">
        <v>373</v>
      </c>
      <c r="J37" s="80"/>
      <c r="K37" s="80"/>
      <c r="L37" s="80"/>
      <c r="M37" s="81" t="s">
        <v>537</v>
      </c>
      <c r="N37" s="82" t="s">
        <v>586</v>
      </c>
      <c r="O37" s="79" t="str">
        <f t="shared" si="1"/>
        <v/>
      </c>
      <c r="P37" s="80"/>
      <c r="Q37" s="80"/>
      <c r="R37" s="80"/>
      <c r="S37" s="80"/>
      <c r="T37" s="80"/>
    </row>
    <row r="38" ht="15.0" customHeight="1">
      <c r="A38" s="68"/>
      <c r="B38" s="68"/>
      <c r="C38" s="68"/>
      <c r="D38" s="68" t="s">
        <v>634</v>
      </c>
      <c r="E38" s="77" t="s">
        <v>333</v>
      </c>
      <c r="F38" s="77" t="s">
        <v>631</v>
      </c>
      <c r="G38" s="77" t="s">
        <v>635</v>
      </c>
      <c r="H38" s="77" t="s">
        <v>636</v>
      </c>
      <c r="I38" s="68" t="s">
        <v>373</v>
      </c>
      <c r="J38" s="77"/>
      <c r="K38" s="77"/>
      <c r="L38" s="77"/>
      <c r="M38" s="77"/>
      <c r="N38" s="78" t="s">
        <v>586</v>
      </c>
      <c r="O38" s="68" t="str">
        <f t="shared" si="1"/>
        <v/>
      </c>
      <c r="P38" s="77"/>
      <c r="Q38" s="77"/>
      <c r="R38" s="77"/>
      <c r="S38" s="77"/>
      <c r="T38" s="77"/>
    </row>
    <row r="39" ht="15.0" customHeight="1">
      <c r="A39" s="79"/>
      <c r="B39" s="79"/>
      <c r="C39" s="79"/>
      <c r="D39" s="79" t="s">
        <v>637</v>
      </c>
      <c r="E39" s="80" t="s">
        <v>333</v>
      </c>
      <c r="F39" s="80" t="s">
        <v>631</v>
      </c>
      <c r="G39" s="80" t="s">
        <v>638</v>
      </c>
      <c r="H39" s="80" t="s">
        <v>639</v>
      </c>
      <c r="I39" s="79" t="s">
        <v>373</v>
      </c>
      <c r="J39" s="80"/>
      <c r="K39" s="80"/>
      <c r="L39" s="80"/>
      <c r="M39" s="80"/>
      <c r="N39" s="82" t="s">
        <v>586</v>
      </c>
      <c r="O39" s="79" t="str">
        <f t="shared" si="1"/>
        <v/>
      </c>
      <c r="P39" s="80"/>
      <c r="Q39" s="80"/>
      <c r="R39" s="80"/>
      <c r="S39" s="80"/>
      <c r="T39" s="80"/>
    </row>
    <row r="40" ht="15.0" customHeight="1">
      <c r="A40" s="68"/>
      <c r="B40" s="68"/>
      <c r="C40" s="68"/>
      <c r="D40" s="68" t="s">
        <v>640</v>
      </c>
      <c r="E40" s="77" t="s">
        <v>333</v>
      </c>
      <c r="F40" s="77" t="s">
        <v>554</v>
      </c>
      <c r="G40" s="77" t="s">
        <v>641</v>
      </c>
      <c r="H40" s="77" t="s">
        <v>642</v>
      </c>
      <c r="I40" s="68" t="s">
        <v>373</v>
      </c>
      <c r="J40" s="77"/>
      <c r="K40" s="77"/>
      <c r="L40" s="77"/>
      <c r="M40" s="77"/>
      <c r="N40" s="78" t="s">
        <v>586</v>
      </c>
      <c r="O40" s="68" t="str">
        <f t="shared" si="1"/>
        <v/>
      </c>
      <c r="P40" s="77"/>
      <c r="Q40" s="77"/>
      <c r="R40" s="77"/>
      <c r="S40" s="77"/>
      <c r="T40" s="77"/>
    </row>
    <row r="41" ht="15.0" customHeight="1">
      <c r="A41" s="79"/>
      <c r="B41" s="79"/>
      <c r="C41" s="79"/>
      <c r="D41" s="79" t="s">
        <v>643</v>
      </c>
      <c r="E41" s="80" t="s">
        <v>333</v>
      </c>
      <c r="F41" s="80" t="s">
        <v>554</v>
      </c>
      <c r="G41" s="80" t="s">
        <v>644</v>
      </c>
      <c r="H41" s="80" t="s">
        <v>645</v>
      </c>
      <c r="I41" s="79" t="s">
        <v>373</v>
      </c>
      <c r="J41" s="80"/>
      <c r="K41" s="80"/>
      <c r="L41" s="80"/>
      <c r="M41" s="80"/>
      <c r="N41" s="82" t="s">
        <v>586</v>
      </c>
      <c r="O41" s="79" t="str">
        <f t="shared" si="1"/>
        <v/>
      </c>
      <c r="P41" s="80"/>
      <c r="Q41" s="80"/>
      <c r="R41" s="80"/>
      <c r="S41" s="80"/>
      <c r="T41" s="80"/>
    </row>
    <row r="42" ht="15.0" customHeight="1">
      <c r="A42" s="68"/>
      <c r="B42" s="68"/>
      <c r="C42" s="68"/>
      <c r="D42" s="68" t="s">
        <v>646</v>
      </c>
      <c r="E42" s="77" t="s">
        <v>333</v>
      </c>
      <c r="F42" s="77" t="s">
        <v>554</v>
      </c>
      <c r="G42" s="77" t="s">
        <v>647</v>
      </c>
      <c r="H42" s="77" t="s">
        <v>648</v>
      </c>
      <c r="I42" s="68" t="s">
        <v>373</v>
      </c>
      <c r="J42" s="77"/>
      <c r="K42" s="77"/>
      <c r="L42" s="77"/>
      <c r="M42" s="77"/>
      <c r="N42" s="78" t="s">
        <v>586</v>
      </c>
      <c r="O42" s="68" t="str">
        <f t="shared" si="1"/>
        <v/>
      </c>
      <c r="P42" s="77"/>
      <c r="Q42" s="77"/>
      <c r="R42" s="77"/>
      <c r="S42" s="77"/>
      <c r="T42" s="77"/>
    </row>
    <row r="43" ht="15.0" customHeight="1">
      <c r="A43" s="79"/>
      <c r="B43" s="79"/>
      <c r="C43" s="79"/>
      <c r="D43" s="79" t="s">
        <v>649</v>
      </c>
      <c r="E43" s="80" t="s">
        <v>333</v>
      </c>
      <c r="F43" s="80" t="s">
        <v>554</v>
      </c>
      <c r="G43" s="80" t="s">
        <v>650</v>
      </c>
      <c r="H43" s="80" t="s">
        <v>651</v>
      </c>
      <c r="I43" s="79" t="s">
        <v>373</v>
      </c>
      <c r="J43" s="80"/>
      <c r="K43" s="80"/>
      <c r="L43" s="80"/>
      <c r="M43" s="80"/>
      <c r="N43" s="82" t="s">
        <v>586</v>
      </c>
      <c r="O43" s="79" t="str">
        <f t="shared" si="1"/>
        <v/>
      </c>
      <c r="P43" s="80"/>
      <c r="Q43" s="80"/>
      <c r="R43" s="80"/>
      <c r="S43" s="80"/>
      <c r="T43" s="80"/>
    </row>
    <row r="44" ht="15.0" customHeight="1">
      <c r="A44" s="68"/>
      <c r="B44" s="68"/>
      <c r="C44" s="68"/>
      <c r="D44" s="68" t="s">
        <v>652</v>
      </c>
      <c r="E44" s="77" t="s">
        <v>333</v>
      </c>
      <c r="F44" s="77" t="s">
        <v>554</v>
      </c>
      <c r="G44" s="77" t="s">
        <v>653</v>
      </c>
      <c r="H44" s="77" t="s">
        <v>654</v>
      </c>
      <c r="I44" s="68" t="s">
        <v>373</v>
      </c>
      <c r="J44" s="77"/>
      <c r="K44" s="77"/>
      <c r="L44" s="77"/>
      <c r="M44" s="77"/>
      <c r="N44" s="78" t="s">
        <v>586</v>
      </c>
      <c r="O44" s="68" t="str">
        <f t="shared" si="1"/>
        <v/>
      </c>
      <c r="P44" s="77"/>
      <c r="Q44" s="77"/>
      <c r="R44" s="77"/>
      <c r="S44" s="77"/>
      <c r="T44" s="77"/>
    </row>
    <row r="45" ht="15.0" customHeight="1">
      <c r="A45" s="79"/>
      <c r="B45" s="79"/>
      <c r="C45" s="79"/>
      <c r="D45" s="79" t="s">
        <v>655</v>
      </c>
      <c r="E45" s="80" t="s">
        <v>333</v>
      </c>
      <c r="F45" s="80" t="s">
        <v>554</v>
      </c>
      <c r="G45" s="80" t="s">
        <v>656</v>
      </c>
      <c r="H45" s="80" t="s">
        <v>657</v>
      </c>
      <c r="I45" s="79" t="s">
        <v>373</v>
      </c>
      <c r="J45" s="80"/>
      <c r="K45" s="80"/>
      <c r="L45" s="80"/>
      <c r="M45" s="80"/>
      <c r="N45" s="82" t="s">
        <v>586</v>
      </c>
      <c r="O45" s="79" t="str">
        <f t="shared" si="1"/>
        <v/>
      </c>
      <c r="P45" s="80"/>
      <c r="Q45" s="80"/>
      <c r="R45" s="80"/>
      <c r="S45" s="80"/>
      <c r="T45" s="80"/>
    </row>
    <row r="46" ht="34.5" customHeight="1">
      <c r="A46" s="68"/>
      <c r="B46" s="68"/>
      <c r="C46" s="68"/>
      <c r="D46" s="68" t="s">
        <v>658</v>
      </c>
      <c r="E46" s="77" t="s">
        <v>333</v>
      </c>
      <c r="F46" s="77" t="s">
        <v>529</v>
      </c>
      <c r="G46" s="77" t="s">
        <v>659</v>
      </c>
      <c r="H46" s="77" t="s">
        <v>660</v>
      </c>
      <c r="I46" s="68" t="s">
        <v>373</v>
      </c>
      <c r="J46" s="77"/>
      <c r="K46" s="77"/>
      <c r="L46" s="77"/>
      <c r="M46" s="77"/>
      <c r="N46" s="78" t="s">
        <v>586</v>
      </c>
      <c r="O46" s="68" t="str">
        <f t="shared" si="1"/>
        <v/>
      </c>
      <c r="P46" s="77"/>
      <c r="Q46" s="77"/>
      <c r="R46" s="77"/>
      <c r="S46" s="77"/>
      <c r="T46" s="77"/>
    </row>
    <row r="47" ht="15.0" customHeight="1">
      <c r="A47" s="79"/>
      <c r="B47" s="79"/>
      <c r="C47" s="79"/>
      <c r="D47" s="79" t="s">
        <v>661</v>
      </c>
      <c r="E47" s="80" t="s">
        <v>333</v>
      </c>
      <c r="F47" s="80" t="s">
        <v>529</v>
      </c>
      <c r="G47" s="80" t="s">
        <v>662</v>
      </c>
      <c r="H47" s="80" t="s">
        <v>663</v>
      </c>
      <c r="I47" s="79" t="s">
        <v>373</v>
      </c>
      <c r="J47" s="80"/>
      <c r="K47" s="80"/>
      <c r="L47" s="80"/>
      <c r="M47" s="81" t="s">
        <v>557</v>
      </c>
      <c r="N47" s="82" t="s">
        <v>586</v>
      </c>
      <c r="O47" s="79" t="str">
        <f t="shared" si="1"/>
        <v/>
      </c>
      <c r="P47" s="80"/>
      <c r="Q47" s="80"/>
      <c r="R47" s="80"/>
      <c r="S47" s="80"/>
      <c r="T47" s="80"/>
    </row>
    <row r="48" ht="15.0" customHeight="1">
      <c r="A48" s="68"/>
      <c r="B48" s="68"/>
      <c r="C48" s="68"/>
      <c r="D48" s="68" t="s">
        <v>664</v>
      </c>
      <c r="E48" s="77" t="s">
        <v>333</v>
      </c>
      <c r="F48" s="77" t="s">
        <v>529</v>
      </c>
      <c r="G48" s="77" t="s">
        <v>665</v>
      </c>
      <c r="H48" s="77" t="s">
        <v>666</v>
      </c>
      <c r="I48" s="68" t="s">
        <v>373</v>
      </c>
      <c r="J48" s="77"/>
      <c r="K48" s="77"/>
      <c r="L48" s="77"/>
      <c r="M48" s="77"/>
      <c r="N48" s="78" t="s">
        <v>586</v>
      </c>
      <c r="O48" s="68" t="str">
        <f t="shared" si="1"/>
        <v/>
      </c>
      <c r="P48" s="77"/>
      <c r="Q48" s="77"/>
      <c r="R48" s="77"/>
      <c r="S48" s="77"/>
      <c r="T48" s="77"/>
    </row>
    <row r="49" ht="23.25" customHeight="1">
      <c r="A49" s="79"/>
      <c r="B49" s="79"/>
      <c r="C49" s="79"/>
      <c r="D49" s="79" t="s">
        <v>667</v>
      </c>
      <c r="E49" s="80" t="s">
        <v>382</v>
      </c>
      <c r="F49" s="80" t="s">
        <v>668</v>
      </c>
      <c r="G49" s="80" t="s">
        <v>669</v>
      </c>
      <c r="H49" s="80" t="s">
        <v>670</v>
      </c>
      <c r="I49" s="79" t="s">
        <v>373</v>
      </c>
      <c r="J49" s="80"/>
      <c r="K49" s="80"/>
      <c r="L49" s="80"/>
      <c r="M49" s="81" t="s">
        <v>585</v>
      </c>
      <c r="N49" s="82" t="s">
        <v>538</v>
      </c>
      <c r="O49" s="79" t="str">
        <f t="shared" si="1"/>
        <v/>
      </c>
      <c r="P49" s="80"/>
      <c r="Q49" s="80"/>
      <c r="R49" s="80"/>
      <c r="S49" s="80"/>
      <c r="T49" s="80"/>
    </row>
    <row r="50" ht="23.25" customHeight="1">
      <c r="A50" s="68"/>
      <c r="B50" s="68"/>
      <c r="C50" s="68"/>
      <c r="D50" s="68" t="s">
        <v>671</v>
      </c>
      <c r="E50" s="77" t="s">
        <v>382</v>
      </c>
      <c r="F50" s="77" t="s">
        <v>668</v>
      </c>
      <c r="G50" s="77" t="s">
        <v>672</v>
      </c>
      <c r="H50" s="77" t="s">
        <v>536</v>
      </c>
      <c r="I50" s="68" t="s">
        <v>373</v>
      </c>
      <c r="J50" s="77"/>
      <c r="K50" s="77"/>
      <c r="L50" s="77"/>
      <c r="M50" s="81" t="s">
        <v>585</v>
      </c>
      <c r="N50" s="78" t="s">
        <v>538</v>
      </c>
      <c r="O50" s="68" t="str">
        <f t="shared" si="1"/>
        <v/>
      </c>
      <c r="P50" s="77"/>
      <c r="Q50" s="77"/>
      <c r="R50" s="77"/>
      <c r="S50" s="77"/>
      <c r="T50" s="77"/>
    </row>
    <row r="51" ht="23.25" customHeight="1">
      <c r="A51" s="79"/>
      <c r="B51" s="79"/>
      <c r="C51" s="79"/>
      <c r="D51" s="79" t="s">
        <v>673</v>
      </c>
      <c r="E51" s="80" t="s">
        <v>382</v>
      </c>
      <c r="F51" s="80" t="s">
        <v>668</v>
      </c>
      <c r="G51" s="80" t="s">
        <v>674</v>
      </c>
      <c r="H51" s="80" t="s">
        <v>675</v>
      </c>
      <c r="I51" s="79" t="s">
        <v>373</v>
      </c>
      <c r="J51" s="80"/>
      <c r="K51" s="80"/>
      <c r="L51" s="80"/>
      <c r="M51" s="81" t="s">
        <v>585</v>
      </c>
      <c r="N51" s="82" t="s">
        <v>538</v>
      </c>
      <c r="O51" s="79" t="str">
        <f t="shared" si="1"/>
        <v/>
      </c>
      <c r="P51" s="80"/>
      <c r="Q51" s="80"/>
      <c r="R51" s="80"/>
      <c r="S51" s="80"/>
      <c r="T51" s="80"/>
    </row>
    <row r="52" ht="23.25" customHeight="1">
      <c r="A52" s="68"/>
      <c r="B52" s="68"/>
      <c r="C52" s="68"/>
      <c r="D52" s="68" t="s">
        <v>676</v>
      </c>
      <c r="E52" s="77" t="s">
        <v>382</v>
      </c>
      <c r="F52" s="77" t="s">
        <v>668</v>
      </c>
      <c r="G52" s="77" t="s">
        <v>677</v>
      </c>
      <c r="H52" s="77" t="s">
        <v>536</v>
      </c>
      <c r="I52" s="68" t="s">
        <v>373</v>
      </c>
      <c r="J52" s="77"/>
      <c r="K52" s="77"/>
      <c r="L52" s="77"/>
      <c r="M52" s="81" t="s">
        <v>585</v>
      </c>
      <c r="N52" s="78" t="s">
        <v>538</v>
      </c>
      <c r="O52" s="68" t="str">
        <f t="shared" si="1"/>
        <v/>
      </c>
      <c r="P52" s="77"/>
      <c r="Q52" s="77"/>
      <c r="R52" s="77"/>
      <c r="S52" s="77"/>
      <c r="T52" s="77"/>
    </row>
    <row r="53" ht="23.25" customHeight="1">
      <c r="A53" s="79"/>
      <c r="B53" s="79"/>
      <c r="C53" s="79"/>
      <c r="D53" s="79" t="s">
        <v>678</v>
      </c>
      <c r="E53" s="80" t="s">
        <v>382</v>
      </c>
      <c r="F53" s="80" t="s">
        <v>668</v>
      </c>
      <c r="G53" s="80" t="s">
        <v>679</v>
      </c>
      <c r="H53" s="80" t="s">
        <v>536</v>
      </c>
      <c r="I53" s="79" t="s">
        <v>373</v>
      </c>
      <c r="J53" s="80"/>
      <c r="K53" s="80"/>
      <c r="L53" s="80"/>
      <c r="M53" s="81" t="s">
        <v>585</v>
      </c>
      <c r="N53" s="82" t="s">
        <v>538</v>
      </c>
      <c r="O53" s="79" t="str">
        <f t="shared" si="1"/>
        <v/>
      </c>
      <c r="P53" s="80"/>
      <c r="Q53" s="80"/>
      <c r="R53" s="80"/>
      <c r="S53" s="80"/>
      <c r="T53" s="80"/>
    </row>
    <row r="54" ht="23.25" customHeight="1">
      <c r="A54" s="68"/>
      <c r="B54" s="68"/>
      <c r="C54" s="68"/>
      <c r="D54" s="68" t="s">
        <v>680</v>
      </c>
      <c r="E54" s="77" t="s">
        <v>382</v>
      </c>
      <c r="F54" s="77" t="s">
        <v>668</v>
      </c>
      <c r="G54" s="77" t="s">
        <v>681</v>
      </c>
      <c r="H54" s="77" t="s">
        <v>536</v>
      </c>
      <c r="I54" s="68" t="s">
        <v>373</v>
      </c>
      <c r="J54" s="77"/>
      <c r="K54" s="77"/>
      <c r="L54" s="77"/>
      <c r="M54" s="81" t="s">
        <v>585</v>
      </c>
      <c r="N54" s="78" t="s">
        <v>538</v>
      </c>
      <c r="O54" s="68" t="str">
        <f t="shared" si="1"/>
        <v/>
      </c>
      <c r="P54" s="77"/>
      <c r="Q54" s="77"/>
      <c r="R54" s="77"/>
      <c r="S54" s="77"/>
      <c r="T54" s="77"/>
    </row>
    <row r="55" ht="23.25" customHeight="1">
      <c r="A55" s="79"/>
      <c r="B55" s="79"/>
      <c r="C55" s="79"/>
      <c r="D55" s="79" t="s">
        <v>682</v>
      </c>
      <c r="E55" s="80" t="s">
        <v>382</v>
      </c>
      <c r="F55" s="80" t="s">
        <v>668</v>
      </c>
      <c r="G55" s="80" t="s">
        <v>683</v>
      </c>
      <c r="H55" s="80" t="s">
        <v>684</v>
      </c>
      <c r="I55" s="79" t="s">
        <v>373</v>
      </c>
      <c r="J55" s="80"/>
      <c r="K55" s="80"/>
      <c r="L55" s="80"/>
      <c r="M55" s="81" t="s">
        <v>585</v>
      </c>
      <c r="N55" s="82" t="s">
        <v>538</v>
      </c>
      <c r="O55" s="79" t="str">
        <f t="shared" si="1"/>
        <v/>
      </c>
      <c r="P55" s="80"/>
      <c r="Q55" s="80"/>
      <c r="R55" s="80"/>
      <c r="S55" s="80"/>
      <c r="T55" s="80"/>
    </row>
    <row r="56" ht="15.0" customHeight="1">
      <c r="A56" s="68"/>
      <c r="B56" s="68"/>
      <c r="C56" s="68"/>
      <c r="D56" s="68" t="s">
        <v>685</v>
      </c>
      <c r="E56" s="77" t="s">
        <v>382</v>
      </c>
      <c r="F56" s="77" t="s">
        <v>668</v>
      </c>
      <c r="G56" s="77" t="s">
        <v>686</v>
      </c>
      <c r="H56" s="77" t="s">
        <v>687</v>
      </c>
      <c r="I56" s="68" t="s">
        <v>373</v>
      </c>
      <c r="J56" s="77"/>
      <c r="K56" s="77"/>
      <c r="L56" s="77"/>
      <c r="M56" s="81" t="s">
        <v>585</v>
      </c>
      <c r="N56" s="78" t="s">
        <v>538</v>
      </c>
      <c r="O56" s="68" t="str">
        <f t="shared" si="1"/>
        <v/>
      </c>
      <c r="P56" s="77"/>
      <c r="Q56" s="77"/>
      <c r="R56" s="77"/>
      <c r="S56" s="77"/>
      <c r="T56" s="77"/>
    </row>
    <row r="57" ht="23.25" customHeight="1">
      <c r="A57" s="79"/>
      <c r="B57" s="79"/>
      <c r="C57" s="79"/>
      <c r="D57" s="79" t="s">
        <v>688</v>
      </c>
      <c r="E57" s="80" t="s">
        <v>382</v>
      </c>
      <c r="F57" s="80" t="s">
        <v>689</v>
      </c>
      <c r="G57" s="80" t="s">
        <v>690</v>
      </c>
      <c r="H57" s="80" t="s">
        <v>536</v>
      </c>
      <c r="I57" s="79" t="s">
        <v>373</v>
      </c>
      <c r="J57" s="80"/>
      <c r="K57" s="80"/>
      <c r="L57" s="80"/>
      <c r="M57" s="81" t="s">
        <v>585</v>
      </c>
      <c r="N57" s="82" t="s">
        <v>538</v>
      </c>
      <c r="O57" s="79" t="str">
        <f t="shared" si="1"/>
        <v/>
      </c>
      <c r="P57" s="80"/>
      <c r="Q57" s="80"/>
      <c r="R57" s="80"/>
      <c r="S57" s="80"/>
      <c r="T57" s="80"/>
    </row>
    <row r="58" ht="23.25" customHeight="1">
      <c r="A58" s="68"/>
      <c r="B58" s="68"/>
      <c r="C58" s="68"/>
      <c r="D58" s="68" t="s">
        <v>691</v>
      </c>
      <c r="E58" s="77" t="s">
        <v>382</v>
      </c>
      <c r="F58" s="77" t="s">
        <v>689</v>
      </c>
      <c r="G58" s="77" t="s">
        <v>692</v>
      </c>
      <c r="H58" s="77" t="s">
        <v>536</v>
      </c>
      <c r="I58" s="68" t="s">
        <v>373</v>
      </c>
      <c r="J58" s="77"/>
      <c r="K58" s="77"/>
      <c r="L58" s="77"/>
      <c r="M58" s="81" t="s">
        <v>585</v>
      </c>
      <c r="N58" s="78" t="s">
        <v>538</v>
      </c>
      <c r="O58" s="68" t="str">
        <f t="shared" si="1"/>
        <v/>
      </c>
      <c r="P58" s="77"/>
      <c r="Q58" s="77"/>
      <c r="R58" s="77"/>
      <c r="S58" s="77"/>
      <c r="T58" s="77"/>
    </row>
    <row r="59" ht="23.25" customHeight="1">
      <c r="A59" s="79"/>
      <c r="B59" s="79"/>
      <c r="C59" s="79"/>
      <c r="D59" s="79" t="s">
        <v>693</v>
      </c>
      <c r="E59" s="80" t="s">
        <v>382</v>
      </c>
      <c r="F59" s="80" t="s">
        <v>689</v>
      </c>
      <c r="G59" s="80" t="s">
        <v>694</v>
      </c>
      <c r="H59" s="80" t="s">
        <v>687</v>
      </c>
      <c r="I59" s="79" t="s">
        <v>373</v>
      </c>
      <c r="J59" s="80"/>
      <c r="K59" s="80"/>
      <c r="L59" s="80"/>
      <c r="M59" s="81" t="s">
        <v>585</v>
      </c>
      <c r="N59" s="82" t="s">
        <v>538</v>
      </c>
      <c r="O59" s="79" t="str">
        <f t="shared" si="1"/>
        <v/>
      </c>
      <c r="P59" s="80"/>
      <c r="Q59" s="80"/>
      <c r="R59" s="80"/>
      <c r="S59" s="80"/>
      <c r="T59" s="80"/>
    </row>
    <row r="60" ht="15.0" customHeight="1">
      <c r="A60" s="68"/>
      <c r="B60" s="68"/>
      <c r="C60" s="68"/>
      <c r="D60" s="68" t="s">
        <v>695</v>
      </c>
      <c r="E60" s="77" t="s">
        <v>382</v>
      </c>
      <c r="F60" s="77" t="s">
        <v>689</v>
      </c>
      <c r="G60" s="77" t="s">
        <v>696</v>
      </c>
      <c r="H60" s="77" t="s">
        <v>573</v>
      </c>
      <c r="I60" s="68" t="s">
        <v>373</v>
      </c>
      <c r="J60" s="77"/>
      <c r="K60" s="77"/>
      <c r="L60" s="77"/>
      <c r="M60" s="81" t="s">
        <v>585</v>
      </c>
      <c r="N60" s="78" t="s">
        <v>538</v>
      </c>
      <c r="O60" s="68" t="str">
        <f t="shared" si="1"/>
        <v/>
      </c>
      <c r="P60" s="77"/>
      <c r="Q60" s="77"/>
      <c r="R60" s="77"/>
      <c r="S60" s="77"/>
      <c r="T60" s="77"/>
    </row>
    <row r="61" ht="23.25" customHeight="1">
      <c r="A61" s="79"/>
      <c r="B61" s="79"/>
      <c r="C61" s="79"/>
      <c r="D61" s="79" t="s">
        <v>697</v>
      </c>
      <c r="E61" s="80" t="s">
        <v>382</v>
      </c>
      <c r="F61" s="80" t="s">
        <v>689</v>
      </c>
      <c r="G61" s="80" t="s">
        <v>698</v>
      </c>
      <c r="H61" s="80" t="s">
        <v>536</v>
      </c>
      <c r="I61" s="79" t="s">
        <v>373</v>
      </c>
      <c r="J61" s="80"/>
      <c r="K61" s="80"/>
      <c r="L61" s="80"/>
      <c r="M61" s="81" t="s">
        <v>585</v>
      </c>
      <c r="N61" s="82" t="s">
        <v>538</v>
      </c>
      <c r="O61" s="79" t="str">
        <f t="shared" si="1"/>
        <v/>
      </c>
      <c r="P61" s="80"/>
      <c r="Q61" s="80"/>
      <c r="R61" s="80"/>
      <c r="S61" s="80"/>
      <c r="T61" s="80"/>
    </row>
    <row r="62" ht="23.25" customHeight="1">
      <c r="A62" s="68"/>
      <c r="B62" s="68"/>
      <c r="C62" s="68"/>
      <c r="D62" s="68" t="s">
        <v>699</v>
      </c>
      <c r="E62" s="77" t="s">
        <v>382</v>
      </c>
      <c r="F62" s="77" t="s">
        <v>689</v>
      </c>
      <c r="G62" s="77" t="s">
        <v>700</v>
      </c>
      <c r="H62" s="77" t="s">
        <v>536</v>
      </c>
      <c r="I62" s="68" t="s">
        <v>373</v>
      </c>
      <c r="J62" s="77"/>
      <c r="K62" s="77"/>
      <c r="L62" s="77"/>
      <c r="M62" s="81" t="s">
        <v>585</v>
      </c>
      <c r="N62" s="78" t="s">
        <v>538</v>
      </c>
      <c r="O62" s="68" t="str">
        <f t="shared" si="1"/>
        <v/>
      </c>
      <c r="P62" s="77"/>
      <c r="Q62" s="77"/>
      <c r="R62" s="77"/>
      <c r="S62" s="77"/>
      <c r="T62" s="77"/>
    </row>
    <row r="63" ht="15.0" customHeight="1">
      <c r="A63" s="79"/>
      <c r="B63" s="79"/>
      <c r="C63" s="79"/>
      <c r="D63" s="79" t="s">
        <v>701</v>
      </c>
      <c r="E63" s="80" t="s">
        <v>382</v>
      </c>
      <c r="F63" s="80" t="s">
        <v>689</v>
      </c>
      <c r="G63" s="80" t="s">
        <v>702</v>
      </c>
      <c r="H63" s="80" t="s">
        <v>703</v>
      </c>
      <c r="I63" s="79" t="s">
        <v>373</v>
      </c>
      <c r="J63" s="80"/>
      <c r="K63" s="80"/>
      <c r="L63" s="80"/>
      <c r="M63" s="81" t="s">
        <v>585</v>
      </c>
      <c r="N63" s="82" t="s">
        <v>538</v>
      </c>
      <c r="O63" s="79" t="str">
        <f t="shared" si="1"/>
        <v/>
      </c>
      <c r="P63" s="80"/>
      <c r="Q63" s="80"/>
      <c r="R63" s="80"/>
      <c r="S63" s="80"/>
      <c r="T63" s="80"/>
    </row>
    <row r="64" ht="23.25" customHeight="1">
      <c r="A64" s="68"/>
      <c r="B64" s="68"/>
      <c r="C64" s="68"/>
      <c r="D64" s="68" t="s">
        <v>704</v>
      </c>
      <c r="E64" s="77" t="s">
        <v>382</v>
      </c>
      <c r="F64" s="77" t="s">
        <v>689</v>
      </c>
      <c r="G64" s="77" t="s">
        <v>705</v>
      </c>
      <c r="H64" s="77" t="s">
        <v>706</v>
      </c>
      <c r="I64" s="68" t="s">
        <v>373</v>
      </c>
      <c r="J64" s="77"/>
      <c r="K64" s="77"/>
      <c r="L64" s="77"/>
      <c r="M64" s="81" t="s">
        <v>585</v>
      </c>
      <c r="N64" s="78" t="s">
        <v>538</v>
      </c>
      <c r="O64" s="68" t="str">
        <f t="shared" si="1"/>
        <v/>
      </c>
      <c r="P64" s="77"/>
      <c r="Q64" s="77"/>
      <c r="R64" s="77"/>
      <c r="S64" s="77"/>
      <c r="T64" s="77"/>
    </row>
    <row r="65" ht="23.25" customHeight="1">
      <c r="A65" s="79"/>
      <c r="B65" s="79"/>
      <c r="C65" s="79"/>
      <c r="D65" s="79" t="s">
        <v>707</v>
      </c>
      <c r="E65" s="80" t="s">
        <v>365</v>
      </c>
      <c r="F65" s="80" t="s">
        <v>708</v>
      </c>
      <c r="G65" s="80" t="s">
        <v>709</v>
      </c>
      <c r="H65" s="80" t="s">
        <v>670</v>
      </c>
      <c r="I65" s="79" t="s">
        <v>373</v>
      </c>
      <c r="J65" s="80"/>
      <c r="K65" s="80"/>
      <c r="L65" s="80"/>
      <c r="M65" s="80"/>
      <c r="N65" s="82" t="s">
        <v>538</v>
      </c>
      <c r="O65" s="79" t="str">
        <f t="shared" si="1"/>
        <v/>
      </c>
      <c r="P65" s="80"/>
      <c r="Q65" s="80"/>
      <c r="R65" s="80"/>
      <c r="S65" s="80"/>
      <c r="T65" s="80"/>
    </row>
    <row r="66" ht="23.25" customHeight="1">
      <c r="A66" s="68"/>
      <c r="B66" s="68"/>
      <c r="C66" s="68"/>
      <c r="D66" s="68" t="s">
        <v>710</v>
      </c>
      <c r="E66" s="77" t="s">
        <v>365</v>
      </c>
      <c r="F66" s="77" t="s">
        <v>708</v>
      </c>
      <c r="G66" s="77" t="s">
        <v>711</v>
      </c>
      <c r="H66" s="77" t="s">
        <v>536</v>
      </c>
      <c r="I66" s="68" t="s">
        <v>373</v>
      </c>
      <c r="J66" s="77"/>
      <c r="K66" s="77"/>
      <c r="L66" s="77"/>
      <c r="M66" s="77"/>
      <c r="N66" s="78" t="s">
        <v>538</v>
      </c>
      <c r="O66" s="68" t="str">
        <f t="shared" si="1"/>
        <v/>
      </c>
      <c r="P66" s="77"/>
      <c r="Q66" s="77"/>
      <c r="R66" s="77"/>
      <c r="S66" s="77"/>
      <c r="T66" s="77"/>
    </row>
    <row r="67" ht="23.25" customHeight="1">
      <c r="A67" s="79"/>
      <c r="B67" s="79"/>
      <c r="C67" s="79"/>
      <c r="D67" s="79" t="s">
        <v>712</v>
      </c>
      <c r="E67" s="80" t="s">
        <v>365</v>
      </c>
      <c r="F67" s="80" t="s">
        <v>708</v>
      </c>
      <c r="G67" s="80" t="s">
        <v>713</v>
      </c>
      <c r="H67" s="80" t="s">
        <v>536</v>
      </c>
      <c r="I67" s="79" t="s">
        <v>373</v>
      </c>
      <c r="J67" s="80"/>
      <c r="K67" s="80"/>
      <c r="L67" s="80"/>
      <c r="M67" s="80"/>
      <c r="N67" s="82" t="s">
        <v>538</v>
      </c>
      <c r="O67" s="79" t="str">
        <f t="shared" si="1"/>
        <v/>
      </c>
      <c r="P67" s="80"/>
      <c r="Q67" s="80"/>
      <c r="R67" s="80"/>
      <c r="S67" s="80"/>
      <c r="T67" s="80"/>
    </row>
    <row r="68" ht="23.25" customHeight="1">
      <c r="A68" s="68"/>
      <c r="B68" s="68"/>
      <c r="C68" s="68"/>
      <c r="D68" s="68" t="s">
        <v>714</v>
      </c>
      <c r="E68" s="77" t="s">
        <v>365</v>
      </c>
      <c r="F68" s="77" t="s">
        <v>708</v>
      </c>
      <c r="G68" s="77" t="s">
        <v>715</v>
      </c>
      <c r="H68" s="77" t="s">
        <v>573</v>
      </c>
      <c r="I68" s="68" t="s">
        <v>373</v>
      </c>
      <c r="J68" s="77"/>
      <c r="K68" s="77"/>
      <c r="L68" s="77"/>
      <c r="M68" s="77"/>
      <c r="N68" s="78" t="s">
        <v>538</v>
      </c>
      <c r="O68" s="68" t="str">
        <f t="shared" si="1"/>
        <v/>
      </c>
      <c r="P68" s="77"/>
      <c r="Q68" s="77"/>
      <c r="R68" s="77"/>
      <c r="S68" s="77"/>
      <c r="T68" s="77"/>
    </row>
    <row r="69" ht="23.25" customHeight="1">
      <c r="A69" s="79"/>
      <c r="B69" s="79"/>
      <c r="C69" s="79"/>
      <c r="D69" s="79" t="s">
        <v>716</v>
      </c>
      <c r="E69" s="80" t="s">
        <v>365</v>
      </c>
      <c r="F69" s="80" t="s">
        <v>708</v>
      </c>
      <c r="G69" s="80" t="s">
        <v>717</v>
      </c>
      <c r="H69" s="80" t="s">
        <v>536</v>
      </c>
      <c r="I69" s="79" t="s">
        <v>373</v>
      </c>
      <c r="J69" s="80"/>
      <c r="K69" s="80"/>
      <c r="L69" s="80"/>
      <c r="M69" s="80"/>
      <c r="N69" s="82" t="s">
        <v>538</v>
      </c>
      <c r="O69" s="79" t="str">
        <f t="shared" si="1"/>
        <v/>
      </c>
      <c r="P69" s="80"/>
      <c r="Q69" s="80"/>
      <c r="R69" s="80"/>
      <c r="S69" s="80"/>
      <c r="T69" s="80"/>
    </row>
    <row r="70" ht="23.25" customHeight="1">
      <c r="A70" s="68"/>
      <c r="B70" s="68"/>
      <c r="C70" s="68"/>
      <c r="D70" s="68" t="s">
        <v>718</v>
      </c>
      <c r="E70" s="77" t="s">
        <v>365</v>
      </c>
      <c r="F70" s="77" t="s">
        <v>708</v>
      </c>
      <c r="G70" s="77" t="s">
        <v>719</v>
      </c>
      <c r="H70" s="77" t="s">
        <v>536</v>
      </c>
      <c r="I70" s="68" t="s">
        <v>373</v>
      </c>
      <c r="J70" s="77"/>
      <c r="K70" s="77"/>
      <c r="L70" s="77"/>
      <c r="M70" s="77"/>
      <c r="N70" s="78" t="s">
        <v>538</v>
      </c>
      <c r="O70" s="68" t="str">
        <f t="shared" si="1"/>
        <v/>
      </c>
      <c r="P70" s="77"/>
      <c r="Q70" s="77"/>
      <c r="R70" s="77"/>
      <c r="S70" s="77"/>
      <c r="T70" s="77"/>
    </row>
    <row r="71" ht="23.25" customHeight="1">
      <c r="A71" s="79"/>
      <c r="B71" s="79"/>
      <c r="C71" s="79"/>
      <c r="D71" s="79" t="s">
        <v>720</v>
      </c>
      <c r="E71" s="80" t="s">
        <v>365</v>
      </c>
      <c r="F71" s="80" t="s">
        <v>708</v>
      </c>
      <c r="G71" s="80" t="s">
        <v>721</v>
      </c>
      <c r="H71" s="80" t="s">
        <v>722</v>
      </c>
      <c r="I71" s="79" t="s">
        <v>373</v>
      </c>
      <c r="J71" s="80"/>
      <c r="K71" s="80"/>
      <c r="L71" s="80"/>
      <c r="M71" s="80"/>
      <c r="N71" s="82" t="s">
        <v>538</v>
      </c>
      <c r="O71" s="79" t="str">
        <f t="shared" si="1"/>
        <v/>
      </c>
      <c r="P71" s="80"/>
      <c r="Q71" s="80"/>
      <c r="R71" s="80"/>
      <c r="S71" s="80"/>
      <c r="T71" s="80"/>
    </row>
    <row r="72" ht="23.25" customHeight="1">
      <c r="A72" s="68"/>
      <c r="B72" s="68"/>
      <c r="C72" s="68"/>
      <c r="D72" s="68" t="s">
        <v>723</v>
      </c>
      <c r="E72" s="77" t="s">
        <v>365</v>
      </c>
      <c r="F72" s="77" t="s">
        <v>708</v>
      </c>
      <c r="G72" s="77" t="s">
        <v>724</v>
      </c>
      <c r="H72" s="77" t="s">
        <v>536</v>
      </c>
      <c r="I72" s="68" t="s">
        <v>373</v>
      </c>
      <c r="J72" s="77"/>
      <c r="K72" s="77"/>
      <c r="L72" s="77"/>
      <c r="M72" s="77"/>
      <c r="N72" s="78" t="s">
        <v>538</v>
      </c>
      <c r="O72" s="68" t="str">
        <f t="shared" si="1"/>
        <v/>
      </c>
      <c r="P72" s="77"/>
      <c r="Q72" s="77"/>
      <c r="R72" s="77"/>
      <c r="S72" s="77"/>
      <c r="T72" s="77"/>
    </row>
    <row r="73" ht="23.25" customHeight="1">
      <c r="A73" s="79"/>
      <c r="B73" s="79"/>
      <c r="C73" s="79"/>
      <c r="D73" s="79" t="s">
        <v>725</v>
      </c>
      <c r="E73" s="80" t="s">
        <v>365</v>
      </c>
      <c r="F73" s="80" t="s">
        <v>708</v>
      </c>
      <c r="G73" s="80" t="s">
        <v>726</v>
      </c>
      <c r="H73" s="80" t="s">
        <v>536</v>
      </c>
      <c r="I73" s="79" t="s">
        <v>373</v>
      </c>
      <c r="J73" s="80"/>
      <c r="K73" s="80"/>
      <c r="L73" s="80"/>
      <c r="M73" s="80"/>
      <c r="N73" s="82" t="s">
        <v>538</v>
      </c>
      <c r="O73" s="79" t="str">
        <f t="shared" si="1"/>
        <v/>
      </c>
      <c r="P73" s="80"/>
      <c r="Q73" s="80"/>
      <c r="R73" s="80"/>
      <c r="S73" s="80"/>
      <c r="T73" s="80"/>
    </row>
    <row r="74" ht="23.25" customHeight="1">
      <c r="A74" s="68"/>
      <c r="B74" s="68"/>
      <c r="C74" s="68"/>
      <c r="D74" s="68" t="s">
        <v>727</v>
      </c>
      <c r="E74" s="77" t="s">
        <v>365</v>
      </c>
      <c r="F74" s="77" t="s">
        <v>708</v>
      </c>
      <c r="G74" s="77" t="s">
        <v>728</v>
      </c>
      <c r="H74" s="77" t="s">
        <v>536</v>
      </c>
      <c r="I74" s="68" t="s">
        <v>373</v>
      </c>
      <c r="J74" s="77"/>
      <c r="K74" s="77"/>
      <c r="L74" s="77"/>
      <c r="M74" s="77"/>
      <c r="N74" s="78" t="s">
        <v>538</v>
      </c>
      <c r="O74" s="68" t="str">
        <f t="shared" si="1"/>
        <v/>
      </c>
      <c r="P74" s="77"/>
      <c r="Q74" s="77"/>
      <c r="R74" s="77"/>
      <c r="S74" s="77"/>
      <c r="T74" s="77"/>
    </row>
    <row r="75" ht="23.25" customHeight="1">
      <c r="A75" s="79"/>
      <c r="B75" s="79"/>
      <c r="C75" s="79"/>
      <c r="D75" s="79" t="s">
        <v>729</v>
      </c>
      <c r="E75" s="80" t="s">
        <v>365</v>
      </c>
      <c r="F75" s="80" t="s">
        <v>708</v>
      </c>
      <c r="G75" s="80" t="s">
        <v>730</v>
      </c>
      <c r="H75" s="80" t="s">
        <v>731</v>
      </c>
      <c r="I75" s="79" t="s">
        <v>373</v>
      </c>
      <c r="J75" s="80"/>
      <c r="K75" s="80"/>
      <c r="L75" s="80"/>
      <c r="M75" s="80"/>
      <c r="N75" s="82" t="s">
        <v>538</v>
      </c>
      <c r="O75" s="79" t="str">
        <f t="shared" si="1"/>
        <v/>
      </c>
      <c r="P75" s="80"/>
      <c r="Q75" s="80"/>
      <c r="R75" s="80"/>
      <c r="S75" s="80"/>
      <c r="T75" s="80"/>
    </row>
    <row r="76" ht="15.0" customHeight="1">
      <c r="A76" s="68"/>
      <c r="B76" s="68"/>
      <c r="C76" s="68"/>
      <c r="D76" s="68" t="s">
        <v>732</v>
      </c>
      <c r="E76" s="77" t="s">
        <v>415</v>
      </c>
      <c r="F76" s="77" t="s">
        <v>733</v>
      </c>
      <c r="G76" s="77" t="s">
        <v>734</v>
      </c>
      <c r="H76" s="77" t="s">
        <v>735</v>
      </c>
      <c r="I76" s="68" t="s">
        <v>373</v>
      </c>
      <c r="J76" s="77"/>
      <c r="K76" s="77"/>
      <c r="L76" s="77"/>
      <c r="M76" s="81" t="s">
        <v>585</v>
      </c>
      <c r="N76" s="78" t="s">
        <v>586</v>
      </c>
      <c r="O76" s="68" t="str">
        <f t="shared" si="1"/>
        <v/>
      </c>
      <c r="P76" s="77"/>
      <c r="Q76" s="77"/>
      <c r="R76" s="77"/>
      <c r="S76" s="77"/>
      <c r="T76" s="77"/>
    </row>
    <row r="77" ht="15.0" customHeight="1">
      <c r="A77" s="79"/>
      <c r="B77" s="79"/>
      <c r="C77" s="79"/>
      <c r="D77" s="79" t="s">
        <v>736</v>
      </c>
      <c r="E77" s="80" t="s">
        <v>415</v>
      </c>
      <c r="F77" s="80" t="s">
        <v>733</v>
      </c>
      <c r="G77" s="80" t="s">
        <v>737</v>
      </c>
      <c r="H77" s="80" t="s">
        <v>738</v>
      </c>
      <c r="I77" s="79" t="s">
        <v>373</v>
      </c>
      <c r="J77" s="80"/>
      <c r="K77" s="80"/>
      <c r="L77" s="80"/>
      <c r="M77" s="81" t="s">
        <v>585</v>
      </c>
      <c r="N77" s="82" t="s">
        <v>586</v>
      </c>
      <c r="O77" s="79" t="str">
        <f t="shared" si="1"/>
        <v/>
      </c>
      <c r="P77" s="80"/>
      <c r="Q77" s="80"/>
      <c r="R77" s="80"/>
      <c r="S77" s="80"/>
      <c r="T77" s="80"/>
    </row>
    <row r="78" ht="15.0" customHeight="1">
      <c r="A78" s="68"/>
      <c r="B78" s="68"/>
      <c r="C78" s="68"/>
      <c r="D78" s="68" t="s">
        <v>739</v>
      </c>
      <c r="E78" s="77" t="s">
        <v>415</v>
      </c>
      <c r="F78" s="77" t="s">
        <v>733</v>
      </c>
      <c r="G78" s="77" t="s">
        <v>740</v>
      </c>
      <c r="H78" s="77" t="s">
        <v>741</v>
      </c>
      <c r="I78" s="68" t="s">
        <v>373</v>
      </c>
      <c r="J78" s="77"/>
      <c r="K78" s="77"/>
      <c r="L78" s="77"/>
      <c r="M78" s="81" t="s">
        <v>585</v>
      </c>
      <c r="N78" s="78" t="s">
        <v>586</v>
      </c>
      <c r="O78" s="68" t="str">
        <f t="shared" si="1"/>
        <v/>
      </c>
      <c r="P78" s="77"/>
      <c r="Q78" s="77"/>
      <c r="R78" s="77"/>
      <c r="S78" s="77"/>
      <c r="T78" s="77"/>
    </row>
    <row r="79" ht="15.0" customHeight="1">
      <c r="A79" s="79"/>
      <c r="B79" s="79"/>
      <c r="C79" s="79"/>
      <c r="D79" s="79" t="s">
        <v>742</v>
      </c>
      <c r="E79" s="80" t="s">
        <v>415</v>
      </c>
      <c r="F79" s="80" t="s">
        <v>733</v>
      </c>
      <c r="G79" s="80" t="s">
        <v>743</v>
      </c>
      <c r="H79" s="80" t="s">
        <v>744</v>
      </c>
      <c r="I79" s="79" t="s">
        <v>373</v>
      </c>
      <c r="J79" s="80"/>
      <c r="K79" s="80"/>
      <c r="L79" s="80"/>
      <c r="M79" s="81" t="s">
        <v>585</v>
      </c>
      <c r="N79" s="82" t="s">
        <v>586</v>
      </c>
      <c r="O79" s="79" t="str">
        <f t="shared" si="1"/>
        <v/>
      </c>
      <c r="P79" s="80"/>
      <c r="Q79" s="80"/>
      <c r="R79" s="80"/>
      <c r="S79" s="80"/>
      <c r="T79" s="80"/>
    </row>
    <row r="80" ht="15.0" customHeight="1">
      <c r="A80" s="68"/>
      <c r="B80" s="68"/>
      <c r="C80" s="68"/>
      <c r="D80" s="68" t="s">
        <v>745</v>
      </c>
      <c r="E80" s="77" t="s">
        <v>415</v>
      </c>
      <c r="F80" s="77" t="s">
        <v>733</v>
      </c>
      <c r="G80" s="77" t="s">
        <v>746</v>
      </c>
      <c r="H80" s="77" t="s">
        <v>747</v>
      </c>
      <c r="I80" s="68" t="s">
        <v>373</v>
      </c>
      <c r="J80" s="77"/>
      <c r="K80" s="77"/>
      <c r="L80" s="77"/>
      <c r="M80" s="81" t="s">
        <v>585</v>
      </c>
      <c r="N80" s="78" t="s">
        <v>586</v>
      </c>
      <c r="O80" s="68" t="str">
        <f t="shared" si="1"/>
        <v/>
      </c>
      <c r="P80" s="77"/>
      <c r="Q80" s="77"/>
      <c r="R80" s="77"/>
      <c r="S80" s="77"/>
      <c r="T80" s="77"/>
    </row>
    <row r="81" ht="15.0" customHeight="1">
      <c r="A81" s="79"/>
      <c r="B81" s="79"/>
      <c r="C81" s="79"/>
      <c r="D81" s="79" t="s">
        <v>748</v>
      </c>
      <c r="E81" s="80" t="s">
        <v>415</v>
      </c>
      <c r="F81" s="80" t="s">
        <v>733</v>
      </c>
      <c r="G81" s="80" t="s">
        <v>749</v>
      </c>
      <c r="H81" s="80" t="s">
        <v>750</v>
      </c>
      <c r="I81" s="79" t="s">
        <v>373</v>
      </c>
      <c r="J81" s="80"/>
      <c r="K81" s="80"/>
      <c r="L81" s="80"/>
      <c r="M81" s="81" t="s">
        <v>585</v>
      </c>
      <c r="N81" s="82" t="s">
        <v>586</v>
      </c>
      <c r="O81" s="79" t="str">
        <f t="shared" si="1"/>
        <v/>
      </c>
      <c r="P81" s="80"/>
      <c r="Q81" s="80"/>
      <c r="R81" s="80"/>
      <c r="S81" s="80"/>
      <c r="T81" s="80"/>
    </row>
    <row r="82" ht="15.0" customHeight="1">
      <c r="A82" s="68"/>
      <c r="B82" s="68"/>
      <c r="C82" s="68"/>
      <c r="D82" s="68" t="s">
        <v>751</v>
      </c>
      <c r="E82" s="77" t="s">
        <v>415</v>
      </c>
      <c r="F82" s="77" t="s">
        <v>752</v>
      </c>
      <c r="G82" s="77" t="s">
        <v>753</v>
      </c>
      <c r="H82" s="77" t="s">
        <v>754</v>
      </c>
      <c r="I82" s="68" t="s">
        <v>373</v>
      </c>
      <c r="J82" s="77"/>
      <c r="K82" s="77"/>
      <c r="L82" s="77"/>
      <c r="M82" s="81" t="s">
        <v>585</v>
      </c>
      <c r="N82" s="78" t="s">
        <v>586</v>
      </c>
      <c r="O82" s="68" t="str">
        <f t="shared" si="1"/>
        <v/>
      </c>
      <c r="P82" s="77"/>
      <c r="Q82" s="77"/>
      <c r="R82" s="77"/>
      <c r="S82" s="77"/>
      <c r="T82" s="77"/>
    </row>
    <row r="83" ht="15.0" customHeight="1">
      <c r="A83" s="79"/>
      <c r="B83" s="79"/>
      <c r="C83" s="79"/>
      <c r="D83" s="79" t="s">
        <v>755</v>
      </c>
      <c r="E83" s="80" t="s">
        <v>415</v>
      </c>
      <c r="F83" s="80" t="s">
        <v>752</v>
      </c>
      <c r="G83" s="80" t="s">
        <v>756</v>
      </c>
      <c r="H83" s="80" t="s">
        <v>757</v>
      </c>
      <c r="I83" s="79" t="s">
        <v>373</v>
      </c>
      <c r="J83" s="80"/>
      <c r="K83" s="80"/>
      <c r="L83" s="80"/>
      <c r="M83" s="81" t="s">
        <v>585</v>
      </c>
      <c r="N83" s="82" t="s">
        <v>586</v>
      </c>
      <c r="O83" s="79" t="str">
        <f t="shared" si="1"/>
        <v/>
      </c>
      <c r="P83" s="80"/>
      <c r="Q83" s="80"/>
      <c r="R83" s="80"/>
      <c r="S83" s="80"/>
      <c r="T83" s="80"/>
    </row>
    <row r="84" ht="15.0" customHeight="1">
      <c r="A84" s="68"/>
      <c r="B84" s="68"/>
      <c r="C84" s="68"/>
      <c r="D84" s="68" t="s">
        <v>758</v>
      </c>
      <c r="E84" s="77" t="s">
        <v>415</v>
      </c>
      <c r="F84" s="77" t="s">
        <v>752</v>
      </c>
      <c r="G84" s="77" t="s">
        <v>759</v>
      </c>
      <c r="H84" s="77" t="s">
        <v>760</v>
      </c>
      <c r="I84" s="68" t="s">
        <v>373</v>
      </c>
      <c r="J84" s="77"/>
      <c r="K84" s="77"/>
      <c r="L84" s="77"/>
      <c r="M84" s="81" t="s">
        <v>585</v>
      </c>
      <c r="N84" s="78" t="s">
        <v>586</v>
      </c>
      <c r="O84" s="68" t="str">
        <f t="shared" si="1"/>
        <v/>
      </c>
      <c r="P84" s="77"/>
      <c r="Q84" s="77"/>
      <c r="R84" s="77"/>
      <c r="S84" s="77"/>
      <c r="T84" s="77"/>
    </row>
    <row r="85" ht="15.0" customHeight="1">
      <c r="A85" s="79"/>
      <c r="B85" s="79"/>
      <c r="C85" s="79"/>
      <c r="D85" s="79" t="s">
        <v>761</v>
      </c>
      <c r="E85" s="80" t="s">
        <v>415</v>
      </c>
      <c r="F85" s="80" t="s">
        <v>752</v>
      </c>
      <c r="G85" s="80" t="s">
        <v>762</v>
      </c>
      <c r="H85" s="80" t="s">
        <v>763</v>
      </c>
      <c r="I85" s="79" t="s">
        <v>373</v>
      </c>
      <c r="J85" s="80"/>
      <c r="K85" s="80"/>
      <c r="L85" s="80"/>
      <c r="M85" s="81" t="s">
        <v>585</v>
      </c>
      <c r="N85" s="82" t="s">
        <v>586</v>
      </c>
      <c r="O85" s="79" t="str">
        <f t="shared" si="1"/>
        <v/>
      </c>
      <c r="P85" s="80"/>
      <c r="Q85" s="80"/>
      <c r="R85" s="80"/>
      <c r="S85" s="80"/>
      <c r="T85" s="80"/>
    </row>
    <row r="86" ht="15.0" customHeight="1">
      <c r="A86" s="68"/>
      <c r="B86" s="68"/>
      <c r="C86" s="68"/>
      <c r="D86" s="68" t="s">
        <v>764</v>
      </c>
      <c r="E86" s="77" t="s">
        <v>415</v>
      </c>
      <c r="F86" s="77" t="s">
        <v>752</v>
      </c>
      <c r="G86" s="77" t="s">
        <v>765</v>
      </c>
      <c r="H86" s="77" t="s">
        <v>766</v>
      </c>
      <c r="I86" s="68" t="s">
        <v>373</v>
      </c>
      <c r="J86" s="77"/>
      <c r="K86" s="77"/>
      <c r="L86" s="77"/>
      <c r="M86" s="81" t="s">
        <v>585</v>
      </c>
      <c r="N86" s="78" t="s">
        <v>586</v>
      </c>
      <c r="O86" s="68" t="str">
        <f t="shared" si="1"/>
        <v/>
      </c>
      <c r="P86" s="77"/>
      <c r="Q86" s="77"/>
      <c r="R86" s="77"/>
      <c r="S86" s="77"/>
      <c r="T86" s="77"/>
    </row>
    <row r="87" ht="15.0" customHeight="1">
      <c r="A87" s="79"/>
      <c r="B87" s="79"/>
      <c r="C87" s="79"/>
      <c r="D87" s="79" t="s">
        <v>767</v>
      </c>
      <c r="E87" s="80" t="s">
        <v>415</v>
      </c>
      <c r="F87" s="80" t="s">
        <v>768</v>
      </c>
      <c r="G87" s="80" t="s">
        <v>769</v>
      </c>
      <c r="H87" s="80" t="s">
        <v>770</v>
      </c>
      <c r="I87" s="79" t="s">
        <v>373</v>
      </c>
      <c r="J87" s="80"/>
      <c r="K87" s="80"/>
      <c r="L87" s="80"/>
      <c r="M87" s="81" t="s">
        <v>585</v>
      </c>
      <c r="N87" s="82" t="s">
        <v>586</v>
      </c>
      <c r="O87" s="79" t="str">
        <f t="shared" si="1"/>
        <v/>
      </c>
      <c r="P87" s="80"/>
      <c r="Q87" s="80"/>
      <c r="R87" s="80"/>
      <c r="S87" s="80"/>
      <c r="T87" s="80"/>
    </row>
    <row r="88" ht="15.0" customHeight="1">
      <c r="A88" s="68"/>
      <c r="B88" s="68"/>
      <c r="C88" s="68"/>
      <c r="D88" s="68" t="s">
        <v>771</v>
      </c>
      <c r="E88" s="77" t="s">
        <v>415</v>
      </c>
      <c r="F88" s="77" t="s">
        <v>768</v>
      </c>
      <c r="G88" s="77" t="s">
        <v>772</v>
      </c>
      <c r="H88" s="77" t="s">
        <v>773</v>
      </c>
      <c r="I88" s="68" t="s">
        <v>373</v>
      </c>
      <c r="J88" s="77"/>
      <c r="K88" s="77"/>
      <c r="L88" s="77"/>
      <c r="M88" s="81" t="s">
        <v>585</v>
      </c>
      <c r="N88" s="78" t="s">
        <v>586</v>
      </c>
      <c r="O88" s="68" t="str">
        <f t="shared" si="1"/>
        <v/>
      </c>
      <c r="P88" s="77"/>
      <c r="Q88" s="77"/>
      <c r="R88" s="77"/>
      <c r="S88" s="77"/>
      <c r="T88" s="77"/>
    </row>
    <row r="89" ht="15.0" customHeight="1">
      <c r="A89" s="79"/>
      <c r="B89" s="79"/>
      <c r="C89" s="79"/>
      <c r="D89" s="79" t="s">
        <v>774</v>
      </c>
      <c r="E89" s="80" t="s">
        <v>415</v>
      </c>
      <c r="F89" s="80" t="s">
        <v>768</v>
      </c>
      <c r="G89" s="80" t="s">
        <v>775</v>
      </c>
      <c r="H89" s="80" t="s">
        <v>776</v>
      </c>
      <c r="I89" s="79" t="s">
        <v>373</v>
      </c>
      <c r="J89" s="80"/>
      <c r="K89" s="80"/>
      <c r="L89" s="80"/>
      <c r="M89" s="81" t="s">
        <v>585</v>
      </c>
      <c r="N89" s="82" t="s">
        <v>586</v>
      </c>
      <c r="O89" s="79" t="str">
        <f t="shared" si="1"/>
        <v/>
      </c>
      <c r="P89" s="80"/>
      <c r="Q89" s="80"/>
      <c r="R89" s="80"/>
      <c r="S89" s="80"/>
      <c r="T89" s="80"/>
    </row>
    <row r="90" ht="15.0" customHeight="1">
      <c r="A90" s="68"/>
      <c r="B90" s="68"/>
      <c r="C90" s="68"/>
      <c r="D90" s="68" t="s">
        <v>777</v>
      </c>
      <c r="E90" s="77" t="s">
        <v>415</v>
      </c>
      <c r="F90" s="77" t="s">
        <v>768</v>
      </c>
      <c r="G90" s="77" t="s">
        <v>778</v>
      </c>
      <c r="H90" s="77" t="s">
        <v>779</v>
      </c>
      <c r="I90" s="68" t="s">
        <v>373</v>
      </c>
      <c r="J90" s="77"/>
      <c r="K90" s="77"/>
      <c r="L90" s="77"/>
      <c r="M90" s="81" t="s">
        <v>585</v>
      </c>
      <c r="N90" s="78" t="s">
        <v>586</v>
      </c>
      <c r="O90" s="68" t="str">
        <f t="shared" si="1"/>
        <v/>
      </c>
      <c r="P90" s="77"/>
      <c r="Q90" s="77"/>
      <c r="R90" s="77"/>
      <c r="S90" s="77"/>
      <c r="T90" s="77"/>
    </row>
    <row r="91" ht="15.0" customHeight="1">
      <c r="A91" s="79"/>
      <c r="B91" s="79"/>
      <c r="C91" s="79"/>
      <c r="D91" s="79" t="s">
        <v>780</v>
      </c>
      <c r="E91" s="80" t="s">
        <v>415</v>
      </c>
      <c r="F91" s="80" t="s">
        <v>781</v>
      </c>
      <c r="G91" s="80" t="s">
        <v>782</v>
      </c>
      <c r="H91" s="80" t="s">
        <v>783</v>
      </c>
      <c r="I91" s="79" t="s">
        <v>373</v>
      </c>
      <c r="J91" s="80"/>
      <c r="K91" s="80"/>
      <c r="L91" s="80"/>
      <c r="M91" s="81" t="s">
        <v>585</v>
      </c>
      <c r="N91" s="82" t="s">
        <v>586</v>
      </c>
      <c r="O91" s="79" t="str">
        <f t="shared" si="1"/>
        <v/>
      </c>
      <c r="P91" s="80"/>
      <c r="Q91" s="80"/>
      <c r="R91" s="80"/>
      <c r="S91" s="80"/>
      <c r="T91" s="80"/>
    </row>
    <row r="92" ht="15.0" customHeight="1">
      <c r="A92" s="68"/>
      <c r="B92" s="68"/>
      <c r="C92" s="68"/>
      <c r="D92" s="68" t="s">
        <v>784</v>
      </c>
      <c r="E92" s="77" t="s">
        <v>415</v>
      </c>
      <c r="F92" s="77" t="s">
        <v>781</v>
      </c>
      <c r="G92" s="77" t="s">
        <v>785</v>
      </c>
      <c r="H92" s="77" t="s">
        <v>786</v>
      </c>
      <c r="I92" s="68" t="s">
        <v>373</v>
      </c>
      <c r="J92" s="77"/>
      <c r="K92" s="77"/>
      <c r="L92" s="77"/>
      <c r="M92" s="81" t="s">
        <v>585</v>
      </c>
      <c r="N92" s="78" t="s">
        <v>586</v>
      </c>
      <c r="O92" s="68" t="str">
        <f t="shared" si="1"/>
        <v/>
      </c>
      <c r="P92" s="77"/>
      <c r="Q92" s="77"/>
      <c r="R92" s="77"/>
      <c r="S92" s="77"/>
      <c r="T92" s="77"/>
    </row>
    <row r="93" ht="15.0" customHeight="1">
      <c r="A93" s="79"/>
      <c r="B93" s="79"/>
      <c r="C93" s="79"/>
      <c r="D93" s="79" t="s">
        <v>787</v>
      </c>
      <c r="E93" s="80" t="s">
        <v>415</v>
      </c>
      <c r="F93" s="80" t="s">
        <v>781</v>
      </c>
      <c r="G93" s="80" t="s">
        <v>788</v>
      </c>
      <c r="H93" s="80" t="s">
        <v>789</v>
      </c>
      <c r="I93" s="79" t="s">
        <v>373</v>
      </c>
      <c r="J93" s="80"/>
      <c r="K93" s="80"/>
      <c r="L93" s="80"/>
      <c r="M93" s="81" t="s">
        <v>585</v>
      </c>
      <c r="N93" s="82" t="s">
        <v>586</v>
      </c>
      <c r="O93" s="79" t="str">
        <f t="shared" si="1"/>
        <v/>
      </c>
      <c r="P93" s="80"/>
      <c r="Q93" s="80"/>
      <c r="R93" s="80"/>
      <c r="S93" s="80"/>
      <c r="T93" s="80"/>
    </row>
    <row r="94" ht="15.0" customHeight="1">
      <c r="A94" s="68"/>
      <c r="B94" s="68"/>
      <c r="C94" s="68"/>
      <c r="D94" s="68" t="s">
        <v>790</v>
      </c>
      <c r="E94" s="77" t="s">
        <v>415</v>
      </c>
      <c r="F94" s="77" t="s">
        <v>781</v>
      </c>
      <c r="G94" s="77" t="s">
        <v>791</v>
      </c>
      <c r="H94" s="77" t="s">
        <v>792</v>
      </c>
      <c r="I94" s="68" t="s">
        <v>373</v>
      </c>
      <c r="J94" s="77"/>
      <c r="K94" s="77"/>
      <c r="L94" s="77"/>
      <c r="M94" s="81" t="s">
        <v>585</v>
      </c>
      <c r="N94" s="78" t="s">
        <v>586</v>
      </c>
      <c r="O94" s="68" t="str">
        <f t="shared" si="1"/>
        <v/>
      </c>
      <c r="P94" s="77"/>
      <c r="Q94" s="77"/>
      <c r="R94" s="77"/>
      <c r="S94" s="77"/>
      <c r="T94" s="77"/>
    </row>
    <row r="95" ht="15.0" customHeight="1">
      <c r="A95" s="79"/>
      <c r="B95" s="79"/>
      <c r="C95" s="79"/>
      <c r="D95" s="79" t="s">
        <v>793</v>
      </c>
      <c r="E95" s="80" t="s">
        <v>415</v>
      </c>
      <c r="F95" s="80" t="s">
        <v>794</v>
      </c>
      <c r="G95" s="80" t="s">
        <v>795</v>
      </c>
      <c r="H95" s="80" t="s">
        <v>796</v>
      </c>
      <c r="I95" s="79" t="s">
        <v>373</v>
      </c>
      <c r="J95" s="80"/>
      <c r="K95" s="80"/>
      <c r="L95" s="80"/>
      <c r="M95" s="81" t="s">
        <v>585</v>
      </c>
      <c r="N95" s="82" t="s">
        <v>586</v>
      </c>
      <c r="O95" s="79" t="str">
        <f t="shared" si="1"/>
        <v/>
      </c>
      <c r="P95" s="80"/>
      <c r="Q95" s="80"/>
      <c r="R95" s="80"/>
      <c r="S95" s="80"/>
      <c r="T95" s="80"/>
    </row>
    <row r="96" ht="15.0" customHeight="1">
      <c r="A96" s="68"/>
      <c r="B96" s="68"/>
      <c r="C96" s="68"/>
      <c r="D96" s="68" t="s">
        <v>797</v>
      </c>
      <c r="E96" s="77" t="s">
        <v>415</v>
      </c>
      <c r="F96" s="77" t="s">
        <v>794</v>
      </c>
      <c r="G96" s="77" t="s">
        <v>798</v>
      </c>
      <c r="H96" s="77" t="s">
        <v>799</v>
      </c>
      <c r="I96" s="68" t="s">
        <v>373</v>
      </c>
      <c r="J96" s="77"/>
      <c r="K96" s="77"/>
      <c r="L96" s="77"/>
      <c r="M96" s="81" t="s">
        <v>585</v>
      </c>
      <c r="N96" s="78" t="s">
        <v>586</v>
      </c>
      <c r="O96" s="68" t="str">
        <f t="shared" si="1"/>
        <v/>
      </c>
      <c r="P96" s="77"/>
      <c r="Q96" s="77"/>
      <c r="R96" s="77"/>
      <c r="S96" s="77"/>
      <c r="T96" s="77"/>
    </row>
    <row r="97" ht="15.0" customHeight="1">
      <c r="A97" s="79"/>
      <c r="B97" s="79"/>
      <c r="C97" s="79"/>
      <c r="D97" s="79" t="s">
        <v>800</v>
      </c>
      <c r="E97" s="80" t="s">
        <v>415</v>
      </c>
      <c r="F97" s="80" t="s">
        <v>794</v>
      </c>
      <c r="G97" s="80" t="s">
        <v>801</v>
      </c>
      <c r="H97" s="80" t="s">
        <v>802</v>
      </c>
      <c r="I97" s="79" t="s">
        <v>373</v>
      </c>
      <c r="J97" s="80"/>
      <c r="K97" s="80"/>
      <c r="L97" s="80"/>
      <c r="M97" s="81" t="s">
        <v>585</v>
      </c>
      <c r="N97" s="82" t="s">
        <v>586</v>
      </c>
      <c r="O97" s="79" t="str">
        <f t="shared" si="1"/>
        <v/>
      </c>
      <c r="P97" s="80"/>
      <c r="Q97" s="80"/>
      <c r="R97" s="80"/>
      <c r="S97" s="80"/>
      <c r="T97" s="80"/>
    </row>
    <row r="98" ht="15.0" customHeight="1">
      <c r="A98" s="68"/>
      <c r="B98" s="68"/>
      <c r="C98" s="68"/>
      <c r="D98" s="68" t="s">
        <v>803</v>
      </c>
      <c r="E98" s="77" t="s">
        <v>415</v>
      </c>
      <c r="F98" s="77" t="s">
        <v>794</v>
      </c>
      <c r="G98" s="77" t="s">
        <v>804</v>
      </c>
      <c r="H98" s="77" t="s">
        <v>805</v>
      </c>
      <c r="I98" s="68" t="s">
        <v>373</v>
      </c>
      <c r="J98" s="77"/>
      <c r="K98" s="77"/>
      <c r="L98" s="77"/>
      <c r="M98" s="81" t="s">
        <v>585</v>
      </c>
      <c r="N98" s="78" t="s">
        <v>586</v>
      </c>
      <c r="O98" s="68" t="str">
        <f t="shared" si="1"/>
        <v/>
      </c>
      <c r="P98" s="77"/>
      <c r="Q98" s="77"/>
      <c r="R98" s="77"/>
      <c r="S98" s="77"/>
      <c r="T98" s="77"/>
    </row>
    <row r="99" ht="15.0" customHeight="1">
      <c r="A99" s="79"/>
      <c r="B99" s="79"/>
      <c r="C99" s="79"/>
      <c r="D99" s="79" t="s">
        <v>806</v>
      </c>
      <c r="E99" s="80" t="s">
        <v>372</v>
      </c>
      <c r="F99" s="80" t="s">
        <v>807</v>
      </c>
      <c r="G99" s="80" t="s">
        <v>808</v>
      </c>
      <c r="H99" s="80" t="s">
        <v>809</v>
      </c>
      <c r="I99" s="79" t="s">
        <v>373</v>
      </c>
      <c r="J99" s="80"/>
      <c r="K99" s="80"/>
      <c r="L99" s="80"/>
      <c r="M99" s="81" t="s">
        <v>557</v>
      </c>
      <c r="N99" s="82" t="s">
        <v>586</v>
      </c>
      <c r="O99" s="79" t="str">
        <f t="shared" si="1"/>
        <v/>
      </c>
      <c r="P99" s="80"/>
      <c r="Q99" s="80"/>
      <c r="R99" s="80"/>
      <c r="S99" s="80"/>
      <c r="T99" s="80"/>
    </row>
    <row r="100" ht="15.0" customHeight="1">
      <c r="A100" s="68"/>
      <c r="B100" s="68"/>
      <c r="C100" s="68"/>
      <c r="D100" s="68" t="s">
        <v>810</v>
      </c>
      <c r="E100" s="77" t="s">
        <v>372</v>
      </c>
      <c r="F100" s="77" t="s">
        <v>807</v>
      </c>
      <c r="G100" s="77" t="s">
        <v>811</v>
      </c>
      <c r="H100" s="77" t="s">
        <v>812</v>
      </c>
      <c r="I100" s="68" t="s">
        <v>373</v>
      </c>
      <c r="J100" s="77"/>
      <c r="K100" s="77"/>
      <c r="L100" s="77"/>
      <c r="M100" s="81" t="s">
        <v>585</v>
      </c>
      <c r="N100" s="78" t="s">
        <v>586</v>
      </c>
      <c r="O100" s="68" t="str">
        <f t="shared" si="1"/>
        <v/>
      </c>
      <c r="P100" s="77"/>
      <c r="Q100" s="77"/>
      <c r="R100" s="77"/>
      <c r="S100" s="77"/>
      <c r="T100" s="77"/>
    </row>
    <row r="101" ht="15.0" customHeight="1">
      <c r="A101" s="79"/>
      <c r="B101" s="79"/>
      <c r="C101" s="79"/>
      <c r="D101" s="79" t="s">
        <v>813</v>
      </c>
      <c r="E101" s="80" t="s">
        <v>372</v>
      </c>
      <c r="F101" s="80" t="s">
        <v>807</v>
      </c>
      <c r="G101" s="80" t="s">
        <v>814</v>
      </c>
      <c r="H101" s="80" t="s">
        <v>815</v>
      </c>
      <c r="I101" s="79" t="s">
        <v>373</v>
      </c>
      <c r="J101" s="80"/>
      <c r="K101" s="80"/>
      <c r="L101" s="80"/>
      <c r="M101" s="81" t="s">
        <v>557</v>
      </c>
      <c r="N101" s="82" t="s">
        <v>586</v>
      </c>
      <c r="O101" s="79" t="str">
        <f t="shared" si="1"/>
        <v/>
      </c>
      <c r="P101" s="80"/>
      <c r="Q101" s="80"/>
      <c r="R101" s="80"/>
      <c r="S101" s="80"/>
      <c r="T101" s="80"/>
    </row>
    <row r="102" ht="15.0" customHeight="1">
      <c r="A102" s="68"/>
      <c r="B102" s="68"/>
      <c r="C102" s="68"/>
      <c r="D102" s="68" t="s">
        <v>816</v>
      </c>
      <c r="E102" s="77" t="s">
        <v>372</v>
      </c>
      <c r="F102" s="77" t="s">
        <v>752</v>
      </c>
      <c r="G102" s="77" t="s">
        <v>817</v>
      </c>
      <c r="H102" s="77" t="s">
        <v>818</v>
      </c>
      <c r="I102" s="68" t="s">
        <v>373</v>
      </c>
      <c r="J102" s="77"/>
      <c r="K102" s="77"/>
      <c r="L102" s="77"/>
      <c r="M102" s="81" t="s">
        <v>557</v>
      </c>
      <c r="N102" s="78" t="s">
        <v>586</v>
      </c>
      <c r="O102" s="68" t="str">
        <f t="shared" si="1"/>
        <v/>
      </c>
      <c r="P102" s="77"/>
      <c r="Q102" s="77"/>
      <c r="R102" s="77"/>
      <c r="S102" s="77"/>
      <c r="T102" s="77"/>
    </row>
    <row r="103" ht="15.0" customHeight="1">
      <c r="A103" s="79"/>
      <c r="B103" s="79"/>
      <c r="C103" s="79"/>
      <c r="D103" s="79" t="s">
        <v>819</v>
      </c>
      <c r="E103" s="80" t="s">
        <v>372</v>
      </c>
      <c r="F103" s="80" t="s">
        <v>752</v>
      </c>
      <c r="G103" s="80" t="s">
        <v>820</v>
      </c>
      <c r="H103" s="80" t="s">
        <v>821</v>
      </c>
      <c r="I103" s="79" t="s">
        <v>373</v>
      </c>
      <c r="J103" s="80"/>
      <c r="K103" s="80"/>
      <c r="L103" s="80"/>
      <c r="M103" s="81" t="s">
        <v>557</v>
      </c>
      <c r="N103" s="82" t="s">
        <v>586</v>
      </c>
      <c r="O103" s="79" t="str">
        <f t="shared" si="1"/>
        <v/>
      </c>
      <c r="P103" s="80"/>
      <c r="Q103" s="80"/>
      <c r="R103" s="80"/>
      <c r="S103" s="80"/>
      <c r="T103" s="80"/>
    </row>
    <row r="104" ht="15.0" customHeight="1">
      <c r="A104" s="68"/>
      <c r="B104" s="68"/>
      <c r="C104" s="68"/>
      <c r="D104" s="68" t="s">
        <v>822</v>
      </c>
      <c r="E104" s="77" t="s">
        <v>372</v>
      </c>
      <c r="F104" s="77" t="s">
        <v>752</v>
      </c>
      <c r="G104" s="77" t="s">
        <v>823</v>
      </c>
      <c r="H104" s="77" t="s">
        <v>824</v>
      </c>
      <c r="I104" s="68" t="s">
        <v>373</v>
      </c>
      <c r="J104" s="77"/>
      <c r="K104" s="77"/>
      <c r="L104" s="77"/>
      <c r="M104" s="81" t="s">
        <v>557</v>
      </c>
      <c r="N104" s="78" t="s">
        <v>586</v>
      </c>
      <c r="O104" s="68" t="str">
        <f t="shared" si="1"/>
        <v/>
      </c>
      <c r="P104" s="77"/>
      <c r="Q104" s="77"/>
      <c r="R104" s="77"/>
      <c r="S104" s="77"/>
      <c r="T104" s="77"/>
    </row>
    <row r="105" ht="15.0" customHeight="1">
      <c r="A105" s="79"/>
      <c r="B105" s="79"/>
      <c r="C105" s="79"/>
      <c r="D105" s="79" t="s">
        <v>825</v>
      </c>
      <c r="E105" s="80" t="s">
        <v>372</v>
      </c>
      <c r="F105" s="80" t="s">
        <v>752</v>
      </c>
      <c r="G105" s="80" t="s">
        <v>826</v>
      </c>
      <c r="H105" s="80" t="s">
        <v>827</v>
      </c>
      <c r="I105" s="79" t="s">
        <v>373</v>
      </c>
      <c r="J105" s="80"/>
      <c r="K105" s="80"/>
      <c r="L105" s="80"/>
      <c r="M105" s="81" t="s">
        <v>537</v>
      </c>
      <c r="N105" s="82" t="s">
        <v>586</v>
      </c>
      <c r="O105" s="79" t="str">
        <f t="shared" si="1"/>
        <v/>
      </c>
      <c r="P105" s="80"/>
      <c r="Q105" s="80"/>
      <c r="R105" s="80"/>
      <c r="S105" s="80"/>
      <c r="T105" s="80"/>
    </row>
    <row r="106" ht="15.0" customHeight="1">
      <c r="A106" s="68"/>
      <c r="B106" s="68"/>
      <c r="C106" s="68"/>
      <c r="D106" s="68" t="s">
        <v>828</v>
      </c>
      <c r="E106" s="77" t="s">
        <v>372</v>
      </c>
      <c r="F106" s="77" t="s">
        <v>829</v>
      </c>
      <c r="G106" s="77" t="s">
        <v>830</v>
      </c>
      <c r="H106" s="77" t="s">
        <v>831</v>
      </c>
      <c r="I106" s="68" t="s">
        <v>373</v>
      </c>
      <c r="J106" s="77"/>
      <c r="K106" s="77"/>
      <c r="L106" s="77"/>
      <c r="M106" s="81" t="s">
        <v>557</v>
      </c>
      <c r="N106" s="78" t="s">
        <v>586</v>
      </c>
      <c r="O106" s="68" t="str">
        <f t="shared" si="1"/>
        <v/>
      </c>
      <c r="P106" s="77"/>
      <c r="Q106" s="77"/>
      <c r="R106" s="77"/>
      <c r="S106" s="77"/>
      <c r="T106" s="77"/>
    </row>
    <row r="107" ht="15.0" customHeight="1">
      <c r="A107" s="79"/>
      <c r="B107" s="79"/>
      <c r="C107" s="79"/>
      <c r="D107" s="79" t="s">
        <v>832</v>
      </c>
      <c r="E107" s="80" t="s">
        <v>372</v>
      </c>
      <c r="F107" s="80" t="s">
        <v>829</v>
      </c>
      <c r="G107" s="80" t="s">
        <v>833</v>
      </c>
      <c r="H107" s="80" t="s">
        <v>834</v>
      </c>
      <c r="I107" s="79" t="s">
        <v>373</v>
      </c>
      <c r="J107" s="80"/>
      <c r="K107" s="80"/>
      <c r="L107" s="80"/>
      <c r="M107" s="81" t="s">
        <v>557</v>
      </c>
      <c r="N107" s="82" t="s">
        <v>586</v>
      </c>
      <c r="O107" s="79" t="str">
        <f t="shared" si="1"/>
        <v/>
      </c>
      <c r="P107" s="80"/>
      <c r="Q107" s="80"/>
      <c r="R107" s="80"/>
      <c r="S107" s="80"/>
      <c r="T107" s="80"/>
    </row>
    <row r="108" ht="15.0" customHeight="1">
      <c r="A108" s="68"/>
      <c r="B108" s="68"/>
      <c r="C108" s="68"/>
      <c r="D108" s="68" t="s">
        <v>835</v>
      </c>
      <c r="E108" s="77" t="s">
        <v>372</v>
      </c>
      <c r="F108" s="77" t="s">
        <v>829</v>
      </c>
      <c r="G108" s="77" t="s">
        <v>836</v>
      </c>
      <c r="H108" s="77" t="s">
        <v>837</v>
      </c>
      <c r="I108" s="68" t="s">
        <v>373</v>
      </c>
      <c r="J108" s="77"/>
      <c r="K108" s="77"/>
      <c r="L108" s="77"/>
      <c r="M108" s="81" t="s">
        <v>557</v>
      </c>
      <c r="N108" s="78" t="s">
        <v>586</v>
      </c>
      <c r="O108" s="68" t="str">
        <f t="shared" si="1"/>
        <v/>
      </c>
      <c r="P108" s="77"/>
      <c r="Q108" s="77"/>
      <c r="R108" s="77"/>
      <c r="S108" s="77"/>
      <c r="T108" s="77"/>
    </row>
    <row r="109" ht="15.0" customHeight="1">
      <c r="A109" s="79"/>
      <c r="B109" s="79"/>
      <c r="C109" s="79"/>
      <c r="D109" s="79" t="s">
        <v>838</v>
      </c>
      <c r="E109" s="80" t="s">
        <v>372</v>
      </c>
      <c r="F109" s="80" t="s">
        <v>839</v>
      </c>
      <c r="G109" s="80" t="s">
        <v>840</v>
      </c>
      <c r="H109" s="80" t="s">
        <v>841</v>
      </c>
      <c r="I109" s="79" t="s">
        <v>373</v>
      </c>
      <c r="J109" s="80"/>
      <c r="K109" s="80"/>
      <c r="L109" s="80"/>
      <c r="M109" s="81" t="s">
        <v>557</v>
      </c>
      <c r="N109" s="82" t="s">
        <v>586</v>
      </c>
      <c r="O109" s="79" t="str">
        <f t="shared" si="1"/>
        <v/>
      </c>
      <c r="P109" s="80"/>
      <c r="Q109" s="80"/>
      <c r="R109" s="80"/>
      <c r="S109" s="80"/>
      <c r="T109" s="80"/>
    </row>
    <row r="110" ht="15.0" customHeight="1">
      <c r="A110" s="68"/>
      <c r="B110" s="68"/>
      <c r="C110" s="68"/>
      <c r="D110" s="68" t="s">
        <v>842</v>
      </c>
      <c r="E110" s="77" t="s">
        <v>372</v>
      </c>
      <c r="F110" s="77" t="s">
        <v>839</v>
      </c>
      <c r="G110" s="77" t="s">
        <v>843</v>
      </c>
      <c r="H110" s="77" t="s">
        <v>844</v>
      </c>
      <c r="I110" s="68" t="s">
        <v>373</v>
      </c>
      <c r="J110" s="77"/>
      <c r="K110" s="77"/>
      <c r="L110" s="77"/>
      <c r="M110" s="81" t="s">
        <v>557</v>
      </c>
      <c r="N110" s="78" t="s">
        <v>586</v>
      </c>
      <c r="O110" s="68" t="str">
        <f t="shared" si="1"/>
        <v/>
      </c>
      <c r="P110" s="77"/>
      <c r="Q110" s="77"/>
      <c r="R110" s="77"/>
      <c r="S110" s="77"/>
      <c r="T110" s="77"/>
    </row>
    <row r="111" ht="15.0" customHeight="1">
      <c r="A111" s="79"/>
      <c r="B111" s="79"/>
      <c r="C111" s="79"/>
      <c r="D111" s="79" t="s">
        <v>845</v>
      </c>
      <c r="E111" s="80" t="s">
        <v>372</v>
      </c>
      <c r="F111" s="80" t="s">
        <v>839</v>
      </c>
      <c r="G111" s="80" t="s">
        <v>846</v>
      </c>
      <c r="H111" s="80" t="s">
        <v>847</v>
      </c>
      <c r="I111" s="79" t="s">
        <v>373</v>
      </c>
      <c r="J111" s="80"/>
      <c r="K111" s="80"/>
      <c r="L111" s="80"/>
      <c r="M111" s="81" t="s">
        <v>557</v>
      </c>
      <c r="N111" s="82" t="s">
        <v>586</v>
      </c>
      <c r="O111" s="79" t="str">
        <f t="shared" si="1"/>
        <v/>
      </c>
      <c r="P111" s="80"/>
      <c r="Q111" s="80"/>
      <c r="R111" s="80"/>
      <c r="S111" s="80"/>
      <c r="T111" s="80"/>
    </row>
    <row r="112" ht="15.0" customHeight="1">
      <c r="A112" s="68"/>
      <c r="B112" s="68"/>
      <c r="C112" s="68"/>
      <c r="D112" s="68" t="s">
        <v>848</v>
      </c>
      <c r="E112" s="77" t="s">
        <v>372</v>
      </c>
      <c r="F112" s="77" t="s">
        <v>839</v>
      </c>
      <c r="G112" s="77" t="s">
        <v>849</v>
      </c>
      <c r="H112" s="77" t="s">
        <v>850</v>
      </c>
      <c r="I112" s="68" t="s">
        <v>373</v>
      </c>
      <c r="J112" s="77"/>
      <c r="K112" s="77"/>
      <c r="L112" s="77"/>
      <c r="M112" s="81" t="s">
        <v>557</v>
      </c>
      <c r="N112" s="78" t="s">
        <v>586</v>
      </c>
      <c r="O112" s="68" t="str">
        <f t="shared" si="1"/>
        <v/>
      </c>
      <c r="P112" s="77"/>
      <c r="Q112" s="77"/>
      <c r="R112" s="77"/>
      <c r="S112" s="77"/>
      <c r="T112" s="77"/>
    </row>
    <row r="113" ht="15.0" customHeight="1">
      <c r="A113" s="79"/>
      <c r="B113" s="79"/>
      <c r="C113" s="79"/>
      <c r="D113" s="79" t="s">
        <v>851</v>
      </c>
      <c r="E113" s="80" t="s">
        <v>372</v>
      </c>
      <c r="F113" s="80" t="s">
        <v>839</v>
      </c>
      <c r="G113" s="80" t="s">
        <v>852</v>
      </c>
      <c r="H113" s="80" t="s">
        <v>853</v>
      </c>
      <c r="I113" s="79" t="s">
        <v>373</v>
      </c>
      <c r="J113" s="80"/>
      <c r="K113" s="80"/>
      <c r="L113" s="80"/>
      <c r="M113" s="81" t="s">
        <v>557</v>
      </c>
      <c r="N113" s="82" t="s">
        <v>586</v>
      </c>
      <c r="O113" s="79" t="str">
        <f t="shared" si="1"/>
        <v/>
      </c>
      <c r="P113" s="80"/>
      <c r="Q113" s="80"/>
      <c r="R113" s="80"/>
      <c r="S113" s="80"/>
      <c r="T113" s="80"/>
    </row>
    <row r="114" ht="15.0" customHeight="1">
      <c r="A114" s="68"/>
      <c r="B114" s="68"/>
      <c r="C114" s="68"/>
      <c r="D114" s="68" t="s">
        <v>854</v>
      </c>
      <c r="E114" s="77" t="s">
        <v>372</v>
      </c>
      <c r="F114" s="77" t="s">
        <v>839</v>
      </c>
      <c r="G114" s="77" t="s">
        <v>855</v>
      </c>
      <c r="H114" s="77" t="s">
        <v>856</v>
      </c>
      <c r="I114" s="68" t="s">
        <v>373</v>
      </c>
      <c r="J114" s="77"/>
      <c r="K114" s="77"/>
      <c r="L114" s="77"/>
      <c r="M114" s="81" t="s">
        <v>557</v>
      </c>
      <c r="N114" s="78" t="s">
        <v>586</v>
      </c>
      <c r="O114" s="68" t="str">
        <f t="shared" si="1"/>
        <v/>
      </c>
      <c r="P114" s="77"/>
      <c r="Q114" s="77"/>
      <c r="R114" s="77"/>
      <c r="S114" s="77"/>
      <c r="T114" s="77"/>
    </row>
    <row r="115" ht="15.0" customHeight="1">
      <c r="A115" s="79"/>
      <c r="B115" s="79"/>
      <c r="C115" s="79"/>
      <c r="D115" s="79" t="s">
        <v>857</v>
      </c>
      <c r="E115" s="80" t="s">
        <v>372</v>
      </c>
      <c r="F115" s="80" t="s">
        <v>839</v>
      </c>
      <c r="G115" s="80" t="s">
        <v>858</v>
      </c>
      <c r="H115" s="80" t="s">
        <v>859</v>
      </c>
      <c r="I115" s="79" t="s">
        <v>373</v>
      </c>
      <c r="J115" s="80"/>
      <c r="K115" s="80"/>
      <c r="L115" s="80"/>
      <c r="M115" s="81" t="s">
        <v>557</v>
      </c>
      <c r="N115" s="82" t="s">
        <v>586</v>
      </c>
      <c r="O115" s="79" t="str">
        <f t="shared" si="1"/>
        <v/>
      </c>
      <c r="P115" s="80"/>
      <c r="Q115" s="80"/>
      <c r="R115" s="80"/>
      <c r="S115" s="80"/>
      <c r="T115" s="80"/>
    </row>
    <row r="116" ht="15.0" customHeight="1">
      <c r="A116" s="68"/>
      <c r="B116" s="68"/>
      <c r="C116" s="68"/>
      <c r="D116" s="68" t="s">
        <v>860</v>
      </c>
      <c r="E116" s="77" t="s">
        <v>372</v>
      </c>
      <c r="F116" s="77" t="s">
        <v>839</v>
      </c>
      <c r="G116" s="77" t="s">
        <v>861</v>
      </c>
      <c r="H116" s="77" t="s">
        <v>862</v>
      </c>
      <c r="I116" s="68" t="s">
        <v>373</v>
      </c>
      <c r="J116" s="77"/>
      <c r="K116" s="77"/>
      <c r="L116" s="77"/>
      <c r="M116" s="81" t="s">
        <v>557</v>
      </c>
      <c r="N116" s="78" t="s">
        <v>586</v>
      </c>
      <c r="O116" s="68" t="str">
        <f t="shared" si="1"/>
        <v/>
      </c>
      <c r="P116" s="77"/>
      <c r="Q116" s="77"/>
      <c r="R116" s="77"/>
      <c r="S116" s="77"/>
      <c r="T116" s="77"/>
    </row>
    <row r="117" ht="15.0" customHeight="1">
      <c r="A117" s="79"/>
      <c r="B117" s="79"/>
      <c r="C117" s="79"/>
      <c r="D117" s="79" t="s">
        <v>863</v>
      </c>
      <c r="E117" s="80" t="s">
        <v>372</v>
      </c>
      <c r="F117" s="80" t="s">
        <v>864</v>
      </c>
      <c r="G117" s="80" t="s">
        <v>865</v>
      </c>
      <c r="H117" s="80" t="s">
        <v>866</v>
      </c>
      <c r="I117" s="79" t="s">
        <v>373</v>
      </c>
      <c r="J117" s="80"/>
      <c r="K117" s="80"/>
      <c r="L117" s="80"/>
      <c r="M117" s="81" t="s">
        <v>557</v>
      </c>
      <c r="N117" s="82" t="s">
        <v>586</v>
      </c>
      <c r="O117" s="79" t="str">
        <f t="shared" si="1"/>
        <v/>
      </c>
      <c r="P117" s="80"/>
      <c r="Q117" s="80"/>
      <c r="R117" s="80"/>
      <c r="S117" s="80"/>
      <c r="T117" s="80"/>
    </row>
    <row r="118" ht="15.0" customHeight="1">
      <c r="A118" s="68"/>
      <c r="B118" s="68"/>
      <c r="C118" s="68"/>
      <c r="D118" s="68" t="s">
        <v>867</v>
      </c>
      <c r="E118" s="77" t="s">
        <v>372</v>
      </c>
      <c r="F118" s="77" t="s">
        <v>864</v>
      </c>
      <c r="G118" s="77" t="s">
        <v>868</v>
      </c>
      <c r="H118" s="77" t="s">
        <v>869</v>
      </c>
      <c r="I118" s="68" t="s">
        <v>373</v>
      </c>
      <c r="J118" s="77"/>
      <c r="K118" s="77"/>
      <c r="L118" s="77"/>
      <c r="M118" s="81" t="s">
        <v>557</v>
      </c>
      <c r="N118" s="78" t="s">
        <v>586</v>
      </c>
      <c r="O118" s="68" t="str">
        <f t="shared" si="1"/>
        <v/>
      </c>
      <c r="P118" s="77"/>
      <c r="Q118" s="77"/>
      <c r="R118" s="77"/>
      <c r="S118" s="77"/>
      <c r="T118" s="77"/>
    </row>
    <row r="119" ht="15.0" customHeight="1">
      <c r="A119" s="79"/>
      <c r="B119" s="79"/>
      <c r="C119" s="79"/>
      <c r="D119" s="79" t="s">
        <v>870</v>
      </c>
      <c r="E119" s="80" t="s">
        <v>372</v>
      </c>
      <c r="F119" s="80" t="s">
        <v>864</v>
      </c>
      <c r="G119" s="80" t="s">
        <v>871</v>
      </c>
      <c r="H119" s="80" t="s">
        <v>872</v>
      </c>
      <c r="I119" s="79" t="s">
        <v>373</v>
      </c>
      <c r="J119" s="80"/>
      <c r="K119" s="80"/>
      <c r="L119" s="80"/>
      <c r="M119" s="81" t="s">
        <v>557</v>
      </c>
      <c r="N119" s="82" t="s">
        <v>586</v>
      </c>
      <c r="O119" s="79" t="str">
        <f t="shared" si="1"/>
        <v/>
      </c>
      <c r="P119" s="80"/>
      <c r="Q119" s="80"/>
      <c r="R119" s="80"/>
      <c r="S119" s="80"/>
      <c r="T119" s="80"/>
    </row>
    <row r="120" ht="15.0" customHeight="1">
      <c r="A120" s="68"/>
      <c r="B120" s="68"/>
      <c r="C120" s="68"/>
      <c r="D120" s="68" t="s">
        <v>873</v>
      </c>
      <c r="E120" s="77" t="s">
        <v>372</v>
      </c>
      <c r="F120" s="77" t="s">
        <v>864</v>
      </c>
      <c r="G120" s="77" t="s">
        <v>874</v>
      </c>
      <c r="H120" s="77" t="s">
        <v>875</v>
      </c>
      <c r="I120" s="68" t="s">
        <v>373</v>
      </c>
      <c r="J120" s="77"/>
      <c r="K120" s="77"/>
      <c r="L120" s="77"/>
      <c r="M120" s="81" t="s">
        <v>557</v>
      </c>
      <c r="N120" s="78" t="s">
        <v>586</v>
      </c>
      <c r="O120" s="68" t="str">
        <f t="shared" si="1"/>
        <v/>
      </c>
      <c r="P120" s="77"/>
      <c r="Q120" s="77"/>
      <c r="R120" s="77"/>
      <c r="S120" s="77"/>
      <c r="T120" s="77"/>
    </row>
    <row r="121" ht="15.0" customHeight="1">
      <c r="A121" s="79"/>
      <c r="B121" s="79"/>
      <c r="C121" s="79"/>
      <c r="D121" s="79" t="s">
        <v>876</v>
      </c>
      <c r="E121" s="80" t="s">
        <v>357</v>
      </c>
      <c r="F121" s="80" t="s">
        <v>733</v>
      </c>
      <c r="G121" s="80" t="s">
        <v>877</v>
      </c>
      <c r="H121" s="80" t="s">
        <v>878</v>
      </c>
      <c r="I121" s="79" t="s">
        <v>373</v>
      </c>
      <c r="J121" s="80"/>
      <c r="K121" s="80"/>
      <c r="L121" s="80"/>
      <c r="M121" s="81" t="s">
        <v>557</v>
      </c>
      <c r="N121" s="82" t="s">
        <v>586</v>
      </c>
      <c r="O121" s="79" t="str">
        <f t="shared" si="1"/>
        <v/>
      </c>
      <c r="P121" s="80"/>
      <c r="Q121" s="80"/>
      <c r="R121" s="80"/>
      <c r="S121" s="80"/>
      <c r="T121" s="80"/>
    </row>
    <row r="122" ht="15.0" customHeight="1">
      <c r="A122" s="68"/>
      <c r="B122" s="68"/>
      <c r="C122" s="68"/>
      <c r="D122" s="68" t="s">
        <v>879</v>
      </c>
      <c r="E122" s="77" t="s">
        <v>357</v>
      </c>
      <c r="F122" s="77" t="s">
        <v>733</v>
      </c>
      <c r="G122" s="77" t="s">
        <v>880</v>
      </c>
      <c r="H122" s="77" t="s">
        <v>881</v>
      </c>
      <c r="I122" s="68" t="s">
        <v>373</v>
      </c>
      <c r="J122" s="77"/>
      <c r="K122" s="77"/>
      <c r="L122" s="77"/>
      <c r="M122" s="81" t="s">
        <v>557</v>
      </c>
      <c r="N122" s="78" t="s">
        <v>586</v>
      </c>
      <c r="O122" s="68" t="str">
        <f t="shared" si="1"/>
        <v/>
      </c>
      <c r="P122" s="77"/>
      <c r="Q122" s="77"/>
      <c r="R122" s="77"/>
      <c r="S122" s="77"/>
      <c r="T122" s="77"/>
    </row>
    <row r="123" ht="15.0" customHeight="1">
      <c r="A123" s="79"/>
      <c r="B123" s="79"/>
      <c r="C123" s="79"/>
      <c r="D123" s="79" t="s">
        <v>882</v>
      </c>
      <c r="E123" s="80" t="s">
        <v>357</v>
      </c>
      <c r="F123" s="80" t="s">
        <v>733</v>
      </c>
      <c r="G123" s="80" t="s">
        <v>883</v>
      </c>
      <c r="H123" s="80" t="s">
        <v>884</v>
      </c>
      <c r="I123" s="79" t="s">
        <v>373</v>
      </c>
      <c r="J123" s="80"/>
      <c r="K123" s="80"/>
      <c r="L123" s="80"/>
      <c r="M123" s="81" t="s">
        <v>557</v>
      </c>
      <c r="N123" s="82" t="s">
        <v>586</v>
      </c>
      <c r="O123" s="79" t="str">
        <f t="shared" si="1"/>
        <v/>
      </c>
      <c r="P123" s="80"/>
      <c r="Q123" s="80"/>
      <c r="R123" s="80"/>
      <c r="S123" s="80"/>
      <c r="T123" s="80"/>
    </row>
    <row r="124" ht="15.0" customHeight="1">
      <c r="A124" s="68"/>
      <c r="B124" s="68"/>
      <c r="C124" s="68"/>
      <c r="D124" s="68" t="s">
        <v>885</v>
      </c>
      <c r="E124" s="77" t="s">
        <v>357</v>
      </c>
      <c r="F124" s="77" t="s">
        <v>733</v>
      </c>
      <c r="G124" s="77" t="s">
        <v>886</v>
      </c>
      <c r="H124" s="77" t="s">
        <v>887</v>
      </c>
      <c r="I124" s="68" t="s">
        <v>373</v>
      </c>
      <c r="J124" s="77"/>
      <c r="K124" s="77"/>
      <c r="L124" s="77"/>
      <c r="M124" s="81" t="s">
        <v>557</v>
      </c>
      <c r="N124" s="78" t="s">
        <v>586</v>
      </c>
      <c r="O124" s="68" t="str">
        <f t="shared" si="1"/>
        <v/>
      </c>
      <c r="P124" s="77"/>
      <c r="Q124" s="77"/>
      <c r="R124" s="77"/>
      <c r="S124" s="77"/>
      <c r="T124" s="77"/>
    </row>
    <row r="125" ht="15.0" customHeight="1">
      <c r="A125" s="79"/>
      <c r="B125" s="79"/>
      <c r="C125" s="79"/>
      <c r="D125" s="79" t="s">
        <v>888</v>
      </c>
      <c r="E125" s="80" t="s">
        <v>357</v>
      </c>
      <c r="F125" s="80" t="s">
        <v>752</v>
      </c>
      <c r="G125" s="80" t="s">
        <v>889</v>
      </c>
      <c r="H125" s="80" t="s">
        <v>890</v>
      </c>
      <c r="I125" s="79" t="s">
        <v>373</v>
      </c>
      <c r="J125" s="80"/>
      <c r="K125" s="80"/>
      <c r="L125" s="80"/>
      <c r="M125" s="81" t="s">
        <v>557</v>
      </c>
      <c r="N125" s="82" t="s">
        <v>586</v>
      </c>
      <c r="O125" s="79" t="str">
        <f t="shared" si="1"/>
        <v/>
      </c>
      <c r="P125" s="80"/>
      <c r="Q125" s="80"/>
      <c r="R125" s="80"/>
      <c r="S125" s="80"/>
      <c r="T125" s="80"/>
    </row>
    <row r="126" ht="15.0" customHeight="1">
      <c r="A126" s="68"/>
      <c r="B126" s="68"/>
      <c r="C126" s="68"/>
      <c r="D126" s="68" t="s">
        <v>891</v>
      </c>
      <c r="E126" s="77" t="s">
        <v>357</v>
      </c>
      <c r="F126" s="77" t="s">
        <v>752</v>
      </c>
      <c r="G126" s="77" t="s">
        <v>892</v>
      </c>
      <c r="H126" s="77" t="s">
        <v>893</v>
      </c>
      <c r="I126" s="68" t="s">
        <v>373</v>
      </c>
      <c r="J126" s="77"/>
      <c r="K126" s="77"/>
      <c r="L126" s="77"/>
      <c r="M126" s="81" t="s">
        <v>557</v>
      </c>
      <c r="N126" s="78" t="s">
        <v>586</v>
      </c>
      <c r="O126" s="68" t="str">
        <f t="shared" si="1"/>
        <v/>
      </c>
      <c r="P126" s="77"/>
      <c r="Q126" s="77"/>
      <c r="R126" s="77"/>
      <c r="S126" s="77"/>
      <c r="T126" s="77"/>
    </row>
    <row r="127" ht="15.0" customHeight="1">
      <c r="A127" s="79"/>
      <c r="B127" s="79"/>
      <c r="C127" s="79"/>
      <c r="D127" s="79" t="s">
        <v>894</v>
      </c>
      <c r="E127" s="80" t="s">
        <v>357</v>
      </c>
      <c r="F127" s="80" t="s">
        <v>752</v>
      </c>
      <c r="G127" s="80" t="s">
        <v>895</v>
      </c>
      <c r="H127" s="80" t="s">
        <v>896</v>
      </c>
      <c r="I127" s="79" t="s">
        <v>373</v>
      </c>
      <c r="J127" s="80"/>
      <c r="K127" s="80"/>
      <c r="L127" s="80"/>
      <c r="M127" s="81" t="s">
        <v>557</v>
      </c>
      <c r="N127" s="82" t="s">
        <v>586</v>
      </c>
      <c r="O127" s="79" t="str">
        <f t="shared" si="1"/>
        <v/>
      </c>
      <c r="P127" s="80"/>
      <c r="Q127" s="80"/>
      <c r="R127" s="80"/>
      <c r="S127" s="80"/>
      <c r="T127" s="80"/>
    </row>
    <row r="128" ht="15.0" customHeight="1">
      <c r="A128" s="68"/>
      <c r="B128" s="68"/>
      <c r="C128" s="68"/>
      <c r="D128" s="68" t="s">
        <v>897</v>
      </c>
      <c r="E128" s="77" t="s">
        <v>357</v>
      </c>
      <c r="F128" s="77" t="s">
        <v>898</v>
      </c>
      <c r="G128" s="77" t="s">
        <v>899</v>
      </c>
      <c r="H128" s="77" t="s">
        <v>900</v>
      </c>
      <c r="I128" s="68" t="s">
        <v>373</v>
      </c>
      <c r="J128" s="77"/>
      <c r="K128" s="77"/>
      <c r="L128" s="77"/>
      <c r="M128" s="81" t="s">
        <v>557</v>
      </c>
      <c r="N128" s="78" t="s">
        <v>586</v>
      </c>
      <c r="O128" s="68" t="str">
        <f t="shared" si="1"/>
        <v/>
      </c>
      <c r="P128" s="77"/>
      <c r="Q128" s="77"/>
      <c r="R128" s="77"/>
      <c r="S128" s="77"/>
      <c r="T128" s="77"/>
    </row>
    <row r="129" ht="15.0" customHeight="1">
      <c r="A129" s="79"/>
      <c r="B129" s="79"/>
      <c r="C129" s="79"/>
      <c r="D129" s="79" t="s">
        <v>901</v>
      </c>
      <c r="E129" s="80" t="s">
        <v>357</v>
      </c>
      <c r="F129" s="80" t="s">
        <v>898</v>
      </c>
      <c r="G129" s="80" t="s">
        <v>902</v>
      </c>
      <c r="H129" s="80" t="s">
        <v>903</v>
      </c>
      <c r="I129" s="79" t="s">
        <v>373</v>
      </c>
      <c r="J129" s="80"/>
      <c r="K129" s="80"/>
      <c r="L129" s="80"/>
      <c r="M129" s="81" t="s">
        <v>557</v>
      </c>
      <c r="N129" s="82" t="s">
        <v>586</v>
      </c>
      <c r="O129" s="79" t="str">
        <f t="shared" si="1"/>
        <v/>
      </c>
      <c r="P129" s="80"/>
      <c r="Q129" s="80"/>
      <c r="R129" s="80"/>
      <c r="S129" s="80"/>
      <c r="T129" s="80"/>
    </row>
    <row r="130" ht="15.0" customHeight="1">
      <c r="A130" s="68"/>
      <c r="B130" s="68"/>
      <c r="C130" s="68"/>
      <c r="D130" s="68" t="s">
        <v>904</v>
      </c>
      <c r="E130" s="77" t="s">
        <v>357</v>
      </c>
      <c r="F130" s="77" t="s">
        <v>898</v>
      </c>
      <c r="G130" s="77" t="s">
        <v>905</v>
      </c>
      <c r="H130" s="77" t="s">
        <v>906</v>
      </c>
      <c r="I130" s="68" t="s">
        <v>373</v>
      </c>
      <c r="J130" s="77"/>
      <c r="K130" s="77"/>
      <c r="L130" s="77"/>
      <c r="M130" s="81" t="s">
        <v>557</v>
      </c>
      <c r="N130" s="78" t="s">
        <v>586</v>
      </c>
      <c r="O130" s="68" t="str">
        <f t="shared" si="1"/>
        <v/>
      </c>
      <c r="P130" s="77"/>
      <c r="Q130" s="77"/>
      <c r="R130" s="77"/>
      <c r="S130" s="77"/>
      <c r="T130" s="77"/>
    </row>
    <row r="131" ht="15.0" customHeight="1">
      <c r="A131" s="79"/>
      <c r="B131" s="79"/>
      <c r="C131" s="79"/>
      <c r="D131" s="79" t="s">
        <v>907</v>
      </c>
      <c r="E131" s="80" t="s">
        <v>357</v>
      </c>
      <c r="F131" s="80" t="s">
        <v>898</v>
      </c>
      <c r="G131" s="80" t="s">
        <v>908</v>
      </c>
      <c r="H131" s="80" t="s">
        <v>909</v>
      </c>
      <c r="I131" s="79" t="s">
        <v>373</v>
      </c>
      <c r="J131" s="80"/>
      <c r="K131" s="80"/>
      <c r="L131" s="80"/>
      <c r="M131" s="81" t="s">
        <v>557</v>
      </c>
      <c r="N131" s="82" t="s">
        <v>586</v>
      </c>
      <c r="O131" s="79" t="str">
        <f t="shared" si="1"/>
        <v/>
      </c>
      <c r="P131" s="80"/>
      <c r="Q131" s="80"/>
      <c r="R131" s="80"/>
      <c r="S131" s="80"/>
      <c r="T131" s="80"/>
    </row>
    <row r="132" ht="15.0" customHeight="1">
      <c r="A132" s="68"/>
      <c r="B132" s="68"/>
      <c r="C132" s="68"/>
      <c r="D132" s="68" t="s">
        <v>910</v>
      </c>
      <c r="E132" s="77" t="s">
        <v>357</v>
      </c>
      <c r="F132" s="77" t="s">
        <v>898</v>
      </c>
      <c r="G132" s="77" t="s">
        <v>911</v>
      </c>
      <c r="H132" s="77" t="s">
        <v>912</v>
      </c>
      <c r="I132" s="68" t="s">
        <v>373</v>
      </c>
      <c r="J132" s="77"/>
      <c r="K132" s="77"/>
      <c r="L132" s="77"/>
      <c r="M132" s="81" t="s">
        <v>557</v>
      </c>
      <c r="N132" s="78" t="s">
        <v>586</v>
      </c>
      <c r="O132" s="68" t="str">
        <f t="shared" si="1"/>
        <v/>
      </c>
      <c r="P132" s="77"/>
      <c r="Q132" s="77"/>
      <c r="R132" s="77"/>
      <c r="S132" s="77"/>
      <c r="T132" s="77"/>
    </row>
    <row r="133" ht="15.0" customHeight="1">
      <c r="A133" s="79"/>
      <c r="B133" s="79"/>
      <c r="C133" s="79"/>
      <c r="D133" s="79" t="s">
        <v>913</v>
      </c>
      <c r="E133" s="80" t="s">
        <v>357</v>
      </c>
      <c r="F133" s="80" t="s">
        <v>914</v>
      </c>
      <c r="G133" s="80" t="s">
        <v>915</v>
      </c>
      <c r="H133" s="80" t="s">
        <v>916</v>
      </c>
      <c r="I133" s="79" t="s">
        <v>373</v>
      </c>
      <c r="J133" s="80"/>
      <c r="K133" s="80"/>
      <c r="L133" s="80"/>
      <c r="M133" s="81" t="s">
        <v>557</v>
      </c>
      <c r="N133" s="82" t="s">
        <v>586</v>
      </c>
      <c r="O133" s="79" t="str">
        <f t="shared" si="1"/>
        <v/>
      </c>
      <c r="P133" s="80"/>
      <c r="Q133" s="80"/>
      <c r="R133" s="80"/>
      <c r="S133" s="80"/>
      <c r="T133" s="80"/>
    </row>
    <row r="134" ht="15.0" customHeight="1">
      <c r="A134" s="68"/>
      <c r="B134" s="68"/>
      <c r="C134" s="68"/>
      <c r="D134" s="68" t="s">
        <v>917</v>
      </c>
      <c r="E134" s="77" t="s">
        <v>357</v>
      </c>
      <c r="F134" s="77" t="s">
        <v>914</v>
      </c>
      <c r="G134" s="77" t="s">
        <v>918</v>
      </c>
      <c r="H134" s="77" t="s">
        <v>919</v>
      </c>
      <c r="I134" s="68" t="s">
        <v>373</v>
      </c>
      <c r="J134" s="77"/>
      <c r="K134" s="77"/>
      <c r="L134" s="77"/>
      <c r="M134" s="81" t="s">
        <v>557</v>
      </c>
      <c r="N134" s="78" t="s">
        <v>586</v>
      </c>
      <c r="O134" s="68" t="str">
        <f t="shared" si="1"/>
        <v/>
      </c>
      <c r="P134" s="77"/>
      <c r="Q134" s="77"/>
      <c r="R134" s="77"/>
      <c r="S134" s="77"/>
      <c r="T134" s="77"/>
    </row>
    <row r="135" ht="15.0" customHeight="1">
      <c r="A135" s="79"/>
      <c r="B135" s="79"/>
      <c r="C135" s="79"/>
      <c r="D135" s="79" t="s">
        <v>920</v>
      </c>
      <c r="E135" s="80" t="s">
        <v>357</v>
      </c>
      <c r="F135" s="80" t="s">
        <v>914</v>
      </c>
      <c r="G135" s="80" t="s">
        <v>921</v>
      </c>
      <c r="H135" s="80" t="s">
        <v>922</v>
      </c>
      <c r="I135" s="79" t="s">
        <v>373</v>
      </c>
      <c r="J135" s="80"/>
      <c r="K135" s="80"/>
      <c r="L135" s="80"/>
      <c r="M135" s="81" t="s">
        <v>557</v>
      </c>
      <c r="N135" s="82" t="s">
        <v>586</v>
      </c>
      <c r="O135" s="79" t="str">
        <f t="shared" si="1"/>
        <v/>
      </c>
      <c r="P135" s="80"/>
      <c r="Q135" s="80"/>
      <c r="R135" s="80"/>
      <c r="S135" s="80"/>
      <c r="T135" s="80"/>
    </row>
    <row r="136" ht="15.0" customHeight="1">
      <c r="A136" s="68"/>
      <c r="B136" s="68"/>
      <c r="C136" s="68"/>
      <c r="D136" s="68" t="s">
        <v>923</v>
      </c>
      <c r="E136" s="77" t="s">
        <v>357</v>
      </c>
      <c r="F136" s="77" t="s">
        <v>914</v>
      </c>
      <c r="G136" s="77" t="s">
        <v>924</v>
      </c>
      <c r="H136" s="77" t="s">
        <v>925</v>
      </c>
      <c r="I136" s="68" t="s">
        <v>373</v>
      </c>
      <c r="J136" s="77"/>
      <c r="K136" s="77"/>
      <c r="L136" s="77"/>
      <c r="M136" s="81" t="s">
        <v>557</v>
      </c>
      <c r="N136" s="78" t="s">
        <v>586</v>
      </c>
      <c r="O136" s="68" t="str">
        <f t="shared" si="1"/>
        <v/>
      </c>
      <c r="P136" s="77"/>
      <c r="Q136" s="77"/>
      <c r="R136" s="77"/>
      <c r="S136" s="77"/>
      <c r="T136" s="77"/>
    </row>
    <row r="137" ht="15.0" customHeight="1">
      <c r="A137" s="79"/>
      <c r="B137" s="79"/>
      <c r="C137" s="79"/>
      <c r="D137" s="79" t="s">
        <v>926</v>
      </c>
      <c r="E137" s="80" t="s">
        <v>419</v>
      </c>
      <c r="F137" s="80" t="s">
        <v>927</v>
      </c>
      <c r="G137" s="80" t="s">
        <v>928</v>
      </c>
      <c r="H137" s="80" t="s">
        <v>929</v>
      </c>
      <c r="I137" s="79" t="s">
        <v>373</v>
      </c>
      <c r="J137" s="80"/>
      <c r="K137" s="80"/>
      <c r="L137" s="80"/>
      <c r="M137" s="80"/>
      <c r="N137" s="82" t="s">
        <v>586</v>
      </c>
      <c r="O137" s="79" t="str">
        <f t="shared" si="1"/>
        <v/>
      </c>
      <c r="P137" s="80"/>
      <c r="Q137" s="80"/>
      <c r="R137" s="80"/>
      <c r="S137" s="80"/>
      <c r="T137" s="80"/>
    </row>
    <row r="138" ht="15.0" customHeight="1">
      <c r="A138" s="68"/>
      <c r="B138" s="68"/>
      <c r="C138" s="68"/>
      <c r="D138" s="68" t="s">
        <v>930</v>
      </c>
      <c r="E138" s="77" t="s">
        <v>419</v>
      </c>
      <c r="F138" s="77" t="s">
        <v>927</v>
      </c>
      <c r="G138" s="77" t="s">
        <v>931</v>
      </c>
      <c r="H138" s="77" t="s">
        <v>932</v>
      </c>
      <c r="I138" s="68" t="s">
        <v>373</v>
      </c>
      <c r="J138" s="77"/>
      <c r="K138" s="77"/>
      <c r="L138" s="77"/>
      <c r="M138" s="77"/>
      <c r="N138" s="78" t="s">
        <v>586</v>
      </c>
      <c r="O138" s="68" t="str">
        <f t="shared" si="1"/>
        <v/>
      </c>
      <c r="P138" s="77"/>
      <c r="Q138" s="77"/>
      <c r="R138" s="77"/>
      <c r="S138" s="77"/>
      <c r="T138" s="77"/>
    </row>
    <row r="139" ht="15.0" customHeight="1">
      <c r="A139" s="79"/>
      <c r="B139" s="79"/>
      <c r="C139" s="79"/>
      <c r="D139" s="79" t="s">
        <v>933</v>
      </c>
      <c r="E139" s="80" t="s">
        <v>419</v>
      </c>
      <c r="F139" s="80" t="s">
        <v>927</v>
      </c>
      <c r="G139" s="80" t="s">
        <v>934</v>
      </c>
      <c r="H139" s="80" t="s">
        <v>935</v>
      </c>
      <c r="I139" s="79" t="s">
        <v>373</v>
      </c>
      <c r="J139" s="80"/>
      <c r="K139" s="80"/>
      <c r="L139" s="80"/>
      <c r="M139" s="80"/>
      <c r="N139" s="82" t="s">
        <v>586</v>
      </c>
      <c r="O139" s="79" t="str">
        <f t="shared" si="1"/>
        <v/>
      </c>
      <c r="P139" s="80"/>
      <c r="Q139" s="80"/>
      <c r="R139" s="80"/>
      <c r="S139" s="80"/>
      <c r="T139" s="80"/>
    </row>
    <row r="140" ht="15.0" customHeight="1">
      <c r="A140" s="68"/>
      <c r="B140" s="68"/>
      <c r="C140" s="68"/>
      <c r="D140" s="68" t="s">
        <v>936</v>
      </c>
      <c r="E140" s="77" t="s">
        <v>419</v>
      </c>
      <c r="F140" s="77" t="s">
        <v>927</v>
      </c>
      <c r="G140" s="77" t="s">
        <v>937</v>
      </c>
      <c r="H140" s="77" t="s">
        <v>938</v>
      </c>
      <c r="I140" s="68" t="s">
        <v>373</v>
      </c>
      <c r="J140" s="77"/>
      <c r="K140" s="77"/>
      <c r="L140" s="77"/>
      <c r="M140" s="77"/>
      <c r="N140" s="78" t="s">
        <v>586</v>
      </c>
      <c r="O140" s="68" t="str">
        <f t="shared" si="1"/>
        <v/>
      </c>
      <c r="P140" s="77"/>
      <c r="Q140" s="77"/>
      <c r="R140" s="77"/>
      <c r="S140" s="77"/>
      <c r="T140" s="77"/>
    </row>
    <row r="141" ht="15.0" customHeight="1">
      <c r="A141" s="79"/>
      <c r="B141" s="79"/>
      <c r="C141" s="79"/>
      <c r="D141" s="79" t="s">
        <v>939</v>
      </c>
      <c r="E141" s="80" t="s">
        <v>419</v>
      </c>
      <c r="F141" s="80" t="s">
        <v>927</v>
      </c>
      <c r="G141" s="80" t="s">
        <v>940</v>
      </c>
      <c r="H141" s="80" t="s">
        <v>941</v>
      </c>
      <c r="I141" s="79" t="s">
        <v>373</v>
      </c>
      <c r="J141" s="80"/>
      <c r="K141" s="80"/>
      <c r="L141" s="80"/>
      <c r="M141" s="80"/>
      <c r="N141" s="82" t="s">
        <v>586</v>
      </c>
      <c r="O141" s="79" t="str">
        <f t="shared" si="1"/>
        <v/>
      </c>
      <c r="P141" s="80"/>
      <c r="Q141" s="80"/>
      <c r="R141" s="80"/>
      <c r="S141" s="80"/>
      <c r="T141" s="80"/>
    </row>
    <row r="142" ht="15.0" customHeight="1">
      <c r="A142" s="68"/>
      <c r="B142" s="68"/>
      <c r="C142" s="68"/>
      <c r="D142" s="68" t="s">
        <v>942</v>
      </c>
      <c r="E142" s="77" t="s">
        <v>419</v>
      </c>
      <c r="F142" s="77" t="s">
        <v>927</v>
      </c>
      <c r="G142" s="77" t="s">
        <v>943</v>
      </c>
      <c r="H142" s="77" t="s">
        <v>944</v>
      </c>
      <c r="I142" s="68" t="s">
        <v>373</v>
      </c>
      <c r="J142" s="77"/>
      <c r="K142" s="77"/>
      <c r="L142" s="77"/>
      <c r="M142" s="81" t="s">
        <v>557</v>
      </c>
      <c r="N142" s="78" t="s">
        <v>586</v>
      </c>
      <c r="O142" s="68" t="str">
        <f t="shared" si="1"/>
        <v/>
      </c>
      <c r="P142" s="77"/>
      <c r="Q142" s="77"/>
      <c r="R142" s="77"/>
      <c r="S142" s="77"/>
      <c r="T142" s="77"/>
    </row>
    <row r="143" ht="15.0" customHeight="1">
      <c r="A143" s="79"/>
      <c r="B143" s="79"/>
      <c r="C143" s="79"/>
      <c r="D143" s="79" t="s">
        <v>945</v>
      </c>
      <c r="E143" s="80" t="s">
        <v>419</v>
      </c>
      <c r="F143" s="80" t="s">
        <v>927</v>
      </c>
      <c r="G143" s="80" t="s">
        <v>946</v>
      </c>
      <c r="H143" s="80" t="s">
        <v>947</v>
      </c>
      <c r="I143" s="79" t="s">
        <v>373</v>
      </c>
      <c r="J143" s="80"/>
      <c r="K143" s="80"/>
      <c r="L143" s="80"/>
      <c r="M143" s="80"/>
      <c r="N143" s="82" t="s">
        <v>586</v>
      </c>
      <c r="O143" s="79" t="str">
        <f t="shared" si="1"/>
        <v/>
      </c>
      <c r="P143" s="80"/>
      <c r="Q143" s="80"/>
      <c r="R143" s="80"/>
      <c r="S143" s="80"/>
      <c r="T143" s="80"/>
    </row>
    <row r="144" ht="15.0" customHeight="1">
      <c r="A144" s="68"/>
      <c r="B144" s="68"/>
      <c r="C144" s="68"/>
      <c r="D144" s="68" t="s">
        <v>948</v>
      </c>
      <c r="E144" s="77" t="s">
        <v>419</v>
      </c>
      <c r="F144" s="77" t="s">
        <v>949</v>
      </c>
      <c r="G144" s="77" t="s">
        <v>950</v>
      </c>
      <c r="H144" s="77" t="s">
        <v>951</v>
      </c>
      <c r="I144" s="68" t="s">
        <v>373</v>
      </c>
      <c r="J144" s="77"/>
      <c r="K144" s="77"/>
      <c r="L144" s="77"/>
      <c r="M144" s="77"/>
      <c r="N144" s="78" t="s">
        <v>586</v>
      </c>
      <c r="O144" s="68" t="str">
        <f t="shared" si="1"/>
        <v/>
      </c>
      <c r="P144" s="77"/>
      <c r="Q144" s="77"/>
      <c r="R144" s="77"/>
      <c r="S144" s="77"/>
      <c r="T144" s="77"/>
    </row>
    <row r="145" ht="15.0" customHeight="1">
      <c r="A145" s="79"/>
      <c r="B145" s="79"/>
      <c r="C145" s="79"/>
      <c r="D145" s="79" t="s">
        <v>952</v>
      </c>
      <c r="E145" s="80" t="s">
        <v>419</v>
      </c>
      <c r="F145" s="80" t="s">
        <v>949</v>
      </c>
      <c r="G145" s="80" t="s">
        <v>953</v>
      </c>
      <c r="H145" s="80" t="s">
        <v>954</v>
      </c>
      <c r="I145" s="79" t="s">
        <v>373</v>
      </c>
      <c r="J145" s="80"/>
      <c r="K145" s="80"/>
      <c r="L145" s="80"/>
      <c r="M145" s="80"/>
      <c r="N145" s="82" t="s">
        <v>586</v>
      </c>
      <c r="O145" s="79" t="str">
        <f t="shared" si="1"/>
        <v/>
      </c>
      <c r="P145" s="80"/>
      <c r="Q145" s="80"/>
      <c r="R145" s="80"/>
      <c r="S145" s="80"/>
      <c r="T145" s="80"/>
    </row>
    <row r="146" ht="15.0" customHeight="1">
      <c r="A146" s="68"/>
      <c r="B146" s="68"/>
      <c r="C146" s="68"/>
      <c r="D146" s="68" t="s">
        <v>955</v>
      </c>
      <c r="E146" s="77" t="s">
        <v>419</v>
      </c>
      <c r="F146" s="77" t="s">
        <v>949</v>
      </c>
      <c r="G146" s="77" t="s">
        <v>956</v>
      </c>
      <c r="H146" s="77" t="s">
        <v>957</v>
      </c>
      <c r="I146" s="68" t="s">
        <v>373</v>
      </c>
      <c r="J146" s="77"/>
      <c r="K146" s="77"/>
      <c r="L146" s="77"/>
      <c r="M146" s="77"/>
      <c r="N146" s="78" t="s">
        <v>586</v>
      </c>
      <c r="O146" s="68" t="str">
        <f t="shared" si="1"/>
        <v/>
      </c>
      <c r="P146" s="77"/>
      <c r="Q146" s="77"/>
      <c r="R146" s="77"/>
      <c r="S146" s="77"/>
      <c r="T146" s="77"/>
    </row>
    <row r="147" ht="15.0" customHeight="1">
      <c r="A147" s="79"/>
      <c r="B147" s="79"/>
      <c r="C147" s="79"/>
      <c r="D147" s="79" t="s">
        <v>958</v>
      </c>
      <c r="E147" s="80" t="s">
        <v>419</v>
      </c>
      <c r="F147" s="80" t="s">
        <v>949</v>
      </c>
      <c r="G147" s="80" t="s">
        <v>959</v>
      </c>
      <c r="H147" s="80" t="s">
        <v>960</v>
      </c>
      <c r="I147" s="79" t="s">
        <v>373</v>
      </c>
      <c r="J147" s="80"/>
      <c r="K147" s="80"/>
      <c r="L147" s="80"/>
      <c r="M147" s="80"/>
      <c r="N147" s="82" t="s">
        <v>586</v>
      </c>
      <c r="O147" s="79" t="str">
        <f t="shared" si="1"/>
        <v/>
      </c>
      <c r="P147" s="80"/>
      <c r="Q147" s="80"/>
      <c r="R147" s="80"/>
      <c r="S147" s="80"/>
      <c r="T147" s="80"/>
    </row>
    <row r="148" ht="15.0" customHeight="1">
      <c r="A148" s="68"/>
      <c r="B148" s="68"/>
      <c r="C148" s="68"/>
      <c r="D148" s="68" t="s">
        <v>961</v>
      </c>
      <c r="E148" s="77" t="s">
        <v>419</v>
      </c>
      <c r="F148" s="77" t="s">
        <v>962</v>
      </c>
      <c r="G148" s="77" t="s">
        <v>963</v>
      </c>
      <c r="H148" s="77" t="s">
        <v>964</v>
      </c>
      <c r="I148" s="68" t="s">
        <v>373</v>
      </c>
      <c r="J148" s="77"/>
      <c r="K148" s="77"/>
      <c r="L148" s="77"/>
      <c r="M148" s="81" t="s">
        <v>557</v>
      </c>
      <c r="N148" s="78" t="s">
        <v>586</v>
      </c>
      <c r="O148" s="68" t="str">
        <f t="shared" si="1"/>
        <v/>
      </c>
      <c r="P148" s="77"/>
      <c r="Q148" s="77"/>
      <c r="R148" s="77"/>
      <c r="S148" s="77"/>
      <c r="T148" s="77"/>
    </row>
    <row r="149" ht="15.0" customHeight="1">
      <c r="A149" s="79"/>
      <c r="B149" s="79"/>
      <c r="C149" s="79"/>
      <c r="D149" s="79" t="s">
        <v>965</v>
      </c>
      <c r="E149" s="80" t="s">
        <v>419</v>
      </c>
      <c r="F149" s="80" t="s">
        <v>962</v>
      </c>
      <c r="G149" s="80" t="s">
        <v>966</v>
      </c>
      <c r="H149" s="80" t="s">
        <v>967</v>
      </c>
      <c r="I149" s="79" t="s">
        <v>373</v>
      </c>
      <c r="J149" s="80"/>
      <c r="K149" s="80"/>
      <c r="L149" s="80"/>
      <c r="M149" s="81" t="s">
        <v>557</v>
      </c>
      <c r="N149" s="82" t="s">
        <v>586</v>
      </c>
      <c r="O149" s="79" t="str">
        <f t="shared" si="1"/>
        <v/>
      </c>
      <c r="P149" s="80"/>
      <c r="Q149" s="80"/>
      <c r="R149" s="80"/>
      <c r="S149" s="80"/>
      <c r="T149" s="80"/>
    </row>
    <row r="150" ht="15.0" customHeight="1">
      <c r="A150" s="68"/>
      <c r="B150" s="68"/>
      <c r="C150" s="68"/>
      <c r="D150" s="68" t="s">
        <v>968</v>
      </c>
      <c r="E150" s="77" t="s">
        <v>419</v>
      </c>
      <c r="F150" s="77" t="s">
        <v>962</v>
      </c>
      <c r="G150" s="77" t="s">
        <v>969</v>
      </c>
      <c r="H150" s="77" t="s">
        <v>970</v>
      </c>
      <c r="I150" s="68" t="s">
        <v>373</v>
      </c>
      <c r="J150" s="77"/>
      <c r="K150" s="77"/>
      <c r="L150" s="77"/>
      <c r="M150" s="81" t="s">
        <v>557</v>
      </c>
      <c r="N150" s="78" t="s">
        <v>586</v>
      </c>
      <c r="O150" s="68" t="str">
        <f t="shared" si="1"/>
        <v/>
      </c>
      <c r="P150" s="77"/>
      <c r="Q150" s="77"/>
      <c r="R150" s="77"/>
      <c r="S150" s="77"/>
      <c r="T150" s="77"/>
    </row>
    <row r="151" ht="15.0" customHeight="1">
      <c r="A151" s="79"/>
      <c r="B151" s="79"/>
      <c r="C151" s="79"/>
      <c r="D151" s="79" t="s">
        <v>971</v>
      </c>
      <c r="E151" s="80" t="s">
        <v>419</v>
      </c>
      <c r="F151" s="80" t="s">
        <v>962</v>
      </c>
      <c r="G151" s="80" t="s">
        <v>972</v>
      </c>
      <c r="H151" s="80" t="s">
        <v>973</v>
      </c>
      <c r="I151" s="79" t="s">
        <v>373</v>
      </c>
      <c r="J151" s="80"/>
      <c r="K151" s="80"/>
      <c r="L151" s="80"/>
      <c r="M151" s="81" t="s">
        <v>557</v>
      </c>
      <c r="N151" s="82" t="s">
        <v>586</v>
      </c>
      <c r="O151" s="79" t="str">
        <f t="shared" si="1"/>
        <v/>
      </c>
      <c r="P151" s="80"/>
      <c r="Q151" s="80"/>
      <c r="R151" s="80"/>
      <c r="S151" s="80"/>
      <c r="T151" s="80"/>
    </row>
    <row r="152" ht="15.0" customHeight="1">
      <c r="A152" s="68"/>
      <c r="B152" s="68"/>
      <c r="C152" s="68"/>
      <c r="D152" s="68" t="s">
        <v>974</v>
      </c>
      <c r="E152" s="77" t="s">
        <v>419</v>
      </c>
      <c r="F152" s="77" t="s">
        <v>962</v>
      </c>
      <c r="G152" s="77" t="s">
        <v>975</v>
      </c>
      <c r="H152" s="77" t="s">
        <v>976</v>
      </c>
      <c r="I152" s="68" t="s">
        <v>373</v>
      </c>
      <c r="J152" s="77"/>
      <c r="K152" s="77"/>
      <c r="L152" s="77"/>
      <c r="M152" s="81" t="s">
        <v>557</v>
      </c>
      <c r="N152" s="78" t="s">
        <v>586</v>
      </c>
      <c r="O152" s="68" t="str">
        <f t="shared" si="1"/>
        <v/>
      </c>
      <c r="P152" s="77"/>
      <c r="Q152" s="77"/>
      <c r="R152" s="77"/>
      <c r="S152" s="77"/>
      <c r="T152" s="77"/>
    </row>
    <row r="153" ht="15.0" customHeight="1">
      <c r="A153" s="79"/>
      <c r="B153" s="79"/>
      <c r="C153" s="79"/>
      <c r="D153" s="79" t="s">
        <v>977</v>
      </c>
      <c r="E153" s="80" t="s">
        <v>419</v>
      </c>
      <c r="F153" s="80" t="s">
        <v>962</v>
      </c>
      <c r="G153" s="80" t="s">
        <v>978</v>
      </c>
      <c r="H153" s="80" t="s">
        <v>979</v>
      </c>
      <c r="I153" s="79" t="s">
        <v>373</v>
      </c>
      <c r="J153" s="80"/>
      <c r="K153" s="80"/>
      <c r="L153" s="80"/>
      <c r="M153" s="81" t="s">
        <v>557</v>
      </c>
      <c r="N153" s="82" t="s">
        <v>586</v>
      </c>
      <c r="O153" s="79" t="str">
        <f t="shared" si="1"/>
        <v/>
      </c>
      <c r="P153" s="80"/>
      <c r="Q153" s="80"/>
      <c r="R153" s="80"/>
      <c r="S153" s="80"/>
      <c r="T153" s="80"/>
    </row>
    <row r="154" ht="15.0" customHeight="1">
      <c r="A154" s="68"/>
      <c r="B154" s="68"/>
      <c r="C154" s="68"/>
      <c r="D154" s="68" t="s">
        <v>980</v>
      </c>
      <c r="E154" s="77" t="s">
        <v>419</v>
      </c>
      <c r="F154" s="77" t="s">
        <v>981</v>
      </c>
      <c r="G154" s="77" t="s">
        <v>982</v>
      </c>
      <c r="H154" s="77" t="s">
        <v>983</v>
      </c>
      <c r="I154" s="68" t="s">
        <v>373</v>
      </c>
      <c r="J154" s="77"/>
      <c r="K154" s="77"/>
      <c r="L154" s="77"/>
      <c r="M154" s="81" t="s">
        <v>557</v>
      </c>
      <c r="N154" s="78" t="s">
        <v>586</v>
      </c>
      <c r="O154" s="68" t="str">
        <f t="shared" si="1"/>
        <v/>
      </c>
      <c r="P154" s="77"/>
      <c r="Q154" s="77"/>
      <c r="R154" s="77"/>
      <c r="S154" s="77"/>
      <c r="T154" s="77"/>
    </row>
    <row r="155" ht="15.0" customHeight="1">
      <c r="A155" s="79"/>
      <c r="B155" s="79"/>
      <c r="C155" s="79"/>
      <c r="D155" s="79" t="s">
        <v>984</v>
      </c>
      <c r="E155" s="80" t="s">
        <v>419</v>
      </c>
      <c r="F155" s="80" t="s">
        <v>981</v>
      </c>
      <c r="G155" s="80" t="s">
        <v>985</v>
      </c>
      <c r="H155" s="80" t="s">
        <v>986</v>
      </c>
      <c r="I155" s="79" t="s">
        <v>373</v>
      </c>
      <c r="J155" s="80"/>
      <c r="K155" s="80"/>
      <c r="L155" s="80"/>
      <c r="M155" s="80"/>
      <c r="N155" s="82" t="s">
        <v>586</v>
      </c>
      <c r="O155" s="79" t="str">
        <f t="shared" si="1"/>
        <v/>
      </c>
      <c r="P155" s="80"/>
      <c r="Q155" s="80"/>
      <c r="R155" s="80"/>
      <c r="S155" s="80"/>
      <c r="T155" s="80"/>
    </row>
    <row r="156" ht="15.0" customHeight="1">
      <c r="A156" s="68"/>
      <c r="B156" s="68"/>
      <c r="C156" s="68"/>
      <c r="D156" s="68" t="s">
        <v>987</v>
      </c>
      <c r="E156" s="77" t="s">
        <v>419</v>
      </c>
      <c r="F156" s="77" t="s">
        <v>981</v>
      </c>
      <c r="G156" s="77" t="s">
        <v>988</v>
      </c>
      <c r="H156" s="77" t="s">
        <v>989</v>
      </c>
      <c r="I156" s="68" t="s">
        <v>373</v>
      </c>
      <c r="J156" s="77"/>
      <c r="K156" s="77"/>
      <c r="L156" s="77"/>
      <c r="M156" s="77"/>
      <c r="N156" s="78" t="s">
        <v>586</v>
      </c>
      <c r="O156" s="68" t="str">
        <f t="shared" si="1"/>
        <v/>
      </c>
      <c r="P156" s="77"/>
      <c r="Q156" s="77"/>
      <c r="R156" s="77"/>
      <c r="S156" s="77"/>
      <c r="T156" s="77"/>
    </row>
    <row r="157" ht="15.0" customHeight="1">
      <c r="A157" s="79"/>
      <c r="B157" s="79"/>
      <c r="C157" s="79"/>
      <c r="D157" s="79" t="s">
        <v>990</v>
      </c>
      <c r="E157" s="80" t="s">
        <v>419</v>
      </c>
      <c r="F157" s="80" t="s">
        <v>981</v>
      </c>
      <c r="G157" s="80" t="s">
        <v>991</v>
      </c>
      <c r="H157" s="80" t="s">
        <v>992</v>
      </c>
      <c r="I157" s="79" t="s">
        <v>373</v>
      </c>
      <c r="J157" s="80"/>
      <c r="K157" s="80"/>
      <c r="L157" s="80"/>
      <c r="M157" s="80"/>
      <c r="N157" s="82" t="s">
        <v>586</v>
      </c>
      <c r="O157" s="79" t="str">
        <f t="shared" si="1"/>
        <v/>
      </c>
      <c r="P157" s="80"/>
      <c r="Q157" s="80"/>
      <c r="R157" s="80"/>
      <c r="S157" s="80"/>
      <c r="T157" s="80"/>
    </row>
    <row r="158" ht="15.0" customHeight="1">
      <c r="A158" s="68"/>
      <c r="B158" s="68"/>
      <c r="C158" s="68"/>
      <c r="D158" s="68" t="s">
        <v>993</v>
      </c>
      <c r="E158" s="77" t="s">
        <v>419</v>
      </c>
      <c r="F158" s="77" t="s">
        <v>981</v>
      </c>
      <c r="G158" s="77" t="s">
        <v>994</v>
      </c>
      <c r="H158" s="77" t="s">
        <v>995</v>
      </c>
      <c r="I158" s="68" t="s">
        <v>373</v>
      </c>
      <c r="J158" s="77"/>
      <c r="K158" s="77"/>
      <c r="L158" s="77"/>
      <c r="M158" s="81" t="s">
        <v>557</v>
      </c>
      <c r="N158" s="78" t="s">
        <v>586</v>
      </c>
      <c r="O158" s="68" t="str">
        <f t="shared" si="1"/>
        <v/>
      </c>
      <c r="P158" s="77"/>
      <c r="Q158" s="77"/>
      <c r="R158" s="77"/>
      <c r="S158" s="77"/>
      <c r="T158" s="77"/>
    </row>
    <row r="159" ht="15.0" customHeight="1">
      <c r="A159" s="79"/>
      <c r="B159" s="79"/>
      <c r="C159" s="79"/>
      <c r="D159" s="79" t="s">
        <v>996</v>
      </c>
      <c r="E159" s="80" t="s">
        <v>419</v>
      </c>
      <c r="F159" s="80" t="s">
        <v>997</v>
      </c>
      <c r="G159" s="80" t="s">
        <v>998</v>
      </c>
      <c r="H159" s="80" t="s">
        <v>999</v>
      </c>
      <c r="I159" s="79" t="s">
        <v>373</v>
      </c>
      <c r="J159" s="80"/>
      <c r="K159" s="80"/>
      <c r="L159" s="80"/>
      <c r="M159" s="80"/>
      <c r="N159" s="82" t="s">
        <v>586</v>
      </c>
      <c r="O159" s="79" t="str">
        <f t="shared" si="1"/>
        <v/>
      </c>
      <c r="P159" s="80"/>
      <c r="Q159" s="80"/>
      <c r="R159" s="80"/>
      <c r="S159" s="80"/>
      <c r="T159" s="80"/>
    </row>
    <row r="160" ht="15.0" customHeight="1">
      <c r="A160" s="68"/>
      <c r="B160" s="68"/>
      <c r="C160" s="68"/>
      <c r="D160" s="68" t="s">
        <v>1000</v>
      </c>
      <c r="E160" s="77" t="s">
        <v>419</v>
      </c>
      <c r="F160" s="77" t="s">
        <v>997</v>
      </c>
      <c r="G160" s="77" t="s">
        <v>1001</v>
      </c>
      <c r="H160" s="77" t="s">
        <v>1002</v>
      </c>
      <c r="I160" s="68" t="s">
        <v>373</v>
      </c>
      <c r="J160" s="77"/>
      <c r="K160" s="77"/>
      <c r="L160" s="77"/>
      <c r="M160" s="77"/>
      <c r="N160" s="78" t="s">
        <v>586</v>
      </c>
      <c r="O160" s="68" t="str">
        <f t="shared" si="1"/>
        <v/>
      </c>
      <c r="P160" s="77"/>
      <c r="Q160" s="77"/>
      <c r="R160" s="77"/>
      <c r="S160" s="77"/>
      <c r="T160" s="77"/>
    </row>
    <row r="161" ht="15.0" customHeight="1">
      <c r="A161" s="79"/>
      <c r="B161" s="79"/>
      <c r="C161" s="79"/>
      <c r="D161" s="79" t="s">
        <v>1003</v>
      </c>
      <c r="E161" s="80" t="s">
        <v>419</v>
      </c>
      <c r="F161" s="80" t="s">
        <v>997</v>
      </c>
      <c r="G161" s="80" t="s">
        <v>1004</v>
      </c>
      <c r="H161" s="80" t="s">
        <v>1005</v>
      </c>
      <c r="I161" s="79" t="s">
        <v>373</v>
      </c>
      <c r="J161" s="80"/>
      <c r="K161" s="80"/>
      <c r="L161" s="80"/>
      <c r="M161" s="80"/>
      <c r="N161" s="82" t="s">
        <v>586</v>
      </c>
      <c r="O161" s="79" t="str">
        <f t="shared" si="1"/>
        <v/>
      </c>
      <c r="P161" s="80"/>
      <c r="Q161" s="80"/>
      <c r="R161" s="80"/>
      <c r="S161" s="80"/>
      <c r="T161" s="80"/>
    </row>
    <row r="162" ht="15.0" customHeight="1">
      <c r="A162" s="68"/>
      <c r="B162" s="68"/>
      <c r="C162" s="68"/>
      <c r="D162" s="68" t="s">
        <v>1006</v>
      </c>
      <c r="E162" s="77" t="s">
        <v>419</v>
      </c>
      <c r="F162" s="77" t="s">
        <v>997</v>
      </c>
      <c r="G162" s="77" t="s">
        <v>1007</v>
      </c>
      <c r="H162" s="77" t="s">
        <v>1008</v>
      </c>
      <c r="I162" s="68" t="s">
        <v>373</v>
      </c>
      <c r="J162" s="77"/>
      <c r="K162" s="77"/>
      <c r="L162" s="77"/>
      <c r="M162" s="77"/>
      <c r="N162" s="78" t="s">
        <v>586</v>
      </c>
      <c r="O162" s="68" t="str">
        <f t="shared" si="1"/>
        <v/>
      </c>
      <c r="P162" s="77"/>
      <c r="Q162" s="77"/>
      <c r="R162" s="77"/>
      <c r="S162" s="77"/>
      <c r="T162" s="77"/>
    </row>
    <row r="163" ht="15.0" customHeight="1">
      <c r="A163" s="79"/>
      <c r="B163" s="79"/>
      <c r="C163" s="79"/>
      <c r="D163" s="79" t="s">
        <v>1009</v>
      </c>
      <c r="E163" s="80" t="s">
        <v>419</v>
      </c>
      <c r="F163" s="80" t="s">
        <v>997</v>
      </c>
      <c r="G163" s="80" t="s">
        <v>1010</v>
      </c>
      <c r="H163" s="80" t="s">
        <v>1011</v>
      </c>
      <c r="I163" s="79" t="s">
        <v>373</v>
      </c>
      <c r="J163" s="80"/>
      <c r="K163" s="80"/>
      <c r="L163" s="80"/>
      <c r="M163" s="80"/>
      <c r="N163" s="82" t="s">
        <v>586</v>
      </c>
      <c r="O163" s="79" t="str">
        <f t="shared" si="1"/>
        <v/>
      </c>
      <c r="P163" s="80"/>
      <c r="Q163" s="80"/>
      <c r="R163" s="80"/>
      <c r="S163" s="80"/>
      <c r="T163" s="80"/>
    </row>
    <row r="164" ht="15.0" customHeight="1">
      <c r="A164" s="68"/>
      <c r="B164" s="68"/>
      <c r="C164" s="68"/>
      <c r="D164" s="68" t="s">
        <v>1012</v>
      </c>
      <c r="E164" s="77" t="s">
        <v>419</v>
      </c>
      <c r="F164" s="77" t="s">
        <v>997</v>
      </c>
      <c r="G164" s="77" t="s">
        <v>1013</v>
      </c>
      <c r="H164" s="77" t="s">
        <v>1014</v>
      </c>
      <c r="I164" s="68" t="s">
        <v>373</v>
      </c>
      <c r="J164" s="77"/>
      <c r="K164" s="77"/>
      <c r="L164" s="77"/>
      <c r="M164" s="77"/>
      <c r="N164" s="78" t="s">
        <v>586</v>
      </c>
      <c r="O164" s="68" t="str">
        <f t="shared" si="1"/>
        <v/>
      </c>
      <c r="P164" s="77"/>
      <c r="Q164" s="77"/>
      <c r="R164" s="77"/>
      <c r="S164" s="77"/>
      <c r="T164" s="77"/>
    </row>
    <row r="165" ht="15.0" customHeight="1">
      <c r="A165" s="79"/>
      <c r="B165" s="79"/>
      <c r="C165" s="79"/>
      <c r="D165" s="79" t="s">
        <v>1015</v>
      </c>
      <c r="E165" s="80" t="s">
        <v>419</v>
      </c>
      <c r="F165" s="80" t="s">
        <v>1016</v>
      </c>
      <c r="G165" s="80" t="s">
        <v>1017</v>
      </c>
      <c r="H165" s="80" t="s">
        <v>1018</v>
      </c>
      <c r="I165" s="79" t="s">
        <v>373</v>
      </c>
      <c r="J165" s="80"/>
      <c r="K165" s="80"/>
      <c r="L165" s="80"/>
      <c r="M165" s="80"/>
      <c r="N165" s="82" t="s">
        <v>586</v>
      </c>
      <c r="O165" s="79" t="str">
        <f t="shared" si="1"/>
        <v/>
      </c>
      <c r="P165" s="80"/>
      <c r="Q165" s="80"/>
      <c r="R165" s="80"/>
      <c r="S165" s="80"/>
      <c r="T165" s="80"/>
    </row>
    <row r="166" ht="15.0" customHeight="1">
      <c r="A166" s="68"/>
      <c r="B166" s="68"/>
      <c r="C166" s="68"/>
      <c r="D166" s="68" t="s">
        <v>1019</v>
      </c>
      <c r="E166" s="77" t="s">
        <v>419</v>
      </c>
      <c r="F166" s="77" t="s">
        <v>1016</v>
      </c>
      <c r="G166" s="77" t="s">
        <v>1020</v>
      </c>
      <c r="H166" s="77" t="s">
        <v>1021</v>
      </c>
      <c r="I166" s="68" t="s">
        <v>373</v>
      </c>
      <c r="J166" s="77"/>
      <c r="K166" s="77"/>
      <c r="L166" s="77"/>
      <c r="M166" s="77"/>
      <c r="N166" s="78" t="s">
        <v>586</v>
      </c>
      <c r="O166" s="68" t="str">
        <f t="shared" si="1"/>
        <v/>
      </c>
      <c r="P166" s="77"/>
      <c r="Q166" s="77"/>
      <c r="R166" s="77"/>
      <c r="S166" s="77"/>
      <c r="T166" s="77"/>
    </row>
    <row r="167" ht="15.0" customHeight="1">
      <c r="A167" s="79"/>
      <c r="B167" s="79"/>
      <c r="C167" s="79"/>
      <c r="D167" s="79" t="s">
        <v>1022</v>
      </c>
      <c r="E167" s="80" t="s">
        <v>419</v>
      </c>
      <c r="F167" s="80" t="s">
        <v>1016</v>
      </c>
      <c r="G167" s="80" t="s">
        <v>1023</v>
      </c>
      <c r="H167" s="80" t="s">
        <v>1024</v>
      </c>
      <c r="I167" s="79" t="s">
        <v>373</v>
      </c>
      <c r="J167" s="80"/>
      <c r="K167" s="80"/>
      <c r="L167" s="80"/>
      <c r="M167" s="80"/>
      <c r="N167" s="82" t="s">
        <v>586</v>
      </c>
      <c r="O167" s="79" t="str">
        <f t="shared" si="1"/>
        <v/>
      </c>
      <c r="P167" s="80"/>
      <c r="Q167" s="80"/>
      <c r="R167" s="80"/>
      <c r="S167" s="80"/>
      <c r="T167" s="80"/>
    </row>
    <row r="168" ht="15.0" customHeight="1">
      <c r="A168" s="68"/>
      <c r="B168" s="68"/>
      <c r="C168" s="68"/>
      <c r="D168" s="68" t="s">
        <v>1025</v>
      </c>
      <c r="E168" s="77" t="s">
        <v>419</v>
      </c>
      <c r="F168" s="77" t="s">
        <v>1016</v>
      </c>
      <c r="G168" s="77" t="s">
        <v>1026</v>
      </c>
      <c r="H168" s="77" t="s">
        <v>1027</v>
      </c>
      <c r="I168" s="68" t="s">
        <v>373</v>
      </c>
      <c r="J168" s="77"/>
      <c r="K168" s="77"/>
      <c r="L168" s="77"/>
      <c r="M168" s="77"/>
      <c r="N168" s="78" t="s">
        <v>586</v>
      </c>
      <c r="O168" s="68" t="str">
        <f t="shared" si="1"/>
        <v/>
      </c>
      <c r="P168" s="77"/>
      <c r="Q168" s="77"/>
      <c r="R168" s="77"/>
      <c r="S168" s="77"/>
      <c r="T168" s="77"/>
    </row>
    <row r="169" ht="15.0" customHeight="1">
      <c r="A169" s="79"/>
      <c r="B169" s="79"/>
      <c r="C169" s="79"/>
      <c r="D169" s="79" t="s">
        <v>1028</v>
      </c>
      <c r="E169" s="80" t="s">
        <v>368</v>
      </c>
      <c r="F169" s="80" t="s">
        <v>1029</v>
      </c>
      <c r="G169" s="80" t="s">
        <v>1030</v>
      </c>
      <c r="H169" s="80" t="s">
        <v>1031</v>
      </c>
      <c r="I169" s="79" t="s">
        <v>373</v>
      </c>
      <c r="J169" s="80"/>
      <c r="K169" s="80"/>
      <c r="L169" s="80"/>
      <c r="M169" s="81" t="s">
        <v>557</v>
      </c>
      <c r="N169" s="82" t="s">
        <v>586</v>
      </c>
      <c r="O169" s="79" t="str">
        <f t="shared" si="1"/>
        <v/>
      </c>
      <c r="P169" s="80"/>
      <c r="Q169" s="80"/>
      <c r="R169" s="80"/>
      <c r="S169" s="80"/>
      <c r="T169" s="80"/>
    </row>
    <row r="170" ht="15.0" customHeight="1">
      <c r="A170" s="68"/>
      <c r="B170" s="68"/>
      <c r="C170" s="68"/>
      <c r="D170" s="68" t="s">
        <v>1032</v>
      </c>
      <c r="E170" s="77" t="s">
        <v>368</v>
      </c>
      <c r="F170" s="77" t="s">
        <v>1029</v>
      </c>
      <c r="G170" s="77" t="s">
        <v>1033</v>
      </c>
      <c r="H170" s="77" t="s">
        <v>1034</v>
      </c>
      <c r="I170" s="68" t="s">
        <v>373</v>
      </c>
      <c r="J170" s="77"/>
      <c r="K170" s="77"/>
      <c r="L170" s="77"/>
      <c r="M170" s="81" t="s">
        <v>557</v>
      </c>
      <c r="N170" s="78" t="s">
        <v>586</v>
      </c>
      <c r="O170" s="68" t="str">
        <f t="shared" si="1"/>
        <v/>
      </c>
      <c r="P170" s="77"/>
      <c r="Q170" s="77"/>
      <c r="R170" s="77"/>
      <c r="S170" s="77"/>
      <c r="T170" s="77"/>
    </row>
    <row r="171" ht="15.0" customHeight="1">
      <c r="A171" s="79"/>
      <c r="B171" s="79"/>
      <c r="C171" s="79"/>
      <c r="D171" s="79" t="s">
        <v>1035</v>
      </c>
      <c r="E171" s="80" t="s">
        <v>368</v>
      </c>
      <c r="F171" s="80" t="s">
        <v>1029</v>
      </c>
      <c r="G171" s="80" t="s">
        <v>1036</v>
      </c>
      <c r="H171" s="80" t="s">
        <v>1037</v>
      </c>
      <c r="I171" s="79" t="s">
        <v>373</v>
      </c>
      <c r="J171" s="80"/>
      <c r="K171" s="80"/>
      <c r="L171" s="80"/>
      <c r="M171" s="81" t="s">
        <v>557</v>
      </c>
      <c r="N171" s="82" t="s">
        <v>586</v>
      </c>
      <c r="O171" s="79" t="str">
        <f t="shared" si="1"/>
        <v/>
      </c>
      <c r="P171" s="80"/>
      <c r="Q171" s="80"/>
      <c r="R171" s="80"/>
      <c r="S171" s="80"/>
      <c r="T171" s="80"/>
    </row>
    <row r="172" ht="15.0" customHeight="1">
      <c r="A172" s="68"/>
      <c r="B172" s="68"/>
      <c r="C172" s="68"/>
      <c r="D172" s="68" t="s">
        <v>1038</v>
      </c>
      <c r="E172" s="77" t="s">
        <v>368</v>
      </c>
      <c r="F172" s="77" t="s">
        <v>1029</v>
      </c>
      <c r="G172" s="77" t="s">
        <v>1039</v>
      </c>
      <c r="H172" s="77" t="s">
        <v>1040</v>
      </c>
      <c r="I172" s="68" t="s">
        <v>373</v>
      </c>
      <c r="J172" s="77"/>
      <c r="K172" s="77"/>
      <c r="L172" s="77"/>
      <c r="M172" s="81" t="s">
        <v>557</v>
      </c>
      <c r="N172" s="78" t="s">
        <v>586</v>
      </c>
      <c r="O172" s="68" t="str">
        <f t="shared" si="1"/>
        <v/>
      </c>
      <c r="P172" s="77"/>
      <c r="Q172" s="77"/>
      <c r="R172" s="77"/>
      <c r="S172" s="77"/>
      <c r="T172" s="77"/>
    </row>
    <row r="173" ht="15.0" customHeight="1">
      <c r="A173" s="79"/>
      <c r="B173" s="79"/>
      <c r="C173" s="79"/>
      <c r="D173" s="79" t="s">
        <v>1041</v>
      </c>
      <c r="E173" s="80" t="s">
        <v>368</v>
      </c>
      <c r="F173" s="80" t="s">
        <v>1029</v>
      </c>
      <c r="G173" s="80" t="s">
        <v>1042</v>
      </c>
      <c r="H173" s="80" t="s">
        <v>1043</v>
      </c>
      <c r="I173" s="79" t="s">
        <v>373</v>
      </c>
      <c r="J173" s="80"/>
      <c r="K173" s="80"/>
      <c r="L173" s="80"/>
      <c r="M173" s="81" t="s">
        <v>557</v>
      </c>
      <c r="N173" s="82" t="s">
        <v>586</v>
      </c>
      <c r="O173" s="79" t="str">
        <f t="shared" si="1"/>
        <v/>
      </c>
      <c r="P173" s="80"/>
      <c r="Q173" s="80"/>
      <c r="R173" s="80"/>
      <c r="S173" s="80"/>
      <c r="T173" s="80"/>
    </row>
    <row r="174" ht="15.0" customHeight="1">
      <c r="A174" s="68"/>
      <c r="B174" s="68"/>
      <c r="C174" s="68"/>
      <c r="D174" s="68" t="s">
        <v>1044</v>
      </c>
      <c r="E174" s="77" t="s">
        <v>368</v>
      </c>
      <c r="F174" s="77" t="s">
        <v>1029</v>
      </c>
      <c r="G174" s="77" t="s">
        <v>1045</v>
      </c>
      <c r="H174" s="77" t="s">
        <v>1046</v>
      </c>
      <c r="I174" s="68" t="s">
        <v>373</v>
      </c>
      <c r="J174" s="77"/>
      <c r="K174" s="77"/>
      <c r="L174" s="77"/>
      <c r="M174" s="81" t="s">
        <v>557</v>
      </c>
      <c r="N174" s="78" t="s">
        <v>586</v>
      </c>
      <c r="O174" s="68" t="str">
        <f t="shared" si="1"/>
        <v/>
      </c>
      <c r="P174" s="77"/>
      <c r="Q174" s="77"/>
      <c r="R174" s="77"/>
      <c r="S174" s="77"/>
      <c r="T174" s="77"/>
    </row>
    <row r="175" ht="15.0" customHeight="1">
      <c r="A175" s="79"/>
      <c r="B175" s="79"/>
      <c r="C175" s="79"/>
      <c r="D175" s="79" t="s">
        <v>1047</v>
      </c>
      <c r="E175" s="80" t="s">
        <v>368</v>
      </c>
      <c r="F175" s="80" t="s">
        <v>1029</v>
      </c>
      <c r="G175" s="80" t="s">
        <v>1048</v>
      </c>
      <c r="H175" s="80" t="s">
        <v>1049</v>
      </c>
      <c r="I175" s="79" t="s">
        <v>373</v>
      </c>
      <c r="J175" s="80"/>
      <c r="K175" s="80"/>
      <c r="L175" s="80"/>
      <c r="M175" s="81" t="s">
        <v>557</v>
      </c>
      <c r="N175" s="82" t="s">
        <v>586</v>
      </c>
      <c r="O175" s="79" t="str">
        <f t="shared" si="1"/>
        <v/>
      </c>
      <c r="P175" s="80"/>
      <c r="Q175" s="80"/>
      <c r="R175" s="80"/>
      <c r="S175" s="80"/>
      <c r="T175" s="80"/>
    </row>
    <row r="176" ht="15.0" customHeight="1">
      <c r="A176" s="68"/>
      <c r="B176" s="68"/>
      <c r="C176" s="68"/>
      <c r="D176" s="68" t="s">
        <v>1050</v>
      </c>
      <c r="E176" s="77" t="s">
        <v>368</v>
      </c>
      <c r="F176" s="77" t="s">
        <v>1029</v>
      </c>
      <c r="G176" s="77" t="s">
        <v>1051</v>
      </c>
      <c r="H176" s="77" t="s">
        <v>1052</v>
      </c>
      <c r="I176" s="68" t="s">
        <v>373</v>
      </c>
      <c r="J176" s="77"/>
      <c r="K176" s="77"/>
      <c r="L176" s="77"/>
      <c r="M176" s="81" t="s">
        <v>557</v>
      </c>
      <c r="N176" s="78" t="s">
        <v>586</v>
      </c>
      <c r="O176" s="68" t="str">
        <f t="shared" si="1"/>
        <v/>
      </c>
      <c r="P176" s="77"/>
      <c r="Q176" s="77"/>
      <c r="R176" s="77"/>
      <c r="S176" s="77"/>
      <c r="T176" s="77"/>
    </row>
    <row r="177" ht="15.0" customHeight="1">
      <c r="A177" s="79"/>
      <c r="B177" s="79"/>
      <c r="C177" s="79"/>
      <c r="D177" s="79" t="s">
        <v>1053</v>
      </c>
      <c r="E177" s="80" t="s">
        <v>368</v>
      </c>
      <c r="F177" s="80" t="s">
        <v>1054</v>
      </c>
      <c r="G177" s="80" t="s">
        <v>1055</v>
      </c>
      <c r="H177" s="80" t="s">
        <v>1056</v>
      </c>
      <c r="I177" s="79" t="s">
        <v>373</v>
      </c>
      <c r="J177" s="80"/>
      <c r="K177" s="80"/>
      <c r="L177" s="80"/>
      <c r="M177" s="81" t="s">
        <v>557</v>
      </c>
      <c r="N177" s="82" t="s">
        <v>586</v>
      </c>
      <c r="O177" s="79" t="str">
        <f t="shared" si="1"/>
        <v/>
      </c>
      <c r="P177" s="80"/>
      <c r="Q177" s="80"/>
      <c r="R177" s="80"/>
      <c r="S177" s="80"/>
      <c r="T177" s="80"/>
    </row>
    <row r="178" ht="15.0" customHeight="1">
      <c r="A178" s="68"/>
      <c r="B178" s="68"/>
      <c r="C178" s="68"/>
      <c r="D178" s="68" t="s">
        <v>1057</v>
      </c>
      <c r="E178" s="77" t="s">
        <v>368</v>
      </c>
      <c r="F178" s="77" t="s">
        <v>1054</v>
      </c>
      <c r="G178" s="77" t="s">
        <v>1058</v>
      </c>
      <c r="H178" s="77" t="s">
        <v>1059</v>
      </c>
      <c r="I178" s="68" t="s">
        <v>373</v>
      </c>
      <c r="J178" s="77"/>
      <c r="K178" s="77"/>
      <c r="L178" s="77"/>
      <c r="M178" s="81" t="s">
        <v>557</v>
      </c>
      <c r="N178" s="78" t="s">
        <v>586</v>
      </c>
      <c r="O178" s="68" t="str">
        <f t="shared" si="1"/>
        <v/>
      </c>
      <c r="P178" s="77"/>
      <c r="Q178" s="77"/>
      <c r="R178" s="77"/>
      <c r="S178" s="77"/>
      <c r="T178" s="77"/>
    </row>
    <row r="179" ht="15.0" customHeight="1">
      <c r="A179" s="79"/>
      <c r="B179" s="79"/>
      <c r="C179" s="79"/>
      <c r="D179" s="79" t="s">
        <v>1060</v>
      </c>
      <c r="E179" s="80" t="s">
        <v>368</v>
      </c>
      <c r="F179" s="80" t="s">
        <v>1054</v>
      </c>
      <c r="G179" s="80" t="s">
        <v>1061</v>
      </c>
      <c r="H179" s="80" t="s">
        <v>1062</v>
      </c>
      <c r="I179" s="79" t="s">
        <v>373</v>
      </c>
      <c r="J179" s="80"/>
      <c r="K179" s="80"/>
      <c r="L179" s="80"/>
      <c r="M179" s="81" t="s">
        <v>557</v>
      </c>
      <c r="N179" s="82" t="s">
        <v>586</v>
      </c>
      <c r="O179" s="79" t="str">
        <f t="shared" si="1"/>
        <v/>
      </c>
      <c r="P179" s="80"/>
      <c r="Q179" s="80"/>
      <c r="R179" s="80"/>
      <c r="S179" s="80"/>
      <c r="T179" s="80"/>
    </row>
    <row r="180" ht="15.0" customHeight="1">
      <c r="A180" s="68"/>
      <c r="B180" s="68"/>
      <c r="C180" s="68"/>
      <c r="D180" s="68" t="s">
        <v>1063</v>
      </c>
      <c r="E180" s="77" t="s">
        <v>368</v>
      </c>
      <c r="F180" s="77" t="s">
        <v>1054</v>
      </c>
      <c r="G180" s="77" t="s">
        <v>1064</v>
      </c>
      <c r="H180" s="77" t="s">
        <v>1065</v>
      </c>
      <c r="I180" s="68" t="s">
        <v>373</v>
      </c>
      <c r="J180" s="77"/>
      <c r="K180" s="77"/>
      <c r="L180" s="77"/>
      <c r="M180" s="81" t="s">
        <v>557</v>
      </c>
      <c r="N180" s="78" t="s">
        <v>586</v>
      </c>
      <c r="O180" s="68" t="str">
        <f t="shared" si="1"/>
        <v/>
      </c>
      <c r="P180" s="77"/>
      <c r="Q180" s="77"/>
      <c r="R180" s="77"/>
      <c r="S180" s="77"/>
      <c r="T180" s="77"/>
    </row>
    <row r="181" ht="15.0" customHeight="1">
      <c r="A181" s="79"/>
      <c r="B181" s="79"/>
      <c r="C181" s="79"/>
      <c r="D181" s="79" t="s">
        <v>1066</v>
      </c>
      <c r="E181" s="80" t="s">
        <v>368</v>
      </c>
      <c r="F181" s="80" t="s">
        <v>1054</v>
      </c>
      <c r="G181" s="80" t="s">
        <v>1067</v>
      </c>
      <c r="H181" s="80" t="s">
        <v>1068</v>
      </c>
      <c r="I181" s="79" t="s">
        <v>373</v>
      </c>
      <c r="J181" s="80"/>
      <c r="K181" s="80"/>
      <c r="L181" s="80"/>
      <c r="M181" s="81" t="s">
        <v>557</v>
      </c>
      <c r="N181" s="82" t="s">
        <v>586</v>
      </c>
      <c r="O181" s="79" t="str">
        <f t="shared" si="1"/>
        <v/>
      </c>
      <c r="P181" s="80"/>
      <c r="Q181" s="80"/>
      <c r="R181" s="80"/>
      <c r="S181" s="80"/>
      <c r="T181" s="80"/>
    </row>
    <row r="182" ht="15.0" customHeight="1">
      <c r="A182" s="68"/>
      <c r="B182" s="68"/>
      <c r="C182" s="68"/>
      <c r="D182" s="68" t="s">
        <v>1069</v>
      </c>
      <c r="E182" s="77" t="s">
        <v>368</v>
      </c>
      <c r="F182" s="77" t="s">
        <v>1054</v>
      </c>
      <c r="G182" s="77" t="s">
        <v>1070</v>
      </c>
      <c r="H182" s="77" t="s">
        <v>1071</v>
      </c>
      <c r="I182" s="68" t="s">
        <v>373</v>
      </c>
      <c r="J182" s="77"/>
      <c r="K182" s="77"/>
      <c r="L182" s="77"/>
      <c r="M182" s="81" t="s">
        <v>557</v>
      </c>
      <c r="N182" s="78" t="s">
        <v>586</v>
      </c>
      <c r="O182" s="68" t="str">
        <f t="shared" si="1"/>
        <v/>
      </c>
      <c r="P182" s="77"/>
      <c r="Q182" s="77"/>
      <c r="R182" s="77"/>
      <c r="S182" s="77"/>
      <c r="T182" s="77"/>
    </row>
    <row r="183" ht="15.0" customHeight="1">
      <c r="A183" s="79"/>
      <c r="B183" s="79"/>
      <c r="C183" s="79"/>
      <c r="D183" s="79" t="s">
        <v>1072</v>
      </c>
      <c r="E183" s="80" t="s">
        <v>368</v>
      </c>
      <c r="F183" s="80" t="s">
        <v>1054</v>
      </c>
      <c r="G183" s="80" t="s">
        <v>1073</v>
      </c>
      <c r="H183" s="80" t="s">
        <v>1074</v>
      </c>
      <c r="I183" s="79" t="s">
        <v>373</v>
      </c>
      <c r="J183" s="80"/>
      <c r="K183" s="80"/>
      <c r="L183" s="80"/>
      <c r="M183" s="81" t="s">
        <v>557</v>
      </c>
      <c r="N183" s="82" t="s">
        <v>586</v>
      </c>
      <c r="O183" s="79" t="str">
        <f t="shared" si="1"/>
        <v/>
      </c>
      <c r="P183" s="80"/>
      <c r="Q183" s="80"/>
      <c r="R183" s="80"/>
      <c r="S183" s="80"/>
      <c r="T183" s="80"/>
    </row>
    <row r="184" ht="15.0" customHeight="1">
      <c r="A184" s="68"/>
      <c r="B184" s="68"/>
      <c r="C184" s="68"/>
      <c r="D184" s="68" t="s">
        <v>1075</v>
      </c>
      <c r="E184" s="77" t="s">
        <v>368</v>
      </c>
      <c r="F184" s="77" t="s">
        <v>1076</v>
      </c>
      <c r="G184" s="77" t="s">
        <v>1077</v>
      </c>
      <c r="H184" s="77" t="s">
        <v>1078</v>
      </c>
      <c r="I184" s="68" t="s">
        <v>373</v>
      </c>
      <c r="J184" s="77"/>
      <c r="K184" s="77"/>
      <c r="L184" s="77"/>
      <c r="M184" s="81" t="s">
        <v>557</v>
      </c>
      <c r="N184" s="78" t="s">
        <v>586</v>
      </c>
      <c r="O184" s="68" t="str">
        <f t="shared" si="1"/>
        <v/>
      </c>
      <c r="P184" s="77"/>
      <c r="Q184" s="77"/>
      <c r="R184" s="77"/>
      <c r="S184" s="77"/>
      <c r="T184" s="77"/>
    </row>
    <row r="185" ht="15.0" customHeight="1">
      <c r="A185" s="79"/>
      <c r="B185" s="79"/>
      <c r="C185" s="79"/>
      <c r="D185" s="79" t="s">
        <v>1079</v>
      </c>
      <c r="E185" s="80" t="s">
        <v>368</v>
      </c>
      <c r="F185" s="80" t="s">
        <v>1076</v>
      </c>
      <c r="G185" s="80" t="s">
        <v>1080</v>
      </c>
      <c r="H185" s="80" t="s">
        <v>1081</v>
      </c>
      <c r="I185" s="79" t="s">
        <v>373</v>
      </c>
      <c r="J185" s="80"/>
      <c r="K185" s="80"/>
      <c r="L185" s="80"/>
      <c r="M185" s="81" t="s">
        <v>557</v>
      </c>
      <c r="N185" s="82" t="s">
        <v>586</v>
      </c>
      <c r="O185" s="79" t="str">
        <f t="shared" si="1"/>
        <v/>
      </c>
      <c r="P185" s="80"/>
      <c r="Q185" s="80"/>
      <c r="R185" s="80"/>
      <c r="S185" s="80"/>
      <c r="T185" s="80"/>
    </row>
    <row r="186" ht="15.0" customHeight="1">
      <c r="A186" s="68"/>
      <c r="B186" s="68"/>
      <c r="C186" s="68"/>
      <c r="D186" s="68" t="s">
        <v>1082</v>
      </c>
      <c r="E186" s="77" t="s">
        <v>368</v>
      </c>
      <c r="F186" s="77" t="s">
        <v>1076</v>
      </c>
      <c r="G186" s="77" t="s">
        <v>1083</v>
      </c>
      <c r="H186" s="77" t="s">
        <v>1084</v>
      </c>
      <c r="I186" s="68" t="s">
        <v>373</v>
      </c>
      <c r="J186" s="77"/>
      <c r="K186" s="77"/>
      <c r="L186" s="77"/>
      <c r="M186" s="81" t="s">
        <v>557</v>
      </c>
      <c r="N186" s="78" t="s">
        <v>586</v>
      </c>
      <c r="O186" s="68" t="str">
        <f t="shared" si="1"/>
        <v/>
      </c>
      <c r="P186" s="77"/>
      <c r="Q186" s="77"/>
      <c r="R186" s="77"/>
      <c r="S186" s="77"/>
      <c r="T186" s="77"/>
    </row>
    <row r="187" ht="15.0" customHeight="1">
      <c r="A187" s="79"/>
      <c r="B187" s="79"/>
      <c r="C187" s="79"/>
      <c r="D187" s="79" t="s">
        <v>1085</v>
      </c>
      <c r="E187" s="80" t="s">
        <v>368</v>
      </c>
      <c r="F187" s="80" t="s">
        <v>1076</v>
      </c>
      <c r="G187" s="80" t="s">
        <v>1086</v>
      </c>
      <c r="H187" s="80" t="s">
        <v>1087</v>
      </c>
      <c r="I187" s="79" t="s">
        <v>373</v>
      </c>
      <c r="J187" s="80"/>
      <c r="K187" s="80"/>
      <c r="L187" s="80"/>
      <c r="M187" s="81" t="s">
        <v>557</v>
      </c>
      <c r="N187" s="82" t="s">
        <v>586</v>
      </c>
      <c r="O187" s="79" t="str">
        <f t="shared" si="1"/>
        <v/>
      </c>
      <c r="P187" s="80"/>
      <c r="Q187" s="80"/>
      <c r="R187" s="80"/>
      <c r="S187" s="80"/>
      <c r="T187" s="80"/>
    </row>
    <row r="188" ht="15.0" customHeight="1">
      <c r="A188" s="68"/>
      <c r="B188" s="68"/>
      <c r="C188" s="68"/>
      <c r="D188" s="68" t="s">
        <v>1088</v>
      </c>
      <c r="E188" s="77" t="s">
        <v>368</v>
      </c>
      <c r="F188" s="77" t="s">
        <v>1076</v>
      </c>
      <c r="G188" s="77" t="s">
        <v>1089</v>
      </c>
      <c r="H188" s="77" t="s">
        <v>1090</v>
      </c>
      <c r="I188" s="68" t="s">
        <v>373</v>
      </c>
      <c r="J188" s="77"/>
      <c r="K188" s="77"/>
      <c r="L188" s="77"/>
      <c r="M188" s="81" t="s">
        <v>557</v>
      </c>
      <c r="N188" s="78" t="s">
        <v>586</v>
      </c>
      <c r="O188" s="68" t="str">
        <f t="shared" si="1"/>
        <v/>
      </c>
      <c r="P188" s="77"/>
      <c r="Q188" s="77"/>
      <c r="R188" s="77"/>
      <c r="S188" s="77"/>
      <c r="T188" s="77"/>
    </row>
    <row r="189" ht="15.0" customHeight="1">
      <c r="A189" s="79"/>
      <c r="B189" s="79"/>
      <c r="C189" s="79"/>
      <c r="D189" s="79" t="s">
        <v>1091</v>
      </c>
      <c r="E189" s="80" t="s">
        <v>368</v>
      </c>
      <c r="F189" s="80" t="s">
        <v>1092</v>
      </c>
      <c r="G189" s="80" t="s">
        <v>1093</v>
      </c>
      <c r="H189" s="80" t="s">
        <v>1094</v>
      </c>
      <c r="I189" s="79" t="s">
        <v>373</v>
      </c>
      <c r="J189" s="80"/>
      <c r="K189" s="80"/>
      <c r="L189" s="80"/>
      <c r="M189" s="81" t="s">
        <v>557</v>
      </c>
      <c r="N189" s="82" t="s">
        <v>586</v>
      </c>
      <c r="O189" s="79" t="str">
        <f t="shared" si="1"/>
        <v/>
      </c>
      <c r="P189" s="80"/>
      <c r="Q189" s="80"/>
      <c r="R189" s="80"/>
      <c r="S189" s="80"/>
      <c r="T189" s="80"/>
    </row>
    <row r="190" ht="15.0" customHeight="1">
      <c r="A190" s="68"/>
      <c r="B190" s="68"/>
      <c r="C190" s="68"/>
      <c r="D190" s="68" t="s">
        <v>1095</v>
      </c>
      <c r="E190" s="77" t="s">
        <v>368</v>
      </c>
      <c r="F190" s="77" t="s">
        <v>1092</v>
      </c>
      <c r="G190" s="77" t="s">
        <v>1096</v>
      </c>
      <c r="H190" s="77" t="s">
        <v>1097</v>
      </c>
      <c r="I190" s="68" t="s">
        <v>373</v>
      </c>
      <c r="J190" s="77"/>
      <c r="K190" s="77"/>
      <c r="L190" s="77"/>
      <c r="M190" s="81" t="s">
        <v>557</v>
      </c>
      <c r="N190" s="78" t="s">
        <v>586</v>
      </c>
      <c r="O190" s="68" t="str">
        <f t="shared" si="1"/>
        <v/>
      </c>
      <c r="P190" s="77"/>
      <c r="Q190" s="77"/>
      <c r="R190" s="77"/>
      <c r="S190" s="77"/>
      <c r="T190" s="77"/>
    </row>
    <row r="191" ht="15.0" customHeight="1">
      <c r="A191" s="79"/>
      <c r="B191" s="79"/>
      <c r="C191" s="79"/>
      <c r="D191" s="79" t="s">
        <v>1098</v>
      </c>
      <c r="E191" s="80" t="s">
        <v>368</v>
      </c>
      <c r="F191" s="80" t="s">
        <v>1092</v>
      </c>
      <c r="G191" s="80" t="s">
        <v>1099</v>
      </c>
      <c r="H191" s="80" t="s">
        <v>1100</v>
      </c>
      <c r="I191" s="79" t="s">
        <v>373</v>
      </c>
      <c r="J191" s="80"/>
      <c r="K191" s="80"/>
      <c r="L191" s="80"/>
      <c r="M191" s="81" t="s">
        <v>557</v>
      </c>
      <c r="N191" s="82" t="s">
        <v>586</v>
      </c>
      <c r="O191" s="79" t="str">
        <f t="shared" si="1"/>
        <v/>
      </c>
      <c r="P191" s="80"/>
      <c r="Q191" s="80"/>
      <c r="R191" s="80"/>
      <c r="S191" s="80"/>
      <c r="T191" s="80"/>
    </row>
    <row r="192" ht="15.0" customHeight="1">
      <c r="A192" s="68"/>
      <c r="B192" s="68"/>
      <c r="C192" s="68"/>
      <c r="D192" s="68" t="s">
        <v>1101</v>
      </c>
      <c r="E192" s="77" t="s">
        <v>368</v>
      </c>
      <c r="F192" s="77" t="s">
        <v>1092</v>
      </c>
      <c r="G192" s="77" t="s">
        <v>1102</v>
      </c>
      <c r="H192" s="77" t="s">
        <v>1103</v>
      </c>
      <c r="I192" s="68" t="s">
        <v>373</v>
      </c>
      <c r="J192" s="77"/>
      <c r="K192" s="77"/>
      <c r="L192" s="77"/>
      <c r="M192" s="81" t="s">
        <v>557</v>
      </c>
      <c r="N192" s="78" t="s">
        <v>586</v>
      </c>
      <c r="O192" s="68" t="str">
        <f t="shared" si="1"/>
        <v/>
      </c>
      <c r="P192" s="77"/>
      <c r="Q192" s="77"/>
      <c r="R192" s="77"/>
      <c r="S192" s="77"/>
      <c r="T192" s="77"/>
    </row>
    <row r="193" ht="15.0" customHeight="1">
      <c r="A193" s="79"/>
      <c r="B193" s="79"/>
      <c r="C193" s="79"/>
      <c r="D193" s="79" t="s">
        <v>1104</v>
      </c>
      <c r="E193" s="80" t="s">
        <v>368</v>
      </c>
      <c r="F193" s="80" t="s">
        <v>1105</v>
      </c>
      <c r="G193" s="80" t="s">
        <v>1106</v>
      </c>
      <c r="H193" s="80" t="s">
        <v>1107</v>
      </c>
      <c r="I193" s="79" t="s">
        <v>373</v>
      </c>
      <c r="J193" s="80"/>
      <c r="K193" s="80"/>
      <c r="L193" s="80"/>
      <c r="M193" s="81" t="s">
        <v>557</v>
      </c>
      <c r="N193" s="82" t="s">
        <v>586</v>
      </c>
      <c r="O193" s="79" t="str">
        <f t="shared" si="1"/>
        <v/>
      </c>
      <c r="P193" s="80"/>
      <c r="Q193" s="80"/>
      <c r="R193" s="80"/>
      <c r="S193" s="80"/>
      <c r="T193" s="80"/>
    </row>
    <row r="194" ht="15.0" customHeight="1">
      <c r="A194" s="68"/>
      <c r="B194" s="68"/>
      <c r="C194" s="68"/>
      <c r="D194" s="68" t="s">
        <v>1108</v>
      </c>
      <c r="E194" s="77" t="s">
        <v>368</v>
      </c>
      <c r="F194" s="77" t="s">
        <v>1105</v>
      </c>
      <c r="G194" s="77" t="s">
        <v>1109</v>
      </c>
      <c r="H194" s="77" t="s">
        <v>1110</v>
      </c>
      <c r="I194" s="68" t="s">
        <v>373</v>
      </c>
      <c r="J194" s="77"/>
      <c r="K194" s="77"/>
      <c r="L194" s="77"/>
      <c r="M194" s="81" t="s">
        <v>557</v>
      </c>
      <c r="N194" s="78" t="s">
        <v>586</v>
      </c>
      <c r="O194" s="68" t="str">
        <f t="shared" si="1"/>
        <v/>
      </c>
      <c r="P194" s="77"/>
      <c r="Q194" s="77"/>
      <c r="R194" s="77"/>
      <c r="S194" s="77"/>
      <c r="T194" s="77"/>
    </row>
    <row r="195" ht="15.0" customHeight="1">
      <c r="A195" s="79"/>
      <c r="B195" s="79"/>
      <c r="C195" s="79"/>
      <c r="D195" s="79" t="s">
        <v>1111</v>
      </c>
      <c r="E195" s="80" t="s">
        <v>368</v>
      </c>
      <c r="F195" s="80" t="s">
        <v>1112</v>
      </c>
      <c r="G195" s="80" t="s">
        <v>1113</v>
      </c>
      <c r="H195" s="80" t="s">
        <v>1114</v>
      </c>
      <c r="I195" s="79" t="s">
        <v>373</v>
      </c>
      <c r="J195" s="80"/>
      <c r="K195" s="80"/>
      <c r="L195" s="80"/>
      <c r="M195" s="81" t="s">
        <v>557</v>
      </c>
      <c r="N195" s="82" t="s">
        <v>586</v>
      </c>
      <c r="O195" s="79" t="str">
        <f t="shared" si="1"/>
        <v/>
      </c>
      <c r="P195" s="80"/>
      <c r="Q195" s="80"/>
      <c r="R195" s="80"/>
      <c r="S195" s="80"/>
      <c r="T195" s="80"/>
    </row>
    <row r="196" ht="15.0" customHeight="1">
      <c r="A196" s="68"/>
      <c r="B196" s="68"/>
      <c r="C196" s="68"/>
      <c r="D196" s="68" t="s">
        <v>1115</v>
      </c>
      <c r="E196" s="77" t="s">
        <v>368</v>
      </c>
      <c r="F196" s="77" t="s">
        <v>1112</v>
      </c>
      <c r="G196" s="77" t="s">
        <v>1116</v>
      </c>
      <c r="H196" s="77" t="s">
        <v>1117</v>
      </c>
      <c r="I196" s="68" t="s">
        <v>373</v>
      </c>
      <c r="J196" s="77"/>
      <c r="K196" s="77"/>
      <c r="L196" s="77"/>
      <c r="M196" s="81" t="s">
        <v>557</v>
      </c>
      <c r="N196" s="78" t="s">
        <v>586</v>
      </c>
      <c r="O196" s="68" t="str">
        <f t="shared" si="1"/>
        <v/>
      </c>
      <c r="P196" s="77"/>
      <c r="Q196" s="77"/>
      <c r="R196" s="77"/>
      <c r="S196" s="77"/>
      <c r="T196" s="77"/>
    </row>
    <row r="197" ht="15.0" customHeight="1">
      <c r="A197" s="79"/>
      <c r="B197" s="79"/>
      <c r="C197" s="79"/>
      <c r="D197" s="79" t="s">
        <v>1118</v>
      </c>
      <c r="E197" s="80" t="s">
        <v>368</v>
      </c>
      <c r="F197" s="80" t="s">
        <v>1119</v>
      </c>
      <c r="G197" s="80" t="s">
        <v>1120</v>
      </c>
      <c r="H197" s="80" t="s">
        <v>1121</v>
      </c>
      <c r="I197" s="79" t="s">
        <v>373</v>
      </c>
      <c r="J197" s="80"/>
      <c r="K197" s="80"/>
      <c r="L197" s="80"/>
      <c r="M197" s="81" t="s">
        <v>557</v>
      </c>
      <c r="N197" s="82" t="s">
        <v>586</v>
      </c>
      <c r="O197" s="79" t="str">
        <f t="shared" si="1"/>
        <v/>
      </c>
      <c r="P197" s="80"/>
      <c r="Q197" s="80"/>
      <c r="R197" s="80"/>
      <c r="S197" s="80"/>
      <c r="T197" s="80"/>
    </row>
    <row r="198" ht="15.0" customHeight="1">
      <c r="A198" s="68"/>
      <c r="B198" s="68"/>
      <c r="C198" s="68"/>
      <c r="D198" s="68" t="s">
        <v>1122</v>
      </c>
      <c r="E198" s="77" t="s">
        <v>368</v>
      </c>
      <c r="F198" s="77" t="s">
        <v>1119</v>
      </c>
      <c r="G198" s="77" t="s">
        <v>1123</v>
      </c>
      <c r="H198" s="77" t="s">
        <v>1124</v>
      </c>
      <c r="I198" s="68" t="s">
        <v>373</v>
      </c>
      <c r="J198" s="77"/>
      <c r="K198" s="77"/>
      <c r="L198" s="77"/>
      <c r="M198" s="81" t="s">
        <v>557</v>
      </c>
      <c r="N198" s="78" t="s">
        <v>586</v>
      </c>
      <c r="O198" s="68" t="str">
        <f t="shared" si="1"/>
        <v/>
      </c>
      <c r="P198" s="77"/>
      <c r="Q198" s="77"/>
      <c r="R198" s="77"/>
      <c r="S198" s="77"/>
      <c r="T198" s="77"/>
    </row>
    <row r="199" ht="15.0" customHeight="1">
      <c r="A199" s="79"/>
      <c r="B199" s="79"/>
      <c r="C199" s="79"/>
      <c r="D199" s="79" t="s">
        <v>1125</v>
      </c>
      <c r="E199" s="80" t="s">
        <v>368</v>
      </c>
      <c r="F199" s="80" t="s">
        <v>1119</v>
      </c>
      <c r="G199" s="80" t="s">
        <v>1126</v>
      </c>
      <c r="H199" s="80" t="s">
        <v>1127</v>
      </c>
      <c r="I199" s="79" t="s">
        <v>373</v>
      </c>
      <c r="J199" s="80"/>
      <c r="K199" s="80"/>
      <c r="L199" s="80"/>
      <c r="M199" s="81" t="s">
        <v>557</v>
      </c>
      <c r="N199" s="82" t="s">
        <v>586</v>
      </c>
      <c r="O199" s="79" t="str">
        <f t="shared" si="1"/>
        <v/>
      </c>
      <c r="P199" s="80"/>
      <c r="Q199" s="80"/>
      <c r="R199" s="80"/>
      <c r="S199" s="80"/>
      <c r="T199" s="80"/>
    </row>
    <row r="200" ht="15.0" customHeight="1">
      <c r="A200" s="68"/>
      <c r="B200" s="68"/>
      <c r="C200" s="68"/>
      <c r="D200" s="68" t="s">
        <v>1128</v>
      </c>
      <c r="E200" s="77" t="s">
        <v>379</v>
      </c>
      <c r="F200" s="77" t="s">
        <v>668</v>
      </c>
      <c r="G200" s="77" t="s">
        <v>1129</v>
      </c>
      <c r="H200" s="77" t="s">
        <v>1130</v>
      </c>
      <c r="I200" s="68" t="s">
        <v>373</v>
      </c>
      <c r="J200" s="77"/>
      <c r="K200" s="77"/>
      <c r="L200" s="77"/>
      <c r="M200" s="77"/>
      <c r="N200" s="78" t="s">
        <v>586</v>
      </c>
      <c r="O200" s="68" t="str">
        <f t="shared" si="1"/>
        <v/>
      </c>
      <c r="P200" s="77"/>
      <c r="Q200" s="77"/>
      <c r="R200" s="77"/>
      <c r="S200" s="77"/>
      <c r="T200" s="77"/>
    </row>
    <row r="201" ht="15.0" customHeight="1">
      <c r="A201" s="79"/>
      <c r="B201" s="79"/>
      <c r="C201" s="79"/>
      <c r="D201" s="79" t="s">
        <v>1131</v>
      </c>
      <c r="E201" s="80" t="s">
        <v>379</v>
      </c>
      <c r="F201" s="80" t="s">
        <v>668</v>
      </c>
      <c r="G201" s="80" t="s">
        <v>1132</v>
      </c>
      <c r="H201" s="80" t="s">
        <v>1133</v>
      </c>
      <c r="I201" s="79" t="s">
        <v>373</v>
      </c>
      <c r="J201" s="80"/>
      <c r="K201" s="80"/>
      <c r="L201" s="80"/>
      <c r="M201" s="80"/>
      <c r="N201" s="82" t="s">
        <v>586</v>
      </c>
      <c r="O201" s="79" t="str">
        <f t="shared" si="1"/>
        <v/>
      </c>
      <c r="P201" s="80"/>
      <c r="Q201" s="80"/>
      <c r="R201" s="80"/>
      <c r="S201" s="80"/>
      <c r="T201" s="80"/>
    </row>
    <row r="202" ht="15.0" customHeight="1">
      <c r="A202" s="68"/>
      <c r="B202" s="68"/>
      <c r="C202" s="68"/>
      <c r="D202" s="68" t="s">
        <v>1134</v>
      </c>
      <c r="E202" s="77" t="s">
        <v>379</v>
      </c>
      <c r="F202" s="77" t="s">
        <v>668</v>
      </c>
      <c r="G202" s="77" t="s">
        <v>1135</v>
      </c>
      <c r="H202" s="77" t="s">
        <v>1136</v>
      </c>
      <c r="I202" s="68" t="s">
        <v>373</v>
      </c>
      <c r="J202" s="77"/>
      <c r="K202" s="77"/>
      <c r="L202" s="77"/>
      <c r="M202" s="77"/>
      <c r="N202" s="78" t="s">
        <v>586</v>
      </c>
      <c r="O202" s="68" t="str">
        <f t="shared" si="1"/>
        <v/>
      </c>
      <c r="P202" s="77"/>
      <c r="Q202" s="77"/>
      <c r="R202" s="77"/>
      <c r="S202" s="77"/>
      <c r="T202" s="77"/>
    </row>
    <row r="203" ht="15.0" customHeight="1">
      <c r="A203" s="79"/>
      <c r="B203" s="79"/>
      <c r="C203" s="79"/>
      <c r="D203" s="79" t="s">
        <v>1137</v>
      </c>
      <c r="E203" s="80" t="s">
        <v>379</v>
      </c>
      <c r="F203" s="80" t="s">
        <v>752</v>
      </c>
      <c r="G203" s="80" t="s">
        <v>1138</v>
      </c>
      <c r="H203" s="80" t="s">
        <v>1139</v>
      </c>
      <c r="I203" s="79" t="s">
        <v>373</v>
      </c>
      <c r="J203" s="80"/>
      <c r="K203" s="80"/>
      <c r="L203" s="80"/>
      <c r="M203" s="80"/>
      <c r="N203" s="82" t="s">
        <v>586</v>
      </c>
      <c r="O203" s="79" t="str">
        <f t="shared" si="1"/>
        <v/>
      </c>
      <c r="P203" s="80"/>
      <c r="Q203" s="80"/>
      <c r="R203" s="80"/>
      <c r="S203" s="80"/>
      <c r="T203" s="80"/>
    </row>
    <row r="204" ht="23.25" customHeight="1">
      <c r="A204" s="68"/>
      <c r="B204" s="68"/>
      <c r="C204" s="68"/>
      <c r="D204" s="68" t="s">
        <v>1140</v>
      </c>
      <c r="E204" s="77" t="s">
        <v>379</v>
      </c>
      <c r="F204" s="77" t="s">
        <v>752</v>
      </c>
      <c r="G204" s="77" t="s">
        <v>1141</v>
      </c>
      <c r="H204" s="77" t="s">
        <v>1142</v>
      </c>
      <c r="I204" s="68" t="s">
        <v>373</v>
      </c>
      <c r="J204" s="77"/>
      <c r="K204" s="77"/>
      <c r="L204" s="77"/>
      <c r="M204" s="77"/>
      <c r="N204" s="78" t="s">
        <v>586</v>
      </c>
      <c r="O204" s="68" t="str">
        <f t="shared" si="1"/>
        <v/>
      </c>
      <c r="P204" s="77"/>
      <c r="Q204" s="77"/>
      <c r="R204" s="77"/>
      <c r="S204" s="77"/>
      <c r="T204" s="77"/>
    </row>
    <row r="205" ht="15.0" customHeight="1">
      <c r="A205" s="79"/>
      <c r="B205" s="79"/>
      <c r="C205" s="79"/>
      <c r="D205" s="79" t="s">
        <v>1143</v>
      </c>
      <c r="E205" s="80" t="s">
        <v>379</v>
      </c>
      <c r="F205" s="80" t="s">
        <v>752</v>
      </c>
      <c r="G205" s="80" t="s">
        <v>1144</v>
      </c>
      <c r="H205" s="80" t="s">
        <v>1145</v>
      </c>
      <c r="I205" s="79" t="s">
        <v>373</v>
      </c>
      <c r="J205" s="80"/>
      <c r="K205" s="80"/>
      <c r="L205" s="80"/>
      <c r="M205" s="80"/>
      <c r="N205" s="82" t="s">
        <v>586</v>
      </c>
      <c r="O205" s="79" t="str">
        <f t="shared" si="1"/>
        <v/>
      </c>
      <c r="P205" s="80"/>
      <c r="Q205" s="80"/>
      <c r="R205" s="80"/>
      <c r="S205" s="80"/>
      <c r="T205" s="80"/>
    </row>
    <row r="206" ht="15.0" customHeight="1">
      <c r="A206" s="68"/>
      <c r="B206" s="68"/>
      <c r="C206" s="68"/>
      <c r="D206" s="68" t="s">
        <v>1146</v>
      </c>
      <c r="E206" s="77" t="s">
        <v>379</v>
      </c>
      <c r="F206" s="77" t="s">
        <v>752</v>
      </c>
      <c r="G206" s="77" t="s">
        <v>1147</v>
      </c>
      <c r="H206" s="77" t="s">
        <v>1148</v>
      </c>
      <c r="I206" s="68" t="s">
        <v>373</v>
      </c>
      <c r="J206" s="77"/>
      <c r="K206" s="77"/>
      <c r="L206" s="77"/>
      <c r="M206" s="77"/>
      <c r="N206" s="78" t="s">
        <v>586</v>
      </c>
      <c r="O206" s="68" t="str">
        <f t="shared" si="1"/>
        <v/>
      </c>
      <c r="P206" s="77"/>
      <c r="Q206" s="77"/>
      <c r="R206" s="77"/>
      <c r="S206" s="77"/>
      <c r="T206" s="77"/>
    </row>
    <row r="207" ht="15.0" customHeight="1">
      <c r="A207" s="79"/>
      <c r="B207" s="79"/>
      <c r="C207" s="79"/>
      <c r="D207" s="79" t="s">
        <v>1149</v>
      </c>
      <c r="E207" s="80" t="s">
        <v>379</v>
      </c>
      <c r="F207" s="80" t="s">
        <v>1150</v>
      </c>
      <c r="G207" s="80" t="s">
        <v>1151</v>
      </c>
      <c r="H207" s="80" t="s">
        <v>1152</v>
      </c>
      <c r="I207" s="79" t="s">
        <v>373</v>
      </c>
      <c r="J207" s="80"/>
      <c r="K207" s="80"/>
      <c r="L207" s="80"/>
      <c r="M207" s="80"/>
      <c r="N207" s="82" t="s">
        <v>586</v>
      </c>
      <c r="O207" s="79" t="str">
        <f t="shared" si="1"/>
        <v/>
      </c>
      <c r="P207" s="80"/>
      <c r="Q207" s="80"/>
      <c r="R207" s="80"/>
      <c r="S207" s="80"/>
      <c r="T207" s="80"/>
    </row>
    <row r="208" ht="15.0" customHeight="1">
      <c r="A208" s="68"/>
      <c r="B208" s="68"/>
      <c r="C208" s="68"/>
      <c r="D208" s="68" t="s">
        <v>1153</v>
      </c>
      <c r="E208" s="77" t="s">
        <v>379</v>
      </c>
      <c r="F208" s="77" t="s">
        <v>1150</v>
      </c>
      <c r="G208" s="77" t="s">
        <v>1154</v>
      </c>
      <c r="H208" s="77" t="s">
        <v>1155</v>
      </c>
      <c r="I208" s="68" t="s">
        <v>373</v>
      </c>
      <c r="J208" s="77"/>
      <c r="K208" s="77"/>
      <c r="L208" s="77"/>
      <c r="M208" s="77"/>
      <c r="N208" s="78" t="s">
        <v>586</v>
      </c>
      <c r="O208" s="68" t="str">
        <f t="shared" si="1"/>
        <v/>
      </c>
      <c r="P208" s="77"/>
      <c r="Q208" s="77"/>
      <c r="R208" s="77"/>
      <c r="S208" s="77"/>
      <c r="T208" s="77"/>
    </row>
    <row r="209" ht="15.0" customHeight="1">
      <c r="A209" s="79"/>
      <c r="B209" s="79"/>
      <c r="C209" s="79"/>
      <c r="D209" s="79" t="s">
        <v>1156</v>
      </c>
      <c r="E209" s="80" t="s">
        <v>379</v>
      </c>
      <c r="F209" s="80" t="s">
        <v>1150</v>
      </c>
      <c r="G209" s="80" t="s">
        <v>1157</v>
      </c>
      <c r="H209" s="80" t="s">
        <v>1158</v>
      </c>
      <c r="I209" s="79" t="s">
        <v>373</v>
      </c>
      <c r="J209" s="80"/>
      <c r="K209" s="80"/>
      <c r="L209" s="80"/>
      <c r="M209" s="80"/>
      <c r="N209" s="82" t="s">
        <v>586</v>
      </c>
      <c r="O209" s="79" t="str">
        <f t="shared" si="1"/>
        <v/>
      </c>
      <c r="P209" s="80"/>
      <c r="Q209" s="80"/>
      <c r="R209" s="80"/>
      <c r="S209" s="80"/>
      <c r="T209" s="80"/>
    </row>
    <row r="210" ht="15.0" customHeight="1">
      <c r="A210" s="68"/>
      <c r="B210" s="68"/>
      <c r="C210" s="68"/>
      <c r="D210" s="68" t="s">
        <v>1159</v>
      </c>
      <c r="E210" s="77" t="s">
        <v>379</v>
      </c>
      <c r="F210" s="77" t="s">
        <v>1150</v>
      </c>
      <c r="G210" s="77" t="s">
        <v>1160</v>
      </c>
      <c r="H210" s="77" t="s">
        <v>1161</v>
      </c>
      <c r="I210" s="68" t="s">
        <v>373</v>
      </c>
      <c r="J210" s="77"/>
      <c r="K210" s="77"/>
      <c r="L210" s="77"/>
      <c r="M210" s="77"/>
      <c r="N210" s="78" t="s">
        <v>586</v>
      </c>
      <c r="O210" s="68" t="str">
        <f t="shared" si="1"/>
        <v/>
      </c>
      <c r="P210" s="77"/>
      <c r="Q210" s="77"/>
      <c r="R210" s="77"/>
      <c r="S210" s="77"/>
      <c r="T210" s="77"/>
    </row>
    <row r="211" ht="15.0" customHeight="1">
      <c r="A211" s="79"/>
      <c r="B211" s="79"/>
      <c r="C211" s="79"/>
      <c r="D211" s="79" t="s">
        <v>1162</v>
      </c>
      <c r="E211" s="80" t="s">
        <v>379</v>
      </c>
      <c r="F211" s="80" t="s">
        <v>1150</v>
      </c>
      <c r="G211" s="80" t="s">
        <v>1163</v>
      </c>
      <c r="H211" s="80" t="s">
        <v>1164</v>
      </c>
      <c r="I211" s="79" t="s">
        <v>373</v>
      </c>
      <c r="J211" s="80"/>
      <c r="K211" s="80"/>
      <c r="L211" s="80"/>
      <c r="M211" s="80"/>
      <c r="N211" s="82" t="s">
        <v>586</v>
      </c>
      <c r="O211" s="79" t="str">
        <f t="shared" si="1"/>
        <v/>
      </c>
      <c r="P211" s="80"/>
      <c r="Q211" s="80"/>
      <c r="R211" s="80"/>
      <c r="S211" s="80"/>
      <c r="T211" s="80"/>
    </row>
    <row r="212" ht="15.0" customHeight="1">
      <c r="A212" s="68"/>
      <c r="B212" s="68"/>
      <c r="C212" s="68"/>
      <c r="D212" s="68" t="s">
        <v>1165</v>
      </c>
      <c r="E212" s="77" t="s">
        <v>379</v>
      </c>
      <c r="F212" s="77" t="s">
        <v>1166</v>
      </c>
      <c r="G212" s="77" t="s">
        <v>1167</v>
      </c>
      <c r="H212" s="77" t="s">
        <v>1168</v>
      </c>
      <c r="I212" s="68" t="s">
        <v>373</v>
      </c>
      <c r="J212" s="77"/>
      <c r="K212" s="77"/>
      <c r="L212" s="77"/>
      <c r="M212" s="77"/>
      <c r="N212" s="78" t="s">
        <v>586</v>
      </c>
      <c r="O212" s="68" t="str">
        <f t="shared" si="1"/>
        <v/>
      </c>
      <c r="P212" s="77"/>
      <c r="Q212" s="77"/>
      <c r="R212" s="77"/>
      <c r="S212" s="77"/>
      <c r="T212" s="77"/>
    </row>
    <row r="213" ht="15.0" customHeight="1">
      <c r="A213" s="79"/>
      <c r="B213" s="79"/>
      <c r="C213" s="79"/>
      <c r="D213" s="79" t="s">
        <v>1169</v>
      </c>
      <c r="E213" s="80" t="s">
        <v>379</v>
      </c>
      <c r="F213" s="80" t="s">
        <v>1166</v>
      </c>
      <c r="G213" s="80" t="s">
        <v>1170</v>
      </c>
      <c r="H213" s="80" t="s">
        <v>1171</v>
      </c>
      <c r="I213" s="79" t="s">
        <v>373</v>
      </c>
      <c r="J213" s="80"/>
      <c r="K213" s="80"/>
      <c r="L213" s="80"/>
      <c r="M213" s="80"/>
      <c r="N213" s="82" t="s">
        <v>586</v>
      </c>
      <c r="O213" s="79" t="str">
        <f t="shared" si="1"/>
        <v/>
      </c>
      <c r="P213" s="80"/>
      <c r="Q213" s="80"/>
      <c r="R213" s="80"/>
      <c r="S213" s="80"/>
      <c r="T213" s="80"/>
    </row>
    <row r="214" ht="15.0" customHeight="1">
      <c r="A214" s="68"/>
      <c r="B214" s="68"/>
      <c r="C214" s="68"/>
      <c r="D214" s="68" t="s">
        <v>1172</v>
      </c>
      <c r="E214" s="77" t="s">
        <v>379</v>
      </c>
      <c r="F214" s="77" t="s">
        <v>1166</v>
      </c>
      <c r="G214" s="77" t="s">
        <v>1173</v>
      </c>
      <c r="H214" s="77" t="s">
        <v>1174</v>
      </c>
      <c r="I214" s="68" t="s">
        <v>373</v>
      </c>
      <c r="J214" s="77"/>
      <c r="K214" s="77"/>
      <c r="L214" s="77"/>
      <c r="M214" s="77"/>
      <c r="N214" s="78" t="s">
        <v>586</v>
      </c>
      <c r="O214" s="68" t="str">
        <f t="shared" si="1"/>
        <v/>
      </c>
      <c r="P214" s="77"/>
      <c r="Q214" s="77"/>
      <c r="R214" s="77"/>
      <c r="S214" s="77"/>
      <c r="T214" s="77"/>
    </row>
    <row r="215" ht="15.0" customHeight="1">
      <c r="A215" s="79"/>
      <c r="B215" s="79"/>
      <c r="C215" s="79"/>
      <c r="D215" s="79" t="s">
        <v>1175</v>
      </c>
      <c r="E215" s="80" t="s">
        <v>379</v>
      </c>
      <c r="F215" s="80" t="s">
        <v>1166</v>
      </c>
      <c r="G215" s="80" t="s">
        <v>1176</v>
      </c>
      <c r="H215" s="80" t="s">
        <v>1177</v>
      </c>
      <c r="I215" s="79" t="s">
        <v>373</v>
      </c>
      <c r="J215" s="80"/>
      <c r="K215" s="80"/>
      <c r="L215" s="80"/>
      <c r="M215" s="80"/>
      <c r="N215" s="82" t="s">
        <v>586</v>
      </c>
      <c r="O215" s="79" t="str">
        <f t="shared" si="1"/>
        <v/>
      </c>
      <c r="P215" s="80"/>
      <c r="Q215" s="80"/>
      <c r="R215" s="80"/>
      <c r="S215" s="80"/>
      <c r="T215" s="80"/>
    </row>
    <row r="216" ht="15.0" customHeight="1">
      <c r="A216" s="68"/>
      <c r="B216" s="68"/>
      <c r="C216" s="68"/>
      <c r="D216" s="68" t="s">
        <v>1178</v>
      </c>
      <c r="E216" s="77" t="s">
        <v>379</v>
      </c>
      <c r="F216" s="77" t="s">
        <v>864</v>
      </c>
      <c r="G216" s="77" t="s">
        <v>1179</v>
      </c>
      <c r="H216" s="77" t="s">
        <v>1180</v>
      </c>
      <c r="I216" s="68" t="s">
        <v>373</v>
      </c>
      <c r="J216" s="77"/>
      <c r="K216" s="77"/>
      <c r="L216" s="77"/>
      <c r="M216" s="77"/>
      <c r="N216" s="78" t="s">
        <v>586</v>
      </c>
      <c r="O216" s="68" t="str">
        <f t="shared" si="1"/>
        <v/>
      </c>
      <c r="P216" s="77"/>
      <c r="Q216" s="77"/>
      <c r="R216" s="77"/>
      <c r="S216" s="77"/>
      <c r="T216" s="77"/>
    </row>
    <row r="217" ht="15.0" customHeight="1">
      <c r="A217" s="79"/>
      <c r="B217" s="79"/>
      <c r="C217" s="79"/>
      <c r="D217" s="79" t="s">
        <v>1181</v>
      </c>
      <c r="E217" s="80" t="s">
        <v>379</v>
      </c>
      <c r="F217" s="80" t="s">
        <v>864</v>
      </c>
      <c r="G217" s="80" t="s">
        <v>1182</v>
      </c>
      <c r="H217" s="80" t="s">
        <v>1183</v>
      </c>
      <c r="I217" s="79" t="s">
        <v>373</v>
      </c>
      <c r="J217" s="80"/>
      <c r="K217" s="80"/>
      <c r="L217" s="80"/>
      <c r="M217" s="80"/>
      <c r="N217" s="82" t="s">
        <v>586</v>
      </c>
      <c r="O217" s="79" t="str">
        <f t="shared" si="1"/>
        <v/>
      </c>
      <c r="P217" s="80"/>
      <c r="Q217" s="80"/>
      <c r="R217" s="80"/>
      <c r="S217" s="80"/>
      <c r="T217" s="80"/>
    </row>
    <row r="218" ht="15.0" customHeight="1">
      <c r="A218" s="68"/>
      <c r="B218" s="68"/>
      <c r="C218" s="68"/>
      <c r="D218" s="68" t="s">
        <v>1184</v>
      </c>
      <c r="E218" s="77" t="s">
        <v>379</v>
      </c>
      <c r="F218" s="77" t="s">
        <v>864</v>
      </c>
      <c r="G218" s="77" t="s">
        <v>1185</v>
      </c>
      <c r="H218" s="77" t="s">
        <v>1186</v>
      </c>
      <c r="I218" s="68" t="s">
        <v>373</v>
      </c>
      <c r="J218" s="77"/>
      <c r="K218" s="77"/>
      <c r="L218" s="77"/>
      <c r="M218" s="77"/>
      <c r="N218" s="78" t="s">
        <v>586</v>
      </c>
      <c r="O218" s="68" t="str">
        <f t="shared" si="1"/>
        <v/>
      </c>
      <c r="P218" s="77"/>
      <c r="Q218" s="77"/>
      <c r="R218" s="77"/>
      <c r="S218" s="77"/>
      <c r="T218" s="77"/>
    </row>
    <row r="219" ht="15.0" customHeight="1">
      <c r="A219" s="79"/>
      <c r="B219" s="79"/>
      <c r="C219" s="79"/>
      <c r="D219" s="79" t="s">
        <v>1187</v>
      </c>
      <c r="E219" s="80" t="s">
        <v>379</v>
      </c>
      <c r="F219" s="80" t="s">
        <v>864</v>
      </c>
      <c r="G219" s="80" t="s">
        <v>1188</v>
      </c>
      <c r="H219" s="80" t="s">
        <v>1189</v>
      </c>
      <c r="I219" s="79" t="s">
        <v>373</v>
      </c>
      <c r="J219" s="80"/>
      <c r="K219" s="80"/>
      <c r="L219" s="80"/>
      <c r="M219" s="80"/>
      <c r="N219" s="82" t="s">
        <v>586</v>
      </c>
      <c r="O219" s="79" t="str">
        <f t="shared" si="1"/>
        <v/>
      </c>
      <c r="P219" s="80"/>
      <c r="Q219" s="80"/>
      <c r="R219" s="80"/>
      <c r="S219" s="80"/>
      <c r="T219" s="80"/>
    </row>
    <row r="220" ht="15.0" customHeight="1">
      <c r="A220" s="68"/>
      <c r="B220" s="68"/>
      <c r="C220" s="68"/>
      <c r="D220" s="68" t="s">
        <v>1190</v>
      </c>
      <c r="E220" s="77" t="s">
        <v>379</v>
      </c>
      <c r="F220" s="77" t="s">
        <v>864</v>
      </c>
      <c r="G220" s="77" t="s">
        <v>1191</v>
      </c>
      <c r="H220" s="77" t="s">
        <v>1192</v>
      </c>
      <c r="I220" s="68" t="s">
        <v>373</v>
      </c>
      <c r="J220" s="77"/>
      <c r="K220" s="77"/>
      <c r="L220" s="77"/>
      <c r="M220" s="77"/>
      <c r="N220" s="78" t="s">
        <v>586</v>
      </c>
      <c r="O220" s="68" t="str">
        <f t="shared" si="1"/>
        <v/>
      </c>
      <c r="P220" s="77"/>
      <c r="Q220" s="77"/>
      <c r="R220" s="77"/>
      <c r="S220" s="77"/>
      <c r="T220" s="77"/>
    </row>
    <row r="221" ht="23.25" customHeight="1">
      <c r="A221" s="79"/>
      <c r="B221" s="79"/>
      <c r="C221" s="79"/>
      <c r="D221" s="79" t="s">
        <v>1193</v>
      </c>
      <c r="E221" s="80" t="s">
        <v>423</v>
      </c>
      <c r="F221" s="80" t="s">
        <v>1194</v>
      </c>
      <c r="G221" s="80" t="s">
        <v>1195</v>
      </c>
      <c r="H221" s="80" t="s">
        <v>1196</v>
      </c>
      <c r="I221" s="79" t="s">
        <v>373</v>
      </c>
      <c r="J221" s="80"/>
      <c r="K221" s="80"/>
      <c r="L221" s="80"/>
      <c r="M221" s="81" t="s">
        <v>557</v>
      </c>
      <c r="N221" s="82" t="s">
        <v>538</v>
      </c>
      <c r="O221" s="79" t="str">
        <f t="shared" si="1"/>
        <v/>
      </c>
      <c r="P221" s="80"/>
      <c r="Q221" s="80"/>
      <c r="R221" s="80"/>
      <c r="S221" s="80"/>
      <c r="T221" s="80"/>
    </row>
    <row r="222" ht="23.25" customHeight="1">
      <c r="A222" s="68"/>
      <c r="B222" s="68"/>
      <c r="C222" s="68"/>
      <c r="D222" s="68" t="s">
        <v>1197</v>
      </c>
      <c r="E222" s="77" t="s">
        <v>423</v>
      </c>
      <c r="F222" s="77" t="s">
        <v>1194</v>
      </c>
      <c r="G222" s="77" t="s">
        <v>1198</v>
      </c>
      <c r="H222" s="77" t="s">
        <v>1199</v>
      </c>
      <c r="I222" s="68" t="s">
        <v>373</v>
      </c>
      <c r="J222" s="77"/>
      <c r="K222" s="77"/>
      <c r="L222" s="77"/>
      <c r="M222" s="81" t="s">
        <v>557</v>
      </c>
      <c r="N222" s="78" t="s">
        <v>538</v>
      </c>
      <c r="O222" s="68" t="str">
        <f t="shared" si="1"/>
        <v/>
      </c>
      <c r="P222" s="77"/>
      <c r="Q222" s="77"/>
      <c r="R222" s="77"/>
      <c r="S222" s="77"/>
      <c r="T222" s="77"/>
    </row>
    <row r="223" ht="23.25" customHeight="1">
      <c r="A223" s="79"/>
      <c r="B223" s="79"/>
      <c r="C223" s="79"/>
      <c r="D223" s="79" t="s">
        <v>1200</v>
      </c>
      <c r="E223" s="80" t="s">
        <v>423</v>
      </c>
      <c r="F223" s="80" t="s">
        <v>1194</v>
      </c>
      <c r="G223" s="80" t="s">
        <v>1201</v>
      </c>
      <c r="H223" s="80" t="s">
        <v>1196</v>
      </c>
      <c r="I223" s="79" t="s">
        <v>373</v>
      </c>
      <c r="J223" s="80"/>
      <c r="K223" s="80"/>
      <c r="L223" s="80"/>
      <c r="M223" s="81" t="s">
        <v>557</v>
      </c>
      <c r="N223" s="82" t="s">
        <v>538</v>
      </c>
      <c r="O223" s="79" t="str">
        <f t="shared" si="1"/>
        <v/>
      </c>
      <c r="P223" s="80"/>
      <c r="Q223" s="80"/>
      <c r="R223" s="80"/>
      <c r="S223" s="80"/>
      <c r="T223" s="80"/>
    </row>
    <row r="224" ht="23.25" customHeight="1">
      <c r="A224" s="68"/>
      <c r="B224" s="68"/>
      <c r="C224" s="68"/>
      <c r="D224" s="68" t="s">
        <v>1202</v>
      </c>
      <c r="E224" s="77" t="s">
        <v>423</v>
      </c>
      <c r="F224" s="77" t="s">
        <v>1194</v>
      </c>
      <c r="G224" s="77" t="s">
        <v>1203</v>
      </c>
      <c r="H224" s="77" t="s">
        <v>1199</v>
      </c>
      <c r="I224" s="68" t="s">
        <v>373</v>
      </c>
      <c r="J224" s="77"/>
      <c r="K224" s="77"/>
      <c r="L224" s="77"/>
      <c r="M224" s="81" t="s">
        <v>557</v>
      </c>
      <c r="N224" s="78" t="s">
        <v>538</v>
      </c>
      <c r="O224" s="68" t="str">
        <f t="shared" si="1"/>
        <v/>
      </c>
      <c r="P224" s="77"/>
      <c r="Q224" s="77"/>
      <c r="R224" s="77"/>
      <c r="S224" s="77"/>
      <c r="T224" s="77"/>
    </row>
    <row r="225" ht="23.25" customHeight="1">
      <c r="A225" s="79"/>
      <c r="B225" s="79"/>
      <c r="C225" s="79"/>
      <c r="D225" s="79" t="s">
        <v>1204</v>
      </c>
      <c r="E225" s="80" t="s">
        <v>423</v>
      </c>
      <c r="F225" s="80" t="s">
        <v>733</v>
      </c>
      <c r="G225" s="80" t="s">
        <v>1205</v>
      </c>
      <c r="H225" s="80" t="s">
        <v>1206</v>
      </c>
      <c r="I225" s="79" t="s">
        <v>373</v>
      </c>
      <c r="J225" s="80"/>
      <c r="K225" s="80"/>
      <c r="L225" s="80"/>
      <c r="M225" s="80"/>
      <c r="N225" s="82" t="s">
        <v>538</v>
      </c>
      <c r="O225" s="79" t="str">
        <f t="shared" si="1"/>
        <v/>
      </c>
      <c r="P225" s="80"/>
      <c r="Q225" s="80"/>
      <c r="R225" s="80"/>
      <c r="S225" s="80"/>
      <c r="T225" s="80"/>
    </row>
    <row r="226" ht="23.25" customHeight="1">
      <c r="A226" s="68"/>
      <c r="B226" s="68"/>
      <c r="C226" s="68"/>
      <c r="D226" s="68" t="s">
        <v>1207</v>
      </c>
      <c r="E226" s="77" t="s">
        <v>423</v>
      </c>
      <c r="F226" s="77" t="s">
        <v>733</v>
      </c>
      <c r="G226" s="77" t="s">
        <v>1208</v>
      </c>
      <c r="H226" s="77" t="s">
        <v>1199</v>
      </c>
      <c r="I226" s="68" t="s">
        <v>373</v>
      </c>
      <c r="J226" s="77"/>
      <c r="K226" s="77"/>
      <c r="L226" s="77"/>
      <c r="M226" s="81" t="s">
        <v>557</v>
      </c>
      <c r="N226" s="78" t="s">
        <v>538</v>
      </c>
      <c r="O226" s="68" t="str">
        <f t="shared" si="1"/>
        <v/>
      </c>
      <c r="P226" s="77"/>
      <c r="Q226" s="77"/>
      <c r="R226" s="77"/>
      <c r="S226" s="77"/>
      <c r="T226" s="77"/>
    </row>
    <row r="227" ht="23.25" customHeight="1">
      <c r="A227" s="79"/>
      <c r="B227" s="79"/>
      <c r="C227" s="79"/>
      <c r="D227" s="79" t="s">
        <v>1209</v>
      </c>
      <c r="E227" s="80" t="s">
        <v>423</v>
      </c>
      <c r="F227" s="80" t="s">
        <v>733</v>
      </c>
      <c r="G227" s="80" t="s">
        <v>1210</v>
      </c>
      <c r="H227" s="80" t="s">
        <v>1199</v>
      </c>
      <c r="I227" s="79" t="s">
        <v>373</v>
      </c>
      <c r="J227" s="80"/>
      <c r="K227" s="80"/>
      <c r="L227" s="80"/>
      <c r="M227" s="81" t="s">
        <v>557</v>
      </c>
      <c r="N227" s="82" t="s">
        <v>538</v>
      </c>
      <c r="O227" s="79" t="str">
        <f t="shared" si="1"/>
        <v/>
      </c>
      <c r="P227" s="80"/>
      <c r="Q227" s="80"/>
      <c r="R227" s="80"/>
      <c r="S227" s="80"/>
      <c r="T227" s="80"/>
    </row>
    <row r="228" ht="23.25" customHeight="1">
      <c r="A228" s="68"/>
      <c r="B228" s="68"/>
      <c r="C228" s="68"/>
      <c r="D228" s="68" t="s">
        <v>1211</v>
      </c>
      <c r="E228" s="77" t="s">
        <v>423</v>
      </c>
      <c r="F228" s="77" t="s">
        <v>733</v>
      </c>
      <c r="G228" s="77" t="s">
        <v>1212</v>
      </c>
      <c r="H228" s="77" t="s">
        <v>1199</v>
      </c>
      <c r="I228" s="68" t="s">
        <v>373</v>
      </c>
      <c r="J228" s="77"/>
      <c r="K228" s="77"/>
      <c r="L228" s="77"/>
      <c r="M228" s="81" t="s">
        <v>557</v>
      </c>
      <c r="N228" s="78" t="s">
        <v>538</v>
      </c>
      <c r="O228" s="68" t="str">
        <f t="shared" si="1"/>
        <v/>
      </c>
      <c r="P228" s="77"/>
      <c r="Q228" s="77"/>
      <c r="R228" s="77"/>
      <c r="S228" s="77"/>
      <c r="T228" s="77"/>
    </row>
    <row r="229" ht="23.25" customHeight="1">
      <c r="A229" s="79"/>
      <c r="B229" s="79"/>
      <c r="C229" s="79"/>
      <c r="D229" s="79" t="s">
        <v>1213</v>
      </c>
      <c r="E229" s="80" t="s">
        <v>423</v>
      </c>
      <c r="F229" s="80" t="s">
        <v>733</v>
      </c>
      <c r="G229" s="80" t="s">
        <v>1214</v>
      </c>
      <c r="H229" s="80" t="s">
        <v>1199</v>
      </c>
      <c r="I229" s="79" t="s">
        <v>373</v>
      </c>
      <c r="J229" s="80"/>
      <c r="K229" s="80"/>
      <c r="L229" s="80"/>
      <c r="M229" s="81" t="s">
        <v>557</v>
      </c>
      <c r="N229" s="82" t="s">
        <v>538</v>
      </c>
      <c r="O229" s="79" t="str">
        <f t="shared" si="1"/>
        <v/>
      </c>
      <c r="P229" s="80"/>
      <c r="Q229" s="80"/>
      <c r="R229" s="80"/>
      <c r="S229" s="80"/>
      <c r="T229" s="80"/>
    </row>
    <row r="230" ht="20.25" customHeight="1">
      <c r="A230" s="68"/>
      <c r="B230" s="68"/>
      <c r="C230" s="68"/>
      <c r="D230" s="68" t="s">
        <v>1215</v>
      </c>
      <c r="E230" s="77" t="s">
        <v>423</v>
      </c>
      <c r="F230" s="77" t="s">
        <v>733</v>
      </c>
      <c r="G230" s="77" t="s">
        <v>1216</v>
      </c>
      <c r="H230" s="77" t="s">
        <v>1217</v>
      </c>
      <c r="I230" s="68" t="s">
        <v>373</v>
      </c>
      <c r="J230" s="77"/>
      <c r="K230" s="77"/>
      <c r="L230" s="77"/>
      <c r="M230" s="77"/>
      <c r="N230" s="78" t="s">
        <v>532</v>
      </c>
      <c r="O230" s="68" t="str">
        <f t="shared" si="1"/>
        <v/>
      </c>
      <c r="P230" s="77"/>
      <c r="Q230" s="77"/>
      <c r="R230" s="77"/>
      <c r="S230" s="77"/>
      <c r="T230" s="77"/>
    </row>
    <row r="231" ht="23.25" customHeight="1">
      <c r="A231" s="79"/>
      <c r="B231" s="79"/>
      <c r="C231" s="79"/>
      <c r="D231" s="79" t="s">
        <v>1218</v>
      </c>
      <c r="E231" s="80" t="s">
        <v>423</v>
      </c>
      <c r="F231" s="80" t="s">
        <v>1219</v>
      </c>
      <c r="G231" s="80" t="s">
        <v>1220</v>
      </c>
      <c r="H231" s="80" t="s">
        <v>1199</v>
      </c>
      <c r="I231" s="79" t="s">
        <v>373</v>
      </c>
      <c r="J231" s="80"/>
      <c r="K231" s="80"/>
      <c r="L231" s="80"/>
      <c r="M231" s="81" t="s">
        <v>557</v>
      </c>
      <c r="N231" s="82" t="s">
        <v>538</v>
      </c>
      <c r="O231" s="79" t="str">
        <f t="shared" si="1"/>
        <v/>
      </c>
      <c r="P231" s="80"/>
      <c r="Q231" s="80"/>
      <c r="R231" s="80"/>
      <c r="S231" s="80"/>
      <c r="T231" s="80"/>
    </row>
    <row r="232" ht="23.25" customHeight="1">
      <c r="A232" s="68"/>
      <c r="B232" s="68"/>
      <c r="C232" s="68"/>
      <c r="D232" s="68" t="s">
        <v>1221</v>
      </c>
      <c r="E232" s="77" t="s">
        <v>423</v>
      </c>
      <c r="F232" s="77" t="s">
        <v>1219</v>
      </c>
      <c r="G232" s="77" t="s">
        <v>1222</v>
      </c>
      <c r="H232" s="77" t="s">
        <v>1199</v>
      </c>
      <c r="I232" s="68" t="s">
        <v>373</v>
      </c>
      <c r="J232" s="77"/>
      <c r="K232" s="77"/>
      <c r="L232" s="77"/>
      <c r="M232" s="81" t="s">
        <v>557</v>
      </c>
      <c r="N232" s="78" t="s">
        <v>538</v>
      </c>
      <c r="O232" s="68" t="str">
        <f t="shared" si="1"/>
        <v/>
      </c>
      <c r="P232" s="77"/>
      <c r="Q232" s="77"/>
      <c r="R232" s="77"/>
      <c r="S232" s="77"/>
      <c r="T232" s="77"/>
    </row>
    <row r="233" ht="23.25" customHeight="1">
      <c r="A233" s="79"/>
      <c r="B233" s="79"/>
      <c r="C233" s="79"/>
      <c r="D233" s="79" t="s">
        <v>1223</v>
      </c>
      <c r="E233" s="80" t="s">
        <v>423</v>
      </c>
      <c r="F233" s="80" t="s">
        <v>1219</v>
      </c>
      <c r="G233" s="80" t="s">
        <v>1224</v>
      </c>
      <c r="H233" s="80" t="s">
        <v>1199</v>
      </c>
      <c r="I233" s="79" t="s">
        <v>373</v>
      </c>
      <c r="J233" s="80"/>
      <c r="K233" s="80"/>
      <c r="L233" s="80"/>
      <c r="M233" s="81" t="s">
        <v>557</v>
      </c>
      <c r="N233" s="82" t="s">
        <v>538</v>
      </c>
      <c r="O233" s="79" t="str">
        <f t="shared" si="1"/>
        <v/>
      </c>
      <c r="P233" s="80"/>
      <c r="Q233" s="80"/>
      <c r="R233" s="80"/>
      <c r="S233" s="80"/>
      <c r="T233" s="80"/>
    </row>
    <row r="234" ht="23.25" customHeight="1">
      <c r="A234" s="68"/>
      <c r="B234" s="68"/>
      <c r="C234" s="68"/>
      <c r="D234" s="68" t="s">
        <v>1225</v>
      </c>
      <c r="E234" s="77" t="s">
        <v>423</v>
      </c>
      <c r="F234" s="77" t="s">
        <v>1219</v>
      </c>
      <c r="G234" s="77" t="s">
        <v>1226</v>
      </c>
      <c r="H234" s="77" t="s">
        <v>1206</v>
      </c>
      <c r="I234" s="68" t="s">
        <v>373</v>
      </c>
      <c r="J234" s="77"/>
      <c r="K234" s="77"/>
      <c r="L234" s="77"/>
      <c r="M234" s="77"/>
      <c r="N234" s="78" t="s">
        <v>538</v>
      </c>
      <c r="O234" s="68" t="str">
        <f t="shared" si="1"/>
        <v/>
      </c>
      <c r="P234" s="77"/>
      <c r="Q234" s="77"/>
      <c r="R234" s="77"/>
      <c r="S234" s="77"/>
      <c r="T234" s="77"/>
    </row>
    <row r="235" ht="15.0" customHeight="1">
      <c r="A235" s="79"/>
      <c r="B235" s="79"/>
      <c r="C235" s="79"/>
      <c r="D235" s="79" t="s">
        <v>1227</v>
      </c>
      <c r="E235" s="80" t="s">
        <v>423</v>
      </c>
      <c r="F235" s="80" t="s">
        <v>733</v>
      </c>
      <c r="G235" s="80" t="s">
        <v>1228</v>
      </c>
      <c r="H235" s="80" t="s">
        <v>1229</v>
      </c>
      <c r="I235" s="79" t="s">
        <v>373</v>
      </c>
      <c r="J235" s="80"/>
      <c r="K235" s="80"/>
      <c r="L235" s="80"/>
      <c r="M235" s="80"/>
      <c r="N235" s="82" t="s">
        <v>586</v>
      </c>
      <c r="O235" s="79" t="str">
        <f t="shared" si="1"/>
        <v/>
      </c>
      <c r="P235" s="80"/>
      <c r="Q235" s="80"/>
      <c r="R235" s="80"/>
      <c r="S235" s="80"/>
      <c r="T235" s="80"/>
    </row>
    <row r="236" ht="15.0" customHeight="1">
      <c r="A236" s="68"/>
      <c r="B236" s="68"/>
      <c r="C236" s="68"/>
      <c r="D236" s="68" t="s">
        <v>1230</v>
      </c>
      <c r="E236" s="77" t="s">
        <v>423</v>
      </c>
      <c r="F236" s="77" t="s">
        <v>733</v>
      </c>
      <c r="G236" s="77" t="s">
        <v>1231</v>
      </c>
      <c r="H236" s="77" t="s">
        <v>1232</v>
      </c>
      <c r="I236" s="68" t="s">
        <v>373</v>
      </c>
      <c r="J236" s="77"/>
      <c r="K236" s="77"/>
      <c r="L236" s="77"/>
      <c r="M236" s="77"/>
      <c r="N236" s="78" t="s">
        <v>586</v>
      </c>
      <c r="O236" s="68" t="str">
        <f t="shared" si="1"/>
        <v/>
      </c>
      <c r="P236" s="77"/>
      <c r="Q236" s="77"/>
      <c r="R236" s="77"/>
      <c r="S236" s="77"/>
      <c r="T236" s="77"/>
    </row>
    <row r="237" ht="15.0" customHeight="1">
      <c r="A237" s="79"/>
      <c r="B237" s="79"/>
      <c r="C237" s="79"/>
      <c r="D237" s="79" t="s">
        <v>1233</v>
      </c>
      <c r="E237" s="80" t="s">
        <v>423</v>
      </c>
      <c r="F237" s="80" t="s">
        <v>752</v>
      </c>
      <c r="G237" s="80" t="s">
        <v>1234</v>
      </c>
      <c r="H237" s="80" t="s">
        <v>1235</v>
      </c>
      <c r="I237" s="79" t="s">
        <v>373</v>
      </c>
      <c r="J237" s="80"/>
      <c r="K237" s="80"/>
      <c r="L237" s="80"/>
      <c r="M237" s="80"/>
      <c r="N237" s="82" t="s">
        <v>586</v>
      </c>
      <c r="O237" s="79" t="str">
        <f t="shared" si="1"/>
        <v/>
      </c>
      <c r="P237" s="80"/>
      <c r="Q237" s="80"/>
      <c r="R237" s="80"/>
      <c r="S237" s="80"/>
      <c r="T237" s="80"/>
    </row>
    <row r="238" ht="15.0" customHeight="1">
      <c r="A238" s="68"/>
      <c r="B238" s="68"/>
      <c r="C238" s="68"/>
      <c r="D238" s="68" t="s">
        <v>1236</v>
      </c>
      <c r="E238" s="77" t="s">
        <v>423</v>
      </c>
      <c r="F238" s="77" t="s">
        <v>752</v>
      </c>
      <c r="G238" s="77" t="s">
        <v>1237</v>
      </c>
      <c r="H238" s="77" t="s">
        <v>1238</v>
      </c>
      <c r="I238" s="68" t="s">
        <v>373</v>
      </c>
      <c r="J238" s="77"/>
      <c r="K238" s="77"/>
      <c r="L238" s="77"/>
      <c r="M238" s="77"/>
      <c r="N238" s="78" t="s">
        <v>586</v>
      </c>
      <c r="O238" s="68" t="str">
        <f t="shared" si="1"/>
        <v/>
      </c>
      <c r="P238" s="77"/>
      <c r="Q238" s="77"/>
      <c r="R238" s="77"/>
      <c r="S238" s="77"/>
      <c r="T238" s="77"/>
    </row>
    <row r="239" ht="15.0" customHeight="1">
      <c r="A239" s="79"/>
      <c r="B239" s="79"/>
      <c r="C239" s="79"/>
      <c r="D239" s="79" t="s">
        <v>1239</v>
      </c>
      <c r="E239" s="80" t="s">
        <v>423</v>
      </c>
      <c r="F239" s="80" t="s">
        <v>752</v>
      </c>
      <c r="G239" s="80" t="s">
        <v>1240</v>
      </c>
      <c r="H239" s="80" t="s">
        <v>1241</v>
      </c>
      <c r="I239" s="79" t="s">
        <v>373</v>
      </c>
      <c r="J239" s="80"/>
      <c r="K239" s="80"/>
      <c r="L239" s="80"/>
      <c r="M239" s="80"/>
      <c r="N239" s="82" t="s">
        <v>586</v>
      </c>
      <c r="O239" s="79" t="str">
        <f t="shared" si="1"/>
        <v/>
      </c>
      <c r="P239" s="80"/>
      <c r="Q239" s="80"/>
      <c r="R239" s="80"/>
      <c r="S239" s="80"/>
      <c r="T239" s="80"/>
    </row>
    <row r="240" ht="15.0" customHeight="1">
      <c r="A240" s="68"/>
      <c r="B240" s="68"/>
      <c r="C240" s="68"/>
      <c r="D240" s="68" t="s">
        <v>1242</v>
      </c>
      <c r="E240" s="77" t="s">
        <v>423</v>
      </c>
      <c r="F240" s="77" t="s">
        <v>752</v>
      </c>
      <c r="G240" s="77" t="s">
        <v>1243</v>
      </c>
      <c r="H240" s="77" t="s">
        <v>1244</v>
      </c>
      <c r="I240" s="68" t="s">
        <v>373</v>
      </c>
      <c r="J240" s="77"/>
      <c r="K240" s="77"/>
      <c r="L240" s="77"/>
      <c r="M240" s="77"/>
      <c r="N240" s="78" t="s">
        <v>586</v>
      </c>
      <c r="O240" s="68" t="str">
        <f t="shared" si="1"/>
        <v/>
      </c>
      <c r="P240" s="77"/>
      <c r="Q240" s="77"/>
      <c r="R240" s="77"/>
      <c r="S240" s="77"/>
      <c r="T240" s="77"/>
    </row>
    <row r="241" ht="15.0" customHeight="1">
      <c r="A241" s="79"/>
      <c r="B241" s="79"/>
      <c r="C241" s="79"/>
      <c r="D241" s="79" t="s">
        <v>1245</v>
      </c>
      <c r="E241" s="80" t="s">
        <v>423</v>
      </c>
      <c r="F241" s="80" t="s">
        <v>1246</v>
      </c>
      <c r="G241" s="80" t="s">
        <v>1247</v>
      </c>
      <c r="H241" s="80" t="s">
        <v>1248</v>
      </c>
      <c r="I241" s="79" t="s">
        <v>373</v>
      </c>
      <c r="J241" s="80"/>
      <c r="K241" s="80"/>
      <c r="L241" s="80"/>
      <c r="M241" s="80"/>
      <c r="N241" s="82" t="s">
        <v>586</v>
      </c>
      <c r="O241" s="79" t="str">
        <f t="shared" si="1"/>
        <v/>
      </c>
      <c r="P241" s="80"/>
      <c r="Q241" s="80"/>
      <c r="R241" s="80"/>
      <c r="S241" s="80"/>
      <c r="T241" s="80"/>
    </row>
    <row r="242" ht="15.0" customHeight="1">
      <c r="A242" s="68"/>
      <c r="B242" s="68"/>
      <c r="C242" s="68"/>
      <c r="D242" s="68" t="s">
        <v>1249</v>
      </c>
      <c r="E242" s="77" t="s">
        <v>423</v>
      </c>
      <c r="F242" s="77" t="s">
        <v>1246</v>
      </c>
      <c r="G242" s="77" t="s">
        <v>1250</v>
      </c>
      <c r="H242" s="77" t="s">
        <v>1251</v>
      </c>
      <c r="I242" s="68" t="s">
        <v>373</v>
      </c>
      <c r="J242" s="77"/>
      <c r="K242" s="77"/>
      <c r="L242" s="77"/>
      <c r="M242" s="77"/>
      <c r="N242" s="78" t="s">
        <v>586</v>
      </c>
      <c r="O242" s="68" t="str">
        <f t="shared" si="1"/>
        <v/>
      </c>
      <c r="P242" s="77"/>
      <c r="Q242" s="77"/>
      <c r="R242" s="77"/>
      <c r="S242" s="77"/>
      <c r="T242" s="77"/>
    </row>
    <row r="243" ht="15.0" customHeight="1">
      <c r="A243" s="79"/>
      <c r="B243" s="79"/>
      <c r="C243" s="79"/>
      <c r="D243" s="79" t="s">
        <v>1252</v>
      </c>
      <c r="E243" s="80" t="s">
        <v>423</v>
      </c>
      <c r="F243" s="80" t="s">
        <v>1246</v>
      </c>
      <c r="G243" s="80" t="s">
        <v>905</v>
      </c>
      <c r="H243" s="80" t="s">
        <v>1253</v>
      </c>
      <c r="I243" s="79" t="s">
        <v>373</v>
      </c>
      <c r="J243" s="80"/>
      <c r="K243" s="80"/>
      <c r="L243" s="80"/>
      <c r="M243" s="80"/>
      <c r="N243" s="82" t="s">
        <v>586</v>
      </c>
      <c r="O243" s="79" t="str">
        <f t="shared" si="1"/>
        <v/>
      </c>
      <c r="P243" s="80"/>
      <c r="Q243" s="80"/>
      <c r="R243" s="80"/>
      <c r="S243" s="80"/>
      <c r="T243" s="80"/>
    </row>
    <row r="244" ht="15.0" customHeight="1">
      <c r="A244" s="68"/>
      <c r="B244" s="68"/>
      <c r="C244" s="68"/>
      <c r="D244" s="68" t="s">
        <v>1254</v>
      </c>
      <c r="E244" s="77" t="s">
        <v>423</v>
      </c>
      <c r="F244" s="77" t="s">
        <v>1246</v>
      </c>
      <c r="G244" s="77" t="s">
        <v>1255</v>
      </c>
      <c r="H244" s="77" t="s">
        <v>1256</v>
      </c>
      <c r="I244" s="68" t="s">
        <v>373</v>
      </c>
      <c r="J244" s="77"/>
      <c r="K244" s="77"/>
      <c r="L244" s="77"/>
      <c r="M244" s="77"/>
      <c r="N244" s="78" t="s">
        <v>586</v>
      </c>
      <c r="O244" s="68" t="str">
        <f t="shared" si="1"/>
        <v/>
      </c>
      <c r="P244" s="77"/>
      <c r="Q244" s="77"/>
      <c r="R244" s="77"/>
      <c r="S244" s="77"/>
      <c r="T244" s="77"/>
    </row>
    <row r="245" ht="15.0" customHeight="1">
      <c r="A245" s="79"/>
      <c r="B245" s="79"/>
      <c r="C245" s="79"/>
      <c r="D245" s="79" t="s">
        <v>1257</v>
      </c>
      <c r="E245" s="80" t="s">
        <v>423</v>
      </c>
      <c r="F245" s="80" t="s">
        <v>1246</v>
      </c>
      <c r="G245" s="80" t="s">
        <v>1258</v>
      </c>
      <c r="H245" s="80" t="s">
        <v>1259</v>
      </c>
      <c r="I245" s="79" t="s">
        <v>373</v>
      </c>
      <c r="J245" s="80"/>
      <c r="K245" s="80"/>
      <c r="L245" s="80"/>
      <c r="M245" s="80"/>
      <c r="N245" s="82" t="s">
        <v>586</v>
      </c>
      <c r="O245" s="79" t="str">
        <f t="shared" si="1"/>
        <v/>
      </c>
      <c r="P245" s="80"/>
      <c r="Q245" s="80"/>
      <c r="R245" s="80"/>
      <c r="S245" s="80"/>
      <c r="T245" s="80"/>
    </row>
    <row r="246" ht="15.0" customHeight="1">
      <c r="A246" s="68"/>
      <c r="B246" s="68"/>
      <c r="C246" s="68"/>
      <c r="D246" s="68" t="s">
        <v>1260</v>
      </c>
      <c r="E246" s="77" t="s">
        <v>423</v>
      </c>
      <c r="F246" s="77" t="s">
        <v>1246</v>
      </c>
      <c r="G246" s="77" t="s">
        <v>1261</v>
      </c>
      <c r="H246" s="77" t="s">
        <v>1262</v>
      </c>
      <c r="I246" s="68" t="s">
        <v>373</v>
      </c>
      <c r="J246" s="77"/>
      <c r="K246" s="77"/>
      <c r="L246" s="77"/>
      <c r="M246" s="77"/>
      <c r="N246" s="78" t="s">
        <v>586</v>
      </c>
      <c r="O246" s="68" t="str">
        <f t="shared" si="1"/>
        <v/>
      </c>
      <c r="P246" s="77"/>
      <c r="Q246" s="77"/>
      <c r="R246" s="77"/>
      <c r="S246" s="77"/>
      <c r="T246" s="77"/>
    </row>
    <row r="247" ht="15.0" customHeight="1">
      <c r="A247" s="79"/>
      <c r="B247" s="79"/>
      <c r="C247" s="79"/>
      <c r="D247" s="79" t="s">
        <v>1263</v>
      </c>
      <c r="E247" s="80" t="s">
        <v>423</v>
      </c>
      <c r="F247" s="80" t="s">
        <v>1264</v>
      </c>
      <c r="G247" s="80" t="s">
        <v>1265</v>
      </c>
      <c r="H247" s="80" t="s">
        <v>1266</v>
      </c>
      <c r="I247" s="79" t="s">
        <v>373</v>
      </c>
      <c r="J247" s="80"/>
      <c r="K247" s="80"/>
      <c r="L247" s="80"/>
      <c r="M247" s="80"/>
      <c r="N247" s="82" t="s">
        <v>586</v>
      </c>
      <c r="O247" s="79" t="str">
        <f t="shared" si="1"/>
        <v/>
      </c>
      <c r="P247" s="80"/>
      <c r="Q247" s="80"/>
      <c r="R247" s="80"/>
      <c r="S247" s="80"/>
      <c r="T247" s="80"/>
    </row>
    <row r="248" ht="15.0" customHeight="1">
      <c r="A248" s="68"/>
      <c r="B248" s="68"/>
      <c r="C248" s="68"/>
      <c r="D248" s="68" t="s">
        <v>1267</v>
      </c>
      <c r="E248" s="77" t="s">
        <v>423</v>
      </c>
      <c r="F248" s="77" t="s">
        <v>1264</v>
      </c>
      <c r="G248" s="77" t="s">
        <v>1268</v>
      </c>
      <c r="H248" s="77" t="s">
        <v>1269</v>
      </c>
      <c r="I248" s="68" t="s">
        <v>373</v>
      </c>
      <c r="J248" s="77"/>
      <c r="K248" s="77"/>
      <c r="L248" s="77"/>
      <c r="M248" s="77"/>
      <c r="N248" s="78" t="s">
        <v>586</v>
      </c>
      <c r="O248" s="68" t="str">
        <f t="shared" si="1"/>
        <v/>
      </c>
      <c r="P248" s="77"/>
      <c r="Q248" s="77"/>
      <c r="R248" s="77"/>
      <c r="S248" s="77"/>
      <c r="T248" s="77"/>
    </row>
    <row r="249" ht="15.0" customHeight="1">
      <c r="A249" s="79"/>
      <c r="B249" s="79"/>
      <c r="C249" s="79"/>
      <c r="D249" s="79" t="s">
        <v>1270</v>
      </c>
      <c r="E249" s="80" t="s">
        <v>423</v>
      </c>
      <c r="F249" s="80" t="s">
        <v>1264</v>
      </c>
      <c r="G249" s="80" t="s">
        <v>1271</v>
      </c>
      <c r="H249" s="80" t="s">
        <v>1272</v>
      </c>
      <c r="I249" s="79" t="s">
        <v>373</v>
      </c>
      <c r="J249" s="80"/>
      <c r="K249" s="80"/>
      <c r="L249" s="80"/>
      <c r="M249" s="80"/>
      <c r="N249" s="82" t="s">
        <v>586</v>
      </c>
      <c r="O249" s="79" t="str">
        <f t="shared" si="1"/>
        <v/>
      </c>
      <c r="P249" s="80"/>
      <c r="Q249" s="80"/>
      <c r="R249" s="80"/>
      <c r="S249" s="80"/>
      <c r="T249" s="80"/>
    </row>
    <row r="250" ht="15.0" customHeight="1">
      <c r="A250" s="68"/>
      <c r="B250" s="68"/>
      <c r="C250" s="68"/>
      <c r="D250" s="68" t="s">
        <v>1273</v>
      </c>
      <c r="E250" s="77" t="s">
        <v>423</v>
      </c>
      <c r="F250" s="77" t="s">
        <v>1264</v>
      </c>
      <c r="G250" s="77" t="s">
        <v>1274</v>
      </c>
      <c r="H250" s="77" t="s">
        <v>1275</v>
      </c>
      <c r="I250" s="68" t="s">
        <v>373</v>
      </c>
      <c r="J250" s="77"/>
      <c r="K250" s="77"/>
      <c r="L250" s="77"/>
      <c r="M250" s="77"/>
      <c r="N250" s="78" t="s">
        <v>586</v>
      </c>
      <c r="O250" s="68" t="str">
        <f t="shared" si="1"/>
        <v/>
      </c>
      <c r="P250" s="77"/>
      <c r="Q250" s="77"/>
      <c r="R250" s="77"/>
      <c r="S250" s="77"/>
      <c r="T250" s="77"/>
    </row>
    <row r="251" ht="15.0" customHeight="1">
      <c r="A251" s="79"/>
      <c r="B251" s="79"/>
      <c r="C251" s="79"/>
      <c r="D251" s="79" t="s">
        <v>1276</v>
      </c>
      <c r="E251" s="80" t="s">
        <v>423</v>
      </c>
      <c r="F251" s="80" t="s">
        <v>1264</v>
      </c>
      <c r="G251" s="80" t="s">
        <v>1277</v>
      </c>
      <c r="H251" s="80" t="s">
        <v>1278</v>
      </c>
      <c r="I251" s="79" t="s">
        <v>373</v>
      </c>
      <c r="J251" s="80"/>
      <c r="K251" s="80"/>
      <c r="L251" s="80"/>
      <c r="M251" s="80"/>
      <c r="N251" s="82" t="s">
        <v>586</v>
      </c>
      <c r="O251" s="79" t="str">
        <f t="shared" si="1"/>
        <v/>
      </c>
      <c r="P251" s="80"/>
      <c r="Q251" s="80"/>
      <c r="R251" s="80"/>
      <c r="S251" s="80"/>
      <c r="T251" s="80"/>
    </row>
    <row r="252" ht="15.0" customHeight="1">
      <c r="A252" s="68"/>
      <c r="B252" s="68"/>
      <c r="C252" s="68"/>
      <c r="D252" s="68" t="s">
        <v>1279</v>
      </c>
      <c r="E252" s="77" t="s">
        <v>423</v>
      </c>
      <c r="F252" s="77" t="s">
        <v>1264</v>
      </c>
      <c r="G252" s="77" t="s">
        <v>1280</v>
      </c>
      <c r="H252" s="77" t="s">
        <v>1281</v>
      </c>
      <c r="I252" s="68" t="s">
        <v>373</v>
      </c>
      <c r="J252" s="77"/>
      <c r="K252" s="77"/>
      <c r="L252" s="77"/>
      <c r="M252" s="77"/>
      <c r="N252" s="78" t="s">
        <v>586</v>
      </c>
      <c r="O252" s="68" t="str">
        <f t="shared" si="1"/>
        <v/>
      </c>
      <c r="P252" s="77"/>
      <c r="Q252" s="77"/>
      <c r="R252" s="77"/>
      <c r="S252" s="77"/>
      <c r="T252" s="77"/>
    </row>
    <row r="253" ht="15.0" customHeight="1">
      <c r="A253" s="79"/>
      <c r="B253" s="79"/>
      <c r="C253" s="79"/>
      <c r="D253" s="79" t="s">
        <v>1282</v>
      </c>
      <c r="E253" s="80" t="s">
        <v>423</v>
      </c>
      <c r="F253" s="80" t="s">
        <v>1264</v>
      </c>
      <c r="G253" s="80" t="s">
        <v>1283</v>
      </c>
      <c r="H253" s="80" t="s">
        <v>1284</v>
      </c>
      <c r="I253" s="79" t="s">
        <v>373</v>
      </c>
      <c r="J253" s="80"/>
      <c r="K253" s="80"/>
      <c r="L253" s="80"/>
      <c r="M253" s="80"/>
      <c r="N253" s="82" t="s">
        <v>586</v>
      </c>
      <c r="O253" s="79" t="str">
        <f t="shared" si="1"/>
        <v/>
      </c>
      <c r="P253" s="80"/>
      <c r="Q253" s="80"/>
      <c r="R253" s="80"/>
      <c r="S253" s="80"/>
      <c r="T253" s="80"/>
    </row>
    <row r="254" ht="15.0" customHeight="1">
      <c r="A254" s="68"/>
      <c r="B254" s="68"/>
      <c r="C254" s="68"/>
      <c r="D254" s="68" t="s">
        <v>1285</v>
      </c>
      <c r="E254" s="77" t="s">
        <v>423</v>
      </c>
      <c r="F254" s="77" t="s">
        <v>1286</v>
      </c>
      <c r="G254" s="77" t="s">
        <v>1287</v>
      </c>
      <c r="H254" s="77" t="s">
        <v>1288</v>
      </c>
      <c r="I254" s="68" t="s">
        <v>373</v>
      </c>
      <c r="J254" s="77"/>
      <c r="K254" s="77"/>
      <c r="L254" s="77"/>
      <c r="M254" s="77"/>
      <c r="N254" s="78" t="s">
        <v>586</v>
      </c>
      <c r="O254" s="68" t="str">
        <f t="shared" si="1"/>
        <v/>
      </c>
      <c r="P254" s="77"/>
      <c r="Q254" s="77"/>
      <c r="R254" s="77"/>
      <c r="S254" s="77"/>
      <c r="T254" s="77"/>
    </row>
    <row r="255" ht="15.0" customHeight="1">
      <c r="A255" s="79"/>
      <c r="B255" s="79"/>
      <c r="C255" s="79"/>
      <c r="D255" s="79" t="s">
        <v>1289</v>
      </c>
      <c r="E255" s="80" t="s">
        <v>423</v>
      </c>
      <c r="F255" s="80" t="s">
        <v>1286</v>
      </c>
      <c r="G255" s="80" t="s">
        <v>1290</v>
      </c>
      <c r="H255" s="80" t="s">
        <v>1291</v>
      </c>
      <c r="I255" s="79" t="s">
        <v>373</v>
      </c>
      <c r="J255" s="80"/>
      <c r="K255" s="80"/>
      <c r="L255" s="80"/>
      <c r="M255" s="80"/>
      <c r="N255" s="82" t="s">
        <v>586</v>
      </c>
      <c r="O255" s="79" t="str">
        <f t="shared" si="1"/>
        <v/>
      </c>
      <c r="P255" s="80"/>
      <c r="Q255" s="80"/>
      <c r="R255" s="80"/>
      <c r="S255" s="80"/>
      <c r="T255" s="80"/>
    </row>
    <row r="256" ht="15.0" customHeight="1">
      <c r="A256" s="68"/>
      <c r="B256" s="68"/>
      <c r="C256" s="68"/>
      <c r="D256" s="68" t="s">
        <v>1292</v>
      </c>
      <c r="E256" s="77" t="s">
        <v>346</v>
      </c>
      <c r="F256" s="77" t="s">
        <v>1293</v>
      </c>
      <c r="G256" s="77" t="s">
        <v>1294</v>
      </c>
      <c r="H256" s="77" t="s">
        <v>1295</v>
      </c>
      <c r="I256" s="68" t="s">
        <v>373</v>
      </c>
      <c r="J256" s="77"/>
      <c r="K256" s="77"/>
      <c r="L256" s="77"/>
      <c r="M256" s="77"/>
      <c r="N256" s="78" t="s">
        <v>586</v>
      </c>
      <c r="O256" s="68" t="str">
        <f t="shared" si="1"/>
        <v/>
      </c>
      <c r="P256" s="77"/>
      <c r="Q256" s="77"/>
      <c r="R256" s="77"/>
      <c r="S256" s="77"/>
      <c r="T256" s="77"/>
    </row>
    <row r="257" ht="15.0" customHeight="1">
      <c r="A257" s="79"/>
      <c r="B257" s="79"/>
      <c r="C257" s="79"/>
      <c r="D257" s="79" t="s">
        <v>1296</v>
      </c>
      <c r="E257" s="80" t="s">
        <v>346</v>
      </c>
      <c r="F257" s="80" t="s">
        <v>1293</v>
      </c>
      <c r="G257" s="80" t="s">
        <v>1297</v>
      </c>
      <c r="H257" s="80" t="s">
        <v>1298</v>
      </c>
      <c r="I257" s="79" t="s">
        <v>373</v>
      </c>
      <c r="J257" s="80"/>
      <c r="K257" s="80"/>
      <c r="L257" s="80"/>
      <c r="M257" s="80"/>
      <c r="N257" s="82" t="s">
        <v>586</v>
      </c>
      <c r="O257" s="79" t="str">
        <f t="shared" si="1"/>
        <v/>
      </c>
      <c r="P257" s="80"/>
      <c r="Q257" s="80"/>
      <c r="R257" s="80"/>
      <c r="S257" s="80"/>
      <c r="T257" s="80"/>
    </row>
    <row r="258" ht="15.0" customHeight="1">
      <c r="A258" s="68"/>
      <c r="B258" s="68"/>
      <c r="C258" s="68"/>
      <c r="D258" s="68" t="s">
        <v>1299</v>
      </c>
      <c r="E258" s="77" t="s">
        <v>346</v>
      </c>
      <c r="F258" s="77" t="s">
        <v>1293</v>
      </c>
      <c r="G258" s="77" t="s">
        <v>1300</v>
      </c>
      <c r="H258" s="77" t="s">
        <v>1301</v>
      </c>
      <c r="I258" s="68" t="s">
        <v>373</v>
      </c>
      <c r="J258" s="77"/>
      <c r="K258" s="77"/>
      <c r="L258" s="77"/>
      <c r="M258" s="77"/>
      <c r="N258" s="78" t="s">
        <v>586</v>
      </c>
      <c r="O258" s="68" t="str">
        <f t="shared" si="1"/>
        <v/>
      </c>
      <c r="P258" s="77"/>
      <c r="Q258" s="77"/>
      <c r="R258" s="77"/>
      <c r="S258" s="77"/>
      <c r="T258" s="77"/>
    </row>
    <row r="259" ht="15.0" customHeight="1">
      <c r="A259" s="79"/>
      <c r="B259" s="79"/>
      <c r="C259" s="79"/>
      <c r="D259" s="79" t="s">
        <v>1302</v>
      </c>
      <c r="E259" s="80" t="s">
        <v>346</v>
      </c>
      <c r="F259" s="80" t="s">
        <v>1293</v>
      </c>
      <c r="G259" s="80" t="s">
        <v>1303</v>
      </c>
      <c r="H259" s="80" t="s">
        <v>1304</v>
      </c>
      <c r="I259" s="79" t="s">
        <v>373</v>
      </c>
      <c r="J259" s="80"/>
      <c r="K259" s="80"/>
      <c r="L259" s="80"/>
      <c r="M259" s="80"/>
      <c r="N259" s="82" t="s">
        <v>586</v>
      </c>
      <c r="O259" s="79" t="str">
        <f t="shared" si="1"/>
        <v/>
      </c>
      <c r="P259" s="80"/>
      <c r="Q259" s="80"/>
      <c r="R259" s="80"/>
      <c r="S259" s="80"/>
      <c r="T259" s="80"/>
    </row>
    <row r="260" ht="15.0" customHeight="1">
      <c r="A260" s="68"/>
      <c r="B260" s="68"/>
      <c r="C260" s="68"/>
      <c r="D260" s="68" t="s">
        <v>1305</v>
      </c>
      <c r="E260" s="77" t="s">
        <v>346</v>
      </c>
      <c r="F260" s="77" t="s">
        <v>1306</v>
      </c>
      <c r="G260" s="77" t="s">
        <v>1307</v>
      </c>
      <c r="H260" s="77" t="s">
        <v>1308</v>
      </c>
      <c r="I260" s="68" t="s">
        <v>373</v>
      </c>
      <c r="J260" s="77"/>
      <c r="K260" s="77"/>
      <c r="L260" s="77"/>
      <c r="M260" s="77"/>
      <c r="N260" s="78" t="s">
        <v>586</v>
      </c>
      <c r="O260" s="68" t="str">
        <f t="shared" si="1"/>
        <v/>
      </c>
      <c r="P260" s="77"/>
      <c r="Q260" s="77"/>
      <c r="R260" s="77"/>
      <c r="S260" s="77"/>
      <c r="T260" s="77"/>
    </row>
    <row r="261" ht="15.0" customHeight="1">
      <c r="A261" s="79"/>
      <c r="B261" s="79"/>
      <c r="C261" s="79"/>
      <c r="D261" s="79" t="s">
        <v>1309</v>
      </c>
      <c r="E261" s="80" t="s">
        <v>346</v>
      </c>
      <c r="F261" s="80" t="s">
        <v>1306</v>
      </c>
      <c r="G261" s="80" t="s">
        <v>1310</v>
      </c>
      <c r="H261" s="80" t="s">
        <v>1311</v>
      </c>
      <c r="I261" s="79" t="s">
        <v>373</v>
      </c>
      <c r="J261" s="80"/>
      <c r="K261" s="80"/>
      <c r="L261" s="80"/>
      <c r="M261" s="80"/>
      <c r="N261" s="82" t="s">
        <v>586</v>
      </c>
      <c r="O261" s="79" t="str">
        <f t="shared" si="1"/>
        <v/>
      </c>
      <c r="P261" s="80"/>
      <c r="Q261" s="80"/>
      <c r="R261" s="80"/>
      <c r="S261" s="80"/>
      <c r="T261" s="80"/>
    </row>
    <row r="262" ht="15.0" customHeight="1">
      <c r="A262" s="68"/>
      <c r="B262" s="68"/>
      <c r="C262" s="68"/>
      <c r="D262" s="68" t="s">
        <v>1312</v>
      </c>
      <c r="E262" s="77" t="s">
        <v>346</v>
      </c>
      <c r="F262" s="77" t="s">
        <v>1313</v>
      </c>
      <c r="G262" s="77" t="s">
        <v>1314</v>
      </c>
      <c r="H262" s="77" t="s">
        <v>1315</v>
      </c>
      <c r="I262" s="68" t="s">
        <v>373</v>
      </c>
      <c r="J262" s="77"/>
      <c r="K262" s="77"/>
      <c r="L262" s="77"/>
      <c r="M262" s="77"/>
      <c r="N262" s="78" t="s">
        <v>586</v>
      </c>
      <c r="O262" s="68" t="str">
        <f t="shared" si="1"/>
        <v/>
      </c>
      <c r="P262" s="77"/>
      <c r="Q262" s="77"/>
      <c r="R262" s="77"/>
      <c r="S262" s="77"/>
      <c r="T262" s="77"/>
    </row>
    <row r="263" ht="15.0" customHeight="1">
      <c r="A263" s="79"/>
      <c r="B263" s="79"/>
      <c r="C263" s="79"/>
      <c r="D263" s="79" t="s">
        <v>1316</v>
      </c>
      <c r="E263" s="80" t="s">
        <v>346</v>
      </c>
      <c r="F263" s="80" t="s">
        <v>1313</v>
      </c>
      <c r="G263" s="80" t="s">
        <v>1317</v>
      </c>
      <c r="H263" s="80" t="s">
        <v>1318</v>
      </c>
      <c r="I263" s="79" t="s">
        <v>373</v>
      </c>
      <c r="J263" s="80"/>
      <c r="K263" s="80"/>
      <c r="L263" s="80"/>
      <c r="M263" s="80"/>
      <c r="N263" s="82" t="s">
        <v>586</v>
      </c>
      <c r="O263" s="79" t="str">
        <f t="shared" si="1"/>
        <v/>
      </c>
      <c r="P263" s="80"/>
      <c r="Q263" s="80"/>
      <c r="R263" s="80"/>
      <c r="S263" s="80"/>
      <c r="T263" s="80"/>
    </row>
    <row r="264" ht="15.0" customHeight="1">
      <c r="A264" s="68"/>
      <c r="B264" s="68"/>
      <c r="C264" s="68"/>
      <c r="D264" s="68" t="s">
        <v>1319</v>
      </c>
      <c r="E264" s="77" t="s">
        <v>346</v>
      </c>
      <c r="F264" s="77" t="s">
        <v>1313</v>
      </c>
      <c r="G264" s="77" t="s">
        <v>1320</v>
      </c>
      <c r="H264" s="77" t="s">
        <v>1321</v>
      </c>
      <c r="I264" s="68" t="s">
        <v>373</v>
      </c>
      <c r="J264" s="77"/>
      <c r="K264" s="77"/>
      <c r="L264" s="77"/>
      <c r="M264" s="77"/>
      <c r="N264" s="78" t="s">
        <v>586</v>
      </c>
      <c r="O264" s="68" t="str">
        <f t="shared" si="1"/>
        <v/>
      </c>
      <c r="P264" s="77"/>
      <c r="Q264" s="77"/>
      <c r="R264" s="77"/>
      <c r="S264" s="77"/>
      <c r="T264" s="77"/>
    </row>
    <row r="265" ht="15.0" customHeight="1">
      <c r="A265" s="79"/>
      <c r="B265" s="79"/>
      <c r="C265" s="79"/>
      <c r="D265" s="79" t="s">
        <v>1322</v>
      </c>
      <c r="E265" s="80" t="s">
        <v>346</v>
      </c>
      <c r="F265" s="80" t="s">
        <v>1313</v>
      </c>
      <c r="G265" s="80" t="s">
        <v>1323</v>
      </c>
      <c r="H265" s="80" t="s">
        <v>1324</v>
      </c>
      <c r="I265" s="79" t="s">
        <v>373</v>
      </c>
      <c r="J265" s="80"/>
      <c r="K265" s="80"/>
      <c r="L265" s="80"/>
      <c r="M265" s="80"/>
      <c r="N265" s="82" t="s">
        <v>586</v>
      </c>
      <c r="O265" s="79" t="str">
        <f t="shared" si="1"/>
        <v/>
      </c>
      <c r="P265" s="80"/>
      <c r="Q265" s="80"/>
      <c r="R265" s="80"/>
      <c r="S265" s="80"/>
      <c r="T265" s="80"/>
    </row>
    <row r="266" ht="15.0" customHeight="1">
      <c r="A266" s="68"/>
      <c r="B266" s="68"/>
      <c r="C266" s="68"/>
      <c r="D266" s="68" t="s">
        <v>1325</v>
      </c>
      <c r="E266" s="77" t="s">
        <v>346</v>
      </c>
      <c r="F266" s="77" t="s">
        <v>1313</v>
      </c>
      <c r="G266" s="77" t="s">
        <v>1326</v>
      </c>
      <c r="H266" s="77" t="s">
        <v>1327</v>
      </c>
      <c r="I266" s="68" t="s">
        <v>373</v>
      </c>
      <c r="J266" s="77"/>
      <c r="K266" s="77"/>
      <c r="L266" s="77"/>
      <c r="M266" s="77"/>
      <c r="N266" s="78" t="s">
        <v>586</v>
      </c>
      <c r="O266" s="68" t="str">
        <f t="shared" si="1"/>
        <v/>
      </c>
      <c r="P266" s="77"/>
      <c r="Q266" s="77"/>
      <c r="R266" s="77"/>
      <c r="S266" s="77"/>
      <c r="T266" s="77"/>
    </row>
    <row r="267" ht="15.0" customHeight="1">
      <c r="A267" s="79"/>
      <c r="B267" s="79"/>
      <c r="C267" s="79"/>
      <c r="D267" s="79" t="s">
        <v>1328</v>
      </c>
      <c r="E267" s="80" t="s">
        <v>346</v>
      </c>
      <c r="F267" s="80" t="s">
        <v>1329</v>
      </c>
      <c r="G267" s="80" t="s">
        <v>1330</v>
      </c>
      <c r="H267" s="80" t="s">
        <v>1331</v>
      </c>
      <c r="I267" s="79" t="s">
        <v>373</v>
      </c>
      <c r="J267" s="80"/>
      <c r="K267" s="80"/>
      <c r="L267" s="80"/>
      <c r="M267" s="80"/>
      <c r="N267" s="82" t="s">
        <v>586</v>
      </c>
      <c r="O267" s="79" t="str">
        <f t="shared" si="1"/>
        <v/>
      </c>
      <c r="P267" s="80"/>
      <c r="Q267" s="80"/>
      <c r="R267" s="80"/>
      <c r="S267" s="80"/>
      <c r="T267" s="80"/>
    </row>
    <row r="268" ht="15.0" customHeight="1">
      <c r="A268" s="68"/>
      <c r="B268" s="68"/>
      <c r="C268" s="68"/>
      <c r="D268" s="68" t="s">
        <v>1332</v>
      </c>
      <c r="E268" s="77" t="s">
        <v>346</v>
      </c>
      <c r="F268" s="77" t="s">
        <v>1329</v>
      </c>
      <c r="G268" s="77" t="s">
        <v>1333</v>
      </c>
      <c r="H268" s="77" t="s">
        <v>1334</v>
      </c>
      <c r="I268" s="68" t="s">
        <v>373</v>
      </c>
      <c r="J268" s="77"/>
      <c r="K268" s="77"/>
      <c r="L268" s="77"/>
      <c r="M268" s="77"/>
      <c r="N268" s="78" t="s">
        <v>586</v>
      </c>
      <c r="O268" s="68" t="str">
        <f t="shared" si="1"/>
        <v/>
      </c>
      <c r="P268" s="77"/>
      <c r="Q268" s="77"/>
      <c r="R268" s="77"/>
      <c r="S268" s="77"/>
      <c r="T268" s="77"/>
    </row>
    <row r="269" ht="15.0" customHeight="1">
      <c r="A269" s="79"/>
      <c r="B269" s="79"/>
      <c r="C269" s="79"/>
      <c r="D269" s="79" t="s">
        <v>1335</v>
      </c>
      <c r="E269" s="80" t="s">
        <v>346</v>
      </c>
      <c r="F269" s="80" t="s">
        <v>1336</v>
      </c>
      <c r="G269" s="80" t="s">
        <v>1337</v>
      </c>
      <c r="H269" s="80" t="s">
        <v>1338</v>
      </c>
      <c r="I269" s="79" t="s">
        <v>373</v>
      </c>
      <c r="J269" s="80"/>
      <c r="K269" s="80"/>
      <c r="L269" s="80"/>
      <c r="M269" s="80"/>
      <c r="N269" s="82" t="s">
        <v>586</v>
      </c>
      <c r="O269" s="79" t="str">
        <f t="shared" si="1"/>
        <v/>
      </c>
      <c r="P269" s="80"/>
      <c r="Q269" s="80"/>
      <c r="R269" s="80"/>
      <c r="S269" s="80"/>
      <c r="T269" s="80"/>
    </row>
    <row r="270" ht="15.0" customHeight="1">
      <c r="A270" s="68"/>
      <c r="B270" s="68"/>
      <c r="C270" s="68"/>
      <c r="D270" s="68" t="s">
        <v>1339</v>
      </c>
      <c r="E270" s="77" t="s">
        <v>346</v>
      </c>
      <c r="F270" s="77" t="s">
        <v>1336</v>
      </c>
      <c r="G270" s="77" t="s">
        <v>1340</v>
      </c>
      <c r="H270" s="77" t="s">
        <v>1341</v>
      </c>
      <c r="I270" s="68" t="s">
        <v>373</v>
      </c>
      <c r="J270" s="77"/>
      <c r="K270" s="77"/>
      <c r="L270" s="77"/>
      <c r="M270" s="77"/>
      <c r="N270" s="78" t="s">
        <v>586</v>
      </c>
      <c r="O270" s="68" t="str">
        <f t="shared" si="1"/>
        <v/>
      </c>
      <c r="P270" s="77"/>
      <c r="Q270" s="77"/>
      <c r="R270" s="77"/>
      <c r="S270" s="77"/>
      <c r="T270" s="77"/>
    </row>
    <row r="271" ht="15.0" customHeight="1">
      <c r="A271" s="79"/>
      <c r="B271" s="79"/>
      <c r="C271" s="79"/>
      <c r="D271" s="79" t="s">
        <v>1342</v>
      </c>
      <c r="E271" s="80" t="s">
        <v>346</v>
      </c>
      <c r="F271" s="80" t="s">
        <v>1336</v>
      </c>
      <c r="G271" s="80" t="s">
        <v>1343</v>
      </c>
      <c r="H271" s="80" t="s">
        <v>1344</v>
      </c>
      <c r="I271" s="79" t="s">
        <v>373</v>
      </c>
      <c r="J271" s="80"/>
      <c r="K271" s="80"/>
      <c r="L271" s="80"/>
      <c r="M271" s="80"/>
      <c r="N271" s="82" t="s">
        <v>586</v>
      </c>
      <c r="O271" s="79" t="str">
        <f t="shared" si="1"/>
        <v/>
      </c>
      <c r="P271" s="80"/>
      <c r="Q271" s="80"/>
      <c r="R271" s="80"/>
      <c r="S271" s="80"/>
      <c r="T271" s="80"/>
    </row>
    <row r="272" ht="15.0" customHeight="1">
      <c r="A272" s="68"/>
      <c r="B272" s="68"/>
      <c r="C272" s="68"/>
      <c r="D272" s="68" t="s">
        <v>1345</v>
      </c>
      <c r="E272" s="77" t="s">
        <v>346</v>
      </c>
      <c r="F272" s="77" t="s">
        <v>1346</v>
      </c>
      <c r="G272" s="77" t="s">
        <v>1347</v>
      </c>
      <c r="H272" s="77" t="s">
        <v>1348</v>
      </c>
      <c r="I272" s="68" t="s">
        <v>373</v>
      </c>
      <c r="J272" s="77"/>
      <c r="K272" s="77"/>
      <c r="L272" s="77"/>
      <c r="M272" s="77"/>
      <c r="N272" s="78" t="s">
        <v>586</v>
      </c>
      <c r="O272" s="68" t="str">
        <f t="shared" si="1"/>
        <v/>
      </c>
      <c r="P272" s="77"/>
      <c r="Q272" s="77"/>
      <c r="R272" s="77"/>
      <c r="S272" s="77"/>
      <c r="T272" s="77"/>
    </row>
    <row r="273" ht="15.0" customHeight="1">
      <c r="A273" s="79"/>
      <c r="B273" s="79"/>
      <c r="C273" s="79"/>
      <c r="D273" s="79" t="s">
        <v>1349</v>
      </c>
      <c r="E273" s="80" t="s">
        <v>346</v>
      </c>
      <c r="F273" s="80" t="s">
        <v>1346</v>
      </c>
      <c r="G273" s="80" t="s">
        <v>1350</v>
      </c>
      <c r="H273" s="80" t="s">
        <v>1351</v>
      </c>
      <c r="I273" s="79" t="s">
        <v>373</v>
      </c>
      <c r="J273" s="80"/>
      <c r="K273" s="80"/>
      <c r="L273" s="80"/>
      <c r="M273" s="80"/>
      <c r="N273" s="82" t="s">
        <v>586</v>
      </c>
      <c r="O273" s="79" t="str">
        <f t="shared" si="1"/>
        <v/>
      </c>
      <c r="P273" s="80"/>
      <c r="Q273" s="80"/>
      <c r="R273" s="80"/>
      <c r="S273" s="80"/>
      <c r="T273" s="80"/>
    </row>
    <row r="274" ht="15.0" customHeight="1">
      <c r="A274" s="68"/>
      <c r="B274" s="68"/>
      <c r="C274" s="68"/>
      <c r="D274" s="68" t="s">
        <v>1352</v>
      </c>
      <c r="E274" s="77" t="s">
        <v>346</v>
      </c>
      <c r="F274" s="77" t="s">
        <v>1346</v>
      </c>
      <c r="G274" s="77" t="s">
        <v>1353</v>
      </c>
      <c r="H274" s="77" t="s">
        <v>1354</v>
      </c>
      <c r="I274" s="68" t="s">
        <v>373</v>
      </c>
      <c r="J274" s="77"/>
      <c r="K274" s="77"/>
      <c r="L274" s="77"/>
      <c r="M274" s="77"/>
      <c r="N274" s="78" t="s">
        <v>586</v>
      </c>
      <c r="O274" s="68" t="str">
        <f t="shared" si="1"/>
        <v/>
      </c>
      <c r="P274" s="77"/>
      <c r="Q274" s="77"/>
      <c r="R274" s="77"/>
      <c r="S274" s="77"/>
      <c r="T274" s="77"/>
    </row>
    <row r="275" ht="15.0" customHeight="1">
      <c r="A275" s="79"/>
      <c r="B275" s="79"/>
      <c r="C275" s="79"/>
      <c r="D275" s="79" t="s">
        <v>1355</v>
      </c>
      <c r="E275" s="80" t="s">
        <v>346</v>
      </c>
      <c r="F275" s="80" t="s">
        <v>1356</v>
      </c>
      <c r="G275" s="80" t="s">
        <v>1357</v>
      </c>
      <c r="H275" s="80" t="s">
        <v>1358</v>
      </c>
      <c r="I275" s="79" t="s">
        <v>373</v>
      </c>
      <c r="J275" s="80"/>
      <c r="K275" s="80"/>
      <c r="L275" s="80"/>
      <c r="M275" s="80"/>
      <c r="N275" s="82" t="s">
        <v>586</v>
      </c>
      <c r="O275" s="79" t="str">
        <f t="shared" si="1"/>
        <v/>
      </c>
      <c r="P275" s="80"/>
      <c r="Q275" s="80"/>
      <c r="R275" s="80"/>
      <c r="S275" s="80"/>
      <c r="T275" s="80"/>
    </row>
    <row r="276" ht="15.0" customHeight="1">
      <c r="A276" s="68"/>
      <c r="B276" s="68"/>
      <c r="C276" s="68"/>
      <c r="D276" s="68" t="s">
        <v>1359</v>
      </c>
      <c r="E276" s="77" t="s">
        <v>346</v>
      </c>
      <c r="F276" s="77" t="s">
        <v>1356</v>
      </c>
      <c r="G276" s="77" t="s">
        <v>1360</v>
      </c>
      <c r="H276" s="77" t="s">
        <v>1361</v>
      </c>
      <c r="I276" s="68" t="s">
        <v>373</v>
      </c>
      <c r="J276" s="77"/>
      <c r="K276" s="77"/>
      <c r="L276" s="77"/>
      <c r="M276" s="77"/>
      <c r="N276" s="78" t="s">
        <v>586</v>
      </c>
      <c r="O276" s="68" t="str">
        <f t="shared" si="1"/>
        <v/>
      </c>
      <c r="P276" s="77"/>
      <c r="Q276" s="77"/>
      <c r="R276" s="77"/>
      <c r="S276" s="77"/>
      <c r="T276" s="77"/>
    </row>
    <row r="277" ht="15.0" customHeight="1">
      <c r="A277" s="79"/>
      <c r="B277" s="79"/>
      <c r="C277" s="79"/>
      <c r="D277" s="79" t="s">
        <v>1362</v>
      </c>
      <c r="E277" s="80" t="s">
        <v>346</v>
      </c>
      <c r="F277" s="80" t="s">
        <v>1356</v>
      </c>
      <c r="G277" s="80" t="s">
        <v>1363</v>
      </c>
      <c r="H277" s="80" t="s">
        <v>1364</v>
      </c>
      <c r="I277" s="79" t="s">
        <v>373</v>
      </c>
      <c r="J277" s="80"/>
      <c r="K277" s="80"/>
      <c r="L277" s="80"/>
      <c r="M277" s="80"/>
      <c r="N277" s="82" t="s">
        <v>586</v>
      </c>
      <c r="O277" s="79" t="str">
        <f t="shared" si="1"/>
        <v/>
      </c>
      <c r="P277" s="80"/>
      <c r="Q277" s="80"/>
      <c r="R277" s="80"/>
      <c r="S277" s="80"/>
      <c r="T277" s="80"/>
    </row>
    <row r="278" ht="15.0" customHeight="1">
      <c r="A278" s="68"/>
      <c r="B278" s="68"/>
      <c r="C278" s="68"/>
      <c r="D278" s="68" t="s">
        <v>1365</v>
      </c>
      <c r="E278" s="77" t="s">
        <v>346</v>
      </c>
      <c r="F278" s="77" t="s">
        <v>1366</v>
      </c>
      <c r="G278" s="77" t="s">
        <v>1367</v>
      </c>
      <c r="H278" s="77" t="s">
        <v>1368</v>
      </c>
      <c r="I278" s="68" t="s">
        <v>373</v>
      </c>
      <c r="J278" s="77"/>
      <c r="K278" s="77"/>
      <c r="L278" s="77"/>
      <c r="M278" s="77"/>
      <c r="N278" s="78" t="s">
        <v>586</v>
      </c>
      <c r="O278" s="68" t="str">
        <f t="shared" si="1"/>
        <v/>
      </c>
      <c r="P278" s="77"/>
      <c r="Q278" s="77"/>
      <c r="R278" s="77"/>
      <c r="S278" s="77"/>
      <c r="T278" s="77"/>
    </row>
    <row r="279" ht="15.0" customHeight="1">
      <c r="A279" s="79"/>
      <c r="B279" s="79"/>
      <c r="C279" s="79"/>
      <c r="D279" s="79" t="s">
        <v>1369</v>
      </c>
      <c r="E279" s="80" t="s">
        <v>346</v>
      </c>
      <c r="F279" s="80" t="s">
        <v>1366</v>
      </c>
      <c r="G279" s="80" t="s">
        <v>1370</v>
      </c>
      <c r="H279" s="80" t="s">
        <v>1371</v>
      </c>
      <c r="I279" s="79" t="s">
        <v>373</v>
      </c>
      <c r="J279" s="80"/>
      <c r="K279" s="80"/>
      <c r="L279" s="80"/>
      <c r="M279" s="80"/>
      <c r="N279" s="82" t="s">
        <v>586</v>
      </c>
      <c r="O279" s="79" t="str">
        <f t="shared" si="1"/>
        <v/>
      </c>
      <c r="P279" s="80"/>
      <c r="Q279" s="80"/>
      <c r="R279" s="80"/>
      <c r="S279" s="80"/>
      <c r="T279" s="80"/>
    </row>
    <row r="280" ht="15.0" customHeight="1">
      <c r="A280" s="68"/>
      <c r="B280" s="68"/>
      <c r="C280" s="68"/>
      <c r="D280" s="68" t="s">
        <v>1372</v>
      </c>
      <c r="E280" s="77" t="s">
        <v>340</v>
      </c>
      <c r="F280" s="77" t="s">
        <v>1373</v>
      </c>
      <c r="G280" s="77" t="s">
        <v>1374</v>
      </c>
      <c r="H280" s="77" t="s">
        <v>1375</v>
      </c>
      <c r="I280" s="68" t="s">
        <v>373</v>
      </c>
      <c r="J280" s="77"/>
      <c r="K280" s="77"/>
      <c r="L280" s="77"/>
      <c r="M280" s="81" t="s">
        <v>557</v>
      </c>
      <c r="N280" s="78" t="s">
        <v>586</v>
      </c>
      <c r="O280" s="68" t="str">
        <f t="shared" si="1"/>
        <v/>
      </c>
      <c r="P280" s="77"/>
      <c r="Q280" s="77"/>
      <c r="R280" s="77"/>
      <c r="S280" s="77"/>
      <c r="T280" s="77"/>
    </row>
    <row r="281" ht="15.0" customHeight="1">
      <c r="A281" s="79"/>
      <c r="B281" s="79"/>
      <c r="C281" s="79"/>
      <c r="D281" s="79" t="s">
        <v>1376</v>
      </c>
      <c r="E281" s="80" t="s">
        <v>340</v>
      </c>
      <c r="F281" s="80" t="s">
        <v>1373</v>
      </c>
      <c r="G281" s="80" t="s">
        <v>1377</v>
      </c>
      <c r="H281" s="80" t="s">
        <v>1378</v>
      </c>
      <c r="I281" s="79" t="s">
        <v>373</v>
      </c>
      <c r="J281" s="80"/>
      <c r="K281" s="80"/>
      <c r="L281" s="80"/>
      <c r="M281" s="81" t="s">
        <v>557</v>
      </c>
      <c r="N281" s="82" t="s">
        <v>586</v>
      </c>
      <c r="O281" s="79" t="str">
        <f t="shared" si="1"/>
        <v/>
      </c>
      <c r="P281" s="80"/>
      <c r="Q281" s="80"/>
      <c r="R281" s="80"/>
      <c r="S281" s="80"/>
      <c r="T281" s="80"/>
    </row>
    <row r="282" ht="15.0" customHeight="1">
      <c r="A282" s="68"/>
      <c r="B282" s="68"/>
      <c r="C282" s="68"/>
      <c r="D282" s="68" t="s">
        <v>1379</v>
      </c>
      <c r="E282" s="77" t="s">
        <v>340</v>
      </c>
      <c r="F282" s="77" t="s">
        <v>1380</v>
      </c>
      <c r="G282" s="77" t="s">
        <v>1381</v>
      </c>
      <c r="H282" s="77" t="s">
        <v>1382</v>
      </c>
      <c r="I282" s="68" t="s">
        <v>373</v>
      </c>
      <c r="J282" s="77"/>
      <c r="K282" s="77"/>
      <c r="L282" s="77"/>
      <c r="M282" s="81" t="s">
        <v>557</v>
      </c>
      <c r="N282" s="78" t="s">
        <v>586</v>
      </c>
      <c r="O282" s="68" t="str">
        <f t="shared" si="1"/>
        <v/>
      </c>
      <c r="P282" s="77"/>
      <c r="Q282" s="77"/>
      <c r="R282" s="77"/>
      <c r="S282" s="77"/>
      <c r="T282" s="77"/>
    </row>
    <row r="283" ht="15.0" customHeight="1">
      <c r="A283" s="79"/>
      <c r="B283" s="79"/>
      <c r="C283" s="79"/>
      <c r="D283" s="79" t="s">
        <v>1383</v>
      </c>
      <c r="E283" s="80" t="s">
        <v>340</v>
      </c>
      <c r="F283" s="80" t="s">
        <v>1380</v>
      </c>
      <c r="G283" s="80" t="s">
        <v>1384</v>
      </c>
      <c r="H283" s="80" t="s">
        <v>1385</v>
      </c>
      <c r="I283" s="79" t="s">
        <v>373</v>
      </c>
      <c r="J283" s="80"/>
      <c r="K283" s="80"/>
      <c r="L283" s="80"/>
      <c r="M283" s="81" t="s">
        <v>557</v>
      </c>
      <c r="N283" s="82" t="s">
        <v>586</v>
      </c>
      <c r="O283" s="79" t="str">
        <f t="shared" si="1"/>
        <v/>
      </c>
      <c r="P283" s="80"/>
      <c r="Q283" s="80"/>
      <c r="R283" s="80"/>
      <c r="S283" s="80"/>
      <c r="T283" s="80"/>
    </row>
    <row r="284" ht="15.0" customHeight="1">
      <c r="A284" s="68"/>
      <c r="B284" s="68"/>
      <c r="C284" s="68"/>
      <c r="D284" s="68" t="s">
        <v>1386</v>
      </c>
      <c r="E284" s="77" t="s">
        <v>340</v>
      </c>
      <c r="F284" s="77" t="s">
        <v>1380</v>
      </c>
      <c r="G284" s="77" t="s">
        <v>1387</v>
      </c>
      <c r="H284" s="77" t="s">
        <v>1388</v>
      </c>
      <c r="I284" s="68" t="s">
        <v>373</v>
      </c>
      <c r="J284" s="77"/>
      <c r="K284" s="77"/>
      <c r="L284" s="77"/>
      <c r="M284" s="81" t="s">
        <v>557</v>
      </c>
      <c r="N284" s="78" t="s">
        <v>586</v>
      </c>
      <c r="O284" s="68" t="str">
        <f t="shared" si="1"/>
        <v/>
      </c>
      <c r="P284" s="77"/>
      <c r="Q284" s="77"/>
      <c r="R284" s="77"/>
      <c r="S284" s="77"/>
      <c r="T284" s="77"/>
    </row>
    <row r="285" ht="15.0" customHeight="1">
      <c r="A285" s="79"/>
      <c r="B285" s="79"/>
      <c r="C285" s="79"/>
      <c r="D285" s="79" t="s">
        <v>1389</v>
      </c>
      <c r="E285" s="80" t="s">
        <v>340</v>
      </c>
      <c r="F285" s="80" t="s">
        <v>1380</v>
      </c>
      <c r="G285" s="80" t="s">
        <v>1390</v>
      </c>
      <c r="H285" s="80" t="s">
        <v>1391</v>
      </c>
      <c r="I285" s="79" t="s">
        <v>373</v>
      </c>
      <c r="J285" s="80"/>
      <c r="K285" s="80"/>
      <c r="L285" s="80"/>
      <c r="M285" s="81" t="s">
        <v>557</v>
      </c>
      <c r="N285" s="82" t="s">
        <v>586</v>
      </c>
      <c r="O285" s="79" t="str">
        <f t="shared" si="1"/>
        <v/>
      </c>
      <c r="P285" s="80"/>
      <c r="Q285" s="80"/>
      <c r="R285" s="80"/>
      <c r="S285" s="80"/>
      <c r="T285" s="80"/>
    </row>
    <row r="286" ht="15.0" customHeight="1">
      <c r="A286" s="68"/>
      <c r="B286" s="68"/>
      <c r="C286" s="68"/>
      <c r="D286" s="68" t="s">
        <v>1392</v>
      </c>
      <c r="E286" s="77" t="s">
        <v>340</v>
      </c>
      <c r="F286" s="77" t="s">
        <v>1380</v>
      </c>
      <c r="G286" s="77" t="s">
        <v>1393</v>
      </c>
      <c r="H286" s="77" t="s">
        <v>1394</v>
      </c>
      <c r="I286" s="68" t="s">
        <v>373</v>
      </c>
      <c r="J286" s="77"/>
      <c r="K286" s="77"/>
      <c r="L286" s="77"/>
      <c r="M286" s="81" t="s">
        <v>557</v>
      </c>
      <c r="N286" s="78" t="s">
        <v>586</v>
      </c>
      <c r="O286" s="68" t="str">
        <f t="shared" si="1"/>
        <v/>
      </c>
      <c r="P286" s="77"/>
      <c r="Q286" s="77"/>
      <c r="R286" s="77"/>
      <c r="S286" s="77"/>
      <c r="T286" s="77"/>
    </row>
    <row r="287" ht="15.0" customHeight="1">
      <c r="A287" s="79"/>
      <c r="B287" s="79"/>
      <c r="C287" s="79"/>
      <c r="D287" s="79" t="s">
        <v>1395</v>
      </c>
      <c r="E287" s="80" t="s">
        <v>340</v>
      </c>
      <c r="F287" s="80" t="s">
        <v>1396</v>
      </c>
      <c r="G287" s="80" t="s">
        <v>1397</v>
      </c>
      <c r="H287" s="80" t="s">
        <v>1398</v>
      </c>
      <c r="I287" s="79" t="s">
        <v>373</v>
      </c>
      <c r="J287" s="80"/>
      <c r="K287" s="80"/>
      <c r="L287" s="80"/>
      <c r="M287" s="81" t="s">
        <v>557</v>
      </c>
      <c r="N287" s="82" t="s">
        <v>586</v>
      </c>
      <c r="O287" s="79" t="str">
        <f t="shared" si="1"/>
        <v/>
      </c>
      <c r="P287" s="80"/>
      <c r="Q287" s="80"/>
      <c r="R287" s="80"/>
      <c r="S287" s="80"/>
      <c r="T287" s="80"/>
    </row>
    <row r="288" ht="15.0" customHeight="1">
      <c r="A288" s="68"/>
      <c r="B288" s="68"/>
      <c r="C288" s="68"/>
      <c r="D288" s="68" t="s">
        <v>1399</v>
      </c>
      <c r="E288" s="77" t="s">
        <v>340</v>
      </c>
      <c r="F288" s="77" t="s">
        <v>1396</v>
      </c>
      <c r="G288" s="77" t="s">
        <v>1400</v>
      </c>
      <c r="H288" s="77" t="s">
        <v>1401</v>
      </c>
      <c r="I288" s="68" t="s">
        <v>373</v>
      </c>
      <c r="J288" s="77"/>
      <c r="K288" s="77"/>
      <c r="L288" s="77"/>
      <c r="M288" s="81" t="s">
        <v>557</v>
      </c>
      <c r="N288" s="78" t="s">
        <v>586</v>
      </c>
      <c r="O288" s="68" t="str">
        <f t="shared" si="1"/>
        <v/>
      </c>
      <c r="P288" s="77"/>
      <c r="Q288" s="77"/>
      <c r="R288" s="77"/>
      <c r="S288" s="77"/>
      <c r="T288" s="77"/>
    </row>
    <row r="289" ht="15.0" customHeight="1">
      <c r="A289" s="79"/>
      <c r="B289" s="79"/>
      <c r="C289" s="79"/>
      <c r="D289" s="79" t="s">
        <v>1402</v>
      </c>
      <c r="E289" s="80" t="s">
        <v>340</v>
      </c>
      <c r="F289" s="80" t="s">
        <v>1396</v>
      </c>
      <c r="G289" s="80" t="s">
        <v>1403</v>
      </c>
      <c r="H289" s="80" t="s">
        <v>1404</v>
      </c>
      <c r="I289" s="79" t="s">
        <v>373</v>
      </c>
      <c r="J289" s="80"/>
      <c r="K289" s="80"/>
      <c r="L289" s="80"/>
      <c r="M289" s="81" t="s">
        <v>557</v>
      </c>
      <c r="N289" s="82" t="s">
        <v>586</v>
      </c>
      <c r="O289" s="79" t="str">
        <f t="shared" si="1"/>
        <v/>
      </c>
      <c r="P289" s="80"/>
      <c r="Q289" s="80"/>
      <c r="R289" s="80"/>
      <c r="S289" s="80"/>
      <c r="T289" s="80"/>
    </row>
    <row r="290" ht="15.0" customHeight="1">
      <c r="A290" s="68"/>
      <c r="B290" s="68"/>
      <c r="C290" s="68"/>
      <c r="D290" s="68" t="s">
        <v>1405</v>
      </c>
      <c r="E290" s="77" t="s">
        <v>340</v>
      </c>
      <c r="F290" s="77" t="s">
        <v>1396</v>
      </c>
      <c r="G290" s="77" t="s">
        <v>1406</v>
      </c>
      <c r="H290" s="77" t="s">
        <v>1407</v>
      </c>
      <c r="I290" s="68" t="s">
        <v>373</v>
      </c>
      <c r="J290" s="77"/>
      <c r="K290" s="77"/>
      <c r="L290" s="77"/>
      <c r="M290" s="81" t="s">
        <v>557</v>
      </c>
      <c r="N290" s="78" t="s">
        <v>586</v>
      </c>
      <c r="O290" s="68" t="str">
        <f t="shared" si="1"/>
        <v/>
      </c>
      <c r="P290" s="77"/>
      <c r="Q290" s="77"/>
      <c r="R290" s="77"/>
      <c r="S290" s="77"/>
      <c r="T290" s="77"/>
    </row>
    <row r="291" ht="15.0" customHeight="1">
      <c r="A291" s="79"/>
      <c r="B291" s="79"/>
      <c r="C291" s="79"/>
      <c r="D291" s="79" t="s">
        <v>1408</v>
      </c>
      <c r="E291" s="80" t="s">
        <v>340</v>
      </c>
      <c r="F291" s="80" t="s">
        <v>1396</v>
      </c>
      <c r="G291" s="80" t="s">
        <v>1409</v>
      </c>
      <c r="H291" s="80" t="s">
        <v>1410</v>
      </c>
      <c r="I291" s="79" t="s">
        <v>373</v>
      </c>
      <c r="J291" s="80"/>
      <c r="K291" s="80"/>
      <c r="L291" s="80"/>
      <c r="M291" s="81" t="s">
        <v>557</v>
      </c>
      <c r="N291" s="82" t="s">
        <v>586</v>
      </c>
      <c r="O291" s="79" t="str">
        <f t="shared" si="1"/>
        <v/>
      </c>
      <c r="P291" s="80"/>
      <c r="Q291" s="80"/>
      <c r="R291" s="80"/>
      <c r="S291" s="80"/>
      <c r="T291" s="80"/>
    </row>
    <row r="292" ht="15.0" customHeight="1">
      <c r="A292" s="68"/>
      <c r="B292" s="68"/>
      <c r="C292" s="68"/>
      <c r="D292" s="68" t="s">
        <v>1411</v>
      </c>
      <c r="E292" s="77" t="s">
        <v>340</v>
      </c>
      <c r="F292" s="77" t="s">
        <v>1412</v>
      </c>
      <c r="G292" s="77" t="s">
        <v>1413</v>
      </c>
      <c r="H292" s="77" t="s">
        <v>1414</v>
      </c>
      <c r="I292" s="68" t="s">
        <v>373</v>
      </c>
      <c r="J292" s="77"/>
      <c r="K292" s="77"/>
      <c r="L292" s="77"/>
      <c r="M292" s="81" t="s">
        <v>557</v>
      </c>
      <c r="N292" s="78" t="s">
        <v>586</v>
      </c>
      <c r="O292" s="68" t="str">
        <f t="shared" si="1"/>
        <v/>
      </c>
      <c r="P292" s="77"/>
      <c r="Q292" s="77"/>
      <c r="R292" s="77"/>
      <c r="S292" s="77"/>
      <c r="T292" s="77"/>
    </row>
    <row r="293" ht="15.0" customHeight="1">
      <c r="A293" s="79"/>
      <c r="B293" s="79"/>
      <c r="C293" s="79"/>
      <c r="D293" s="79" t="s">
        <v>1415</v>
      </c>
      <c r="E293" s="80" t="s">
        <v>340</v>
      </c>
      <c r="F293" s="80" t="s">
        <v>1412</v>
      </c>
      <c r="G293" s="80" t="s">
        <v>1416</v>
      </c>
      <c r="H293" s="80" t="s">
        <v>1417</v>
      </c>
      <c r="I293" s="79" t="s">
        <v>373</v>
      </c>
      <c r="J293" s="80"/>
      <c r="K293" s="80"/>
      <c r="L293" s="80"/>
      <c r="M293" s="81" t="s">
        <v>557</v>
      </c>
      <c r="N293" s="82" t="s">
        <v>586</v>
      </c>
      <c r="O293" s="79" t="str">
        <f t="shared" si="1"/>
        <v/>
      </c>
      <c r="P293" s="80"/>
      <c r="Q293" s="80"/>
      <c r="R293" s="80"/>
      <c r="S293" s="80"/>
      <c r="T293" s="80"/>
    </row>
    <row r="294" ht="15.0" customHeight="1">
      <c r="A294" s="68"/>
      <c r="B294" s="68"/>
      <c r="C294" s="68"/>
      <c r="D294" s="68" t="s">
        <v>1418</v>
      </c>
      <c r="E294" s="77" t="s">
        <v>340</v>
      </c>
      <c r="F294" s="77" t="s">
        <v>1412</v>
      </c>
      <c r="G294" s="77" t="s">
        <v>1419</v>
      </c>
      <c r="H294" s="77" t="s">
        <v>1420</v>
      </c>
      <c r="I294" s="68" t="s">
        <v>373</v>
      </c>
      <c r="J294" s="77"/>
      <c r="K294" s="77"/>
      <c r="L294" s="77"/>
      <c r="M294" s="81" t="s">
        <v>557</v>
      </c>
      <c r="N294" s="78" t="s">
        <v>586</v>
      </c>
      <c r="O294" s="68" t="str">
        <f t="shared" si="1"/>
        <v/>
      </c>
      <c r="P294" s="77"/>
      <c r="Q294" s="77"/>
      <c r="R294" s="77"/>
      <c r="S294" s="77"/>
      <c r="T294" s="77"/>
    </row>
    <row r="295" ht="15.0" customHeight="1">
      <c r="A295" s="79"/>
      <c r="B295" s="79"/>
      <c r="C295" s="79"/>
      <c r="D295" s="79" t="s">
        <v>1421</v>
      </c>
      <c r="E295" s="80" t="s">
        <v>340</v>
      </c>
      <c r="F295" s="80" t="s">
        <v>1412</v>
      </c>
      <c r="G295" s="80" t="s">
        <v>1422</v>
      </c>
      <c r="H295" s="80" t="s">
        <v>1423</v>
      </c>
      <c r="I295" s="79" t="s">
        <v>373</v>
      </c>
      <c r="J295" s="80"/>
      <c r="K295" s="80"/>
      <c r="L295" s="80"/>
      <c r="M295" s="81" t="s">
        <v>557</v>
      </c>
      <c r="N295" s="82" t="s">
        <v>586</v>
      </c>
      <c r="O295" s="79" t="str">
        <f t="shared" si="1"/>
        <v/>
      </c>
      <c r="P295" s="80"/>
      <c r="Q295" s="80"/>
      <c r="R295" s="80"/>
      <c r="S295" s="80"/>
      <c r="T295" s="80"/>
    </row>
    <row r="296" ht="15.0" customHeight="1">
      <c r="A296" s="68"/>
      <c r="B296" s="68"/>
      <c r="C296" s="68"/>
      <c r="D296" s="68" t="s">
        <v>1424</v>
      </c>
      <c r="E296" s="77" t="s">
        <v>340</v>
      </c>
      <c r="F296" s="77" t="s">
        <v>1425</v>
      </c>
      <c r="G296" s="77" t="s">
        <v>1426</v>
      </c>
      <c r="H296" s="77" t="s">
        <v>1427</v>
      </c>
      <c r="I296" s="68" t="s">
        <v>373</v>
      </c>
      <c r="J296" s="77"/>
      <c r="K296" s="77"/>
      <c r="L296" s="77"/>
      <c r="M296" s="81" t="s">
        <v>557</v>
      </c>
      <c r="N296" s="78" t="s">
        <v>586</v>
      </c>
      <c r="O296" s="68" t="str">
        <f t="shared" si="1"/>
        <v/>
      </c>
      <c r="P296" s="77"/>
      <c r="Q296" s="77"/>
      <c r="R296" s="77"/>
      <c r="S296" s="77"/>
      <c r="T296" s="77"/>
    </row>
    <row r="297" ht="15.0" customHeight="1">
      <c r="A297" s="79"/>
      <c r="B297" s="79"/>
      <c r="C297" s="79"/>
      <c r="D297" s="79" t="s">
        <v>1428</v>
      </c>
      <c r="E297" s="80" t="s">
        <v>340</v>
      </c>
      <c r="F297" s="80" t="s">
        <v>1425</v>
      </c>
      <c r="G297" s="80" t="s">
        <v>1429</v>
      </c>
      <c r="H297" s="80" t="s">
        <v>1430</v>
      </c>
      <c r="I297" s="79" t="s">
        <v>373</v>
      </c>
      <c r="J297" s="80"/>
      <c r="K297" s="80"/>
      <c r="L297" s="80"/>
      <c r="M297" s="81" t="s">
        <v>557</v>
      </c>
      <c r="N297" s="82" t="s">
        <v>586</v>
      </c>
      <c r="O297" s="79" t="str">
        <f t="shared" si="1"/>
        <v/>
      </c>
      <c r="P297" s="80"/>
      <c r="Q297" s="80"/>
      <c r="R297" s="80"/>
      <c r="S297" s="80"/>
      <c r="T297" s="80"/>
    </row>
    <row r="298" ht="15.0" customHeight="1">
      <c r="A298" s="68"/>
      <c r="B298" s="68"/>
      <c r="C298" s="68"/>
      <c r="D298" s="68" t="s">
        <v>1431</v>
      </c>
      <c r="E298" s="77" t="s">
        <v>340</v>
      </c>
      <c r="F298" s="77" t="s">
        <v>1425</v>
      </c>
      <c r="G298" s="77" t="s">
        <v>1432</v>
      </c>
      <c r="H298" s="77" t="s">
        <v>1433</v>
      </c>
      <c r="I298" s="68" t="s">
        <v>373</v>
      </c>
      <c r="J298" s="77"/>
      <c r="K298" s="77"/>
      <c r="L298" s="77"/>
      <c r="M298" s="81" t="s">
        <v>557</v>
      </c>
      <c r="N298" s="78" t="s">
        <v>586</v>
      </c>
      <c r="O298" s="68" t="str">
        <f t="shared" si="1"/>
        <v/>
      </c>
      <c r="P298" s="77"/>
      <c r="Q298" s="77"/>
      <c r="R298" s="77"/>
      <c r="S298" s="77"/>
      <c r="T298" s="77"/>
    </row>
    <row r="299" ht="15.0" customHeight="1">
      <c r="A299" s="79"/>
      <c r="B299" s="79"/>
      <c r="C299" s="79"/>
      <c r="D299" s="79" t="s">
        <v>1434</v>
      </c>
      <c r="E299" s="80" t="s">
        <v>340</v>
      </c>
      <c r="F299" s="80" t="s">
        <v>1425</v>
      </c>
      <c r="G299" s="80" t="s">
        <v>1435</v>
      </c>
      <c r="H299" s="80" t="s">
        <v>1436</v>
      </c>
      <c r="I299" s="79" t="s">
        <v>373</v>
      </c>
      <c r="J299" s="80"/>
      <c r="K299" s="80"/>
      <c r="L299" s="80"/>
      <c r="M299" s="81" t="s">
        <v>557</v>
      </c>
      <c r="N299" s="82" t="s">
        <v>586</v>
      </c>
      <c r="O299" s="79" t="str">
        <f t="shared" si="1"/>
        <v/>
      </c>
      <c r="P299" s="80"/>
      <c r="Q299" s="80"/>
      <c r="R299" s="80"/>
      <c r="S299" s="80"/>
      <c r="T299" s="80"/>
    </row>
    <row r="300" ht="15.0" customHeight="1">
      <c r="A300" s="68"/>
      <c r="B300" s="68"/>
      <c r="C300" s="68"/>
      <c r="D300" s="68" t="s">
        <v>1437</v>
      </c>
      <c r="E300" s="77" t="s">
        <v>340</v>
      </c>
      <c r="F300" s="77" t="s">
        <v>1425</v>
      </c>
      <c r="G300" s="77" t="s">
        <v>1438</v>
      </c>
      <c r="H300" s="77" t="s">
        <v>1439</v>
      </c>
      <c r="I300" s="68" t="s">
        <v>373</v>
      </c>
      <c r="J300" s="77"/>
      <c r="K300" s="77"/>
      <c r="L300" s="77"/>
      <c r="M300" s="81" t="s">
        <v>557</v>
      </c>
      <c r="N300" s="78" t="s">
        <v>586</v>
      </c>
      <c r="O300" s="68" t="str">
        <f t="shared" si="1"/>
        <v/>
      </c>
      <c r="P300" s="77"/>
      <c r="Q300" s="77"/>
      <c r="R300" s="77"/>
      <c r="S300" s="77"/>
      <c r="T300" s="77"/>
    </row>
    <row r="301" ht="15.0" customHeight="1">
      <c r="A301" s="79"/>
      <c r="B301" s="79"/>
      <c r="C301" s="79"/>
      <c r="D301" s="79" t="s">
        <v>1440</v>
      </c>
      <c r="E301" s="80" t="s">
        <v>340</v>
      </c>
      <c r="F301" s="80" t="s">
        <v>1441</v>
      </c>
      <c r="G301" s="80" t="s">
        <v>1442</v>
      </c>
      <c r="H301" s="80" t="s">
        <v>1443</v>
      </c>
      <c r="I301" s="79" t="s">
        <v>373</v>
      </c>
      <c r="J301" s="80"/>
      <c r="K301" s="80"/>
      <c r="L301" s="80"/>
      <c r="M301" s="81" t="s">
        <v>557</v>
      </c>
      <c r="N301" s="82" t="s">
        <v>586</v>
      </c>
      <c r="O301" s="79" t="str">
        <f t="shared" si="1"/>
        <v/>
      </c>
      <c r="P301" s="80"/>
      <c r="Q301" s="80"/>
      <c r="R301" s="80"/>
      <c r="S301" s="80"/>
      <c r="T301" s="80"/>
    </row>
    <row r="302" ht="15.0" customHeight="1">
      <c r="A302" s="68"/>
      <c r="B302" s="68"/>
      <c r="C302" s="68"/>
      <c r="D302" s="68" t="s">
        <v>1444</v>
      </c>
      <c r="E302" s="77" t="s">
        <v>340</v>
      </c>
      <c r="F302" s="77" t="s">
        <v>1441</v>
      </c>
      <c r="G302" s="77" t="s">
        <v>1445</v>
      </c>
      <c r="H302" s="77" t="s">
        <v>1446</v>
      </c>
      <c r="I302" s="68" t="s">
        <v>373</v>
      </c>
      <c r="J302" s="77"/>
      <c r="K302" s="77"/>
      <c r="L302" s="77"/>
      <c r="M302" s="81" t="s">
        <v>557</v>
      </c>
      <c r="N302" s="78" t="s">
        <v>586</v>
      </c>
      <c r="O302" s="68" t="str">
        <f t="shared" si="1"/>
        <v/>
      </c>
      <c r="P302" s="77"/>
      <c r="Q302" s="77"/>
      <c r="R302" s="77"/>
      <c r="S302" s="77"/>
      <c r="T302" s="77"/>
    </row>
    <row r="303" ht="23.25" customHeight="1">
      <c r="A303" s="79"/>
      <c r="B303" s="79"/>
      <c r="C303" s="79"/>
      <c r="D303" s="79" t="s">
        <v>1447</v>
      </c>
      <c r="E303" s="80" t="s">
        <v>340</v>
      </c>
      <c r="F303" s="80" t="s">
        <v>1448</v>
      </c>
      <c r="G303" s="80" t="s">
        <v>1449</v>
      </c>
      <c r="H303" s="80" t="s">
        <v>1450</v>
      </c>
      <c r="I303" s="79" t="s">
        <v>373</v>
      </c>
      <c r="J303" s="80"/>
      <c r="K303" s="80"/>
      <c r="L303" s="80"/>
      <c r="M303" s="81" t="s">
        <v>557</v>
      </c>
      <c r="N303" s="82" t="s">
        <v>586</v>
      </c>
      <c r="O303" s="79" t="str">
        <f t="shared" si="1"/>
        <v/>
      </c>
      <c r="P303" s="80"/>
      <c r="Q303" s="80"/>
      <c r="R303" s="80"/>
      <c r="S303" s="80"/>
      <c r="T303" s="80"/>
    </row>
    <row r="304" ht="23.25" customHeight="1">
      <c r="A304" s="68"/>
      <c r="B304" s="68"/>
      <c r="C304" s="68"/>
      <c r="D304" s="68" t="s">
        <v>1451</v>
      </c>
      <c r="E304" s="77" t="s">
        <v>340</v>
      </c>
      <c r="F304" s="77" t="s">
        <v>1448</v>
      </c>
      <c r="G304" s="77" t="s">
        <v>1452</v>
      </c>
      <c r="H304" s="77" t="s">
        <v>1453</v>
      </c>
      <c r="I304" s="68" t="s">
        <v>373</v>
      </c>
      <c r="J304" s="77"/>
      <c r="K304" s="77"/>
      <c r="L304" s="77"/>
      <c r="M304" s="81" t="s">
        <v>557</v>
      </c>
      <c r="N304" s="78" t="s">
        <v>586</v>
      </c>
      <c r="O304" s="68" t="str">
        <f t="shared" si="1"/>
        <v/>
      </c>
      <c r="P304" s="77"/>
      <c r="Q304" s="77"/>
      <c r="R304" s="77"/>
      <c r="S304" s="77"/>
      <c r="T304" s="77"/>
    </row>
    <row r="305" ht="23.25" customHeight="1">
      <c r="A305" s="79"/>
      <c r="B305" s="79"/>
      <c r="C305" s="79"/>
      <c r="D305" s="79" t="s">
        <v>1454</v>
      </c>
      <c r="E305" s="80" t="s">
        <v>340</v>
      </c>
      <c r="F305" s="80" t="s">
        <v>1448</v>
      </c>
      <c r="G305" s="80" t="s">
        <v>1455</v>
      </c>
      <c r="H305" s="80" t="s">
        <v>1456</v>
      </c>
      <c r="I305" s="79" t="s">
        <v>373</v>
      </c>
      <c r="J305" s="80"/>
      <c r="K305" s="80"/>
      <c r="L305" s="80"/>
      <c r="M305" s="81" t="s">
        <v>557</v>
      </c>
      <c r="N305" s="82" t="s">
        <v>586</v>
      </c>
      <c r="O305" s="79" t="str">
        <f t="shared" si="1"/>
        <v/>
      </c>
      <c r="P305" s="80"/>
      <c r="Q305" s="80"/>
      <c r="R305" s="80"/>
      <c r="S305" s="80"/>
      <c r="T305" s="80"/>
    </row>
    <row r="306" ht="23.25" customHeight="1">
      <c r="A306" s="68"/>
      <c r="B306" s="68"/>
      <c r="C306" s="68"/>
      <c r="D306" s="68" t="s">
        <v>1457</v>
      </c>
      <c r="E306" s="77" t="s">
        <v>340</v>
      </c>
      <c r="F306" s="77" t="s">
        <v>1448</v>
      </c>
      <c r="G306" s="77" t="s">
        <v>1458</v>
      </c>
      <c r="H306" s="77" t="s">
        <v>1459</v>
      </c>
      <c r="I306" s="68" t="s">
        <v>373</v>
      </c>
      <c r="J306" s="77"/>
      <c r="K306" s="77"/>
      <c r="L306" s="77"/>
      <c r="M306" s="81" t="s">
        <v>557</v>
      </c>
      <c r="N306" s="78" t="s">
        <v>586</v>
      </c>
      <c r="O306" s="68" t="str">
        <f t="shared" si="1"/>
        <v/>
      </c>
      <c r="P306" s="77"/>
      <c r="Q306" s="77"/>
      <c r="R306" s="77"/>
      <c r="S306" s="77"/>
      <c r="T306" s="77"/>
    </row>
    <row r="307" ht="23.25" customHeight="1">
      <c r="A307" s="79"/>
      <c r="B307" s="79"/>
      <c r="C307" s="79"/>
      <c r="D307" s="79" t="s">
        <v>1460</v>
      </c>
      <c r="E307" s="80" t="s">
        <v>340</v>
      </c>
      <c r="F307" s="80" t="s">
        <v>1448</v>
      </c>
      <c r="G307" s="80" t="s">
        <v>1461</v>
      </c>
      <c r="H307" s="80" t="s">
        <v>1462</v>
      </c>
      <c r="I307" s="79" t="s">
        <v>373</v>
      </c>
      <c r="J307" s="80"/>
      <c r="K307" s="80"/>
      <c r="L307" s="80"/>
      <c r="M307" s="81" t="s">
        <v>557</v>
      </c>
      <c r="N307" s="82" t="s">
        <v>586</v>
      </c>
      <c r="O307" s="79" t="str">
        <f t="shared" si="1"/>
        <v/>
      </c>
      <c r="P307" s="80"/>
      <c r="Q307" s="80"/>
      <c r="R307" s="80"/>
      <c r="S307" s="80"/>
      <c r="T307" s="80"/>
    </row>
    <row r="308" ht="23.25" customHeight="1">
      <c r="A308" s="68"/>
      <c r="B308" s="68"/>
      <c r="C308" s="68"/>
      <c r="D308" s="68" t="s">
        <v>1463</v>
      </c>
      <c r="E308" s="77" t="s">
        <v>340</v>
      </c>
      <c r="F308" s="77" t="s">
        <v>1448</v>
      </c>
      <c r="G308" s="77" t="s">
        <v>1464</v>
      </c>
      <c r="H308" s="77" t="s">
        <v>1465</v>
      </c>
      <c r="I308" s="68" t="s">
        <v>373</v>
      </c>
      <c r="J308" s="77"/>
      <c r="K308" s="77"/>
      <c r="L308" s="77"/>
      <c r="M308" s="81" t="s">
        <v>557</v>
      </c>
      <c r="N308" s="78" t="s">
        <v>586</v>
      </c>
      <c r="O308" s="68" t="str">
        <f t="shared" si="1"/>
        <v/>
      </c>
      <c r="P308" s="77"/>
      <c r="Q308" s="77"/>
      <c r="R308" s="77"/>
      <c r="S308" s="77"/>
      <c r="T308" s="77"/>
    </row>
    <row r="309" ht="15.0" customHeight="1">
      <c r="A309" s="79"/>
      <c r="B309" s="79"/>
      <c r="C309" s="79"/>
      <c r="D309" s="79" t="s">
        <v>1466</v>
      </c>
      <c r="E309" s="80" t="s">
        <v>340</v>
      </c>
      <c r="F309" s="80" t="s">
        <v>1467</v>
      </c>
      <c r="G309" s="80" t="s">
        <v>1468</v>
      </c>
      <c r="H309" s="80" t="s">
        <v>1469</v>
      </c>
      <c r="I309" s="79" t="s">
        <v>373</v>
      </c>
      <c r="J309" s="80"/>
      <c r="K309" s="80"/>
      <c r="L309" s="80"/>
      <c r="M309" s="81" t="s">
        <v>557</v>
      </c>
      <c r="N309" s="82" t="s">
        <v>586</v>
      </c>
      <c r="O309" s="79" t="str">
        <f t="shared" si="1"/>
        <v/>
      </c>
      <c r="P309" s="80"/>
      <c r="Q309" s="80"/>
      <c r="R309" s="80"/>
      <c r="S309" s="80"/>
      <c r="T309" s="80"/>
    </row>
    <row r="310" ht="15.0" customHeight="1">
      <c r="A310" s="68"/>
      <c r="B310" s="68"/>
      <c r="C310" s="68"/>
      <c r="D310" s="68" t="s">
        <v>1470</v>
      </c>
      <c r="E310" s="77" t="s">
        <v>340</v>
      </c>
      <c r="F310" s="77" t="s">
        <v>1467</v>
      </c>
      <c r="G310" s="77" t="s">
        <v>1471</v>
      </c>
      <c r="H310" s="77" t="s">
        <v>1472</v>
      </c>
      <c r="I310" s="68" t="s">
        <v>373</v>
      </c>
      <c r="J310" s="77"/>
      <c r="K310" s="77"/>
      <c r="L310" s="77"/>
      <c r="M310" s="81" t="s">
        <v>557</v>
      </c>
      <c r="N310" s="78" t="s">
        <v>586</v>
      </c>
      <c r="O310" s="68" t="str">
        <f t="shared" si="1"/>
        <v/>
      </c>
      <c r="P310" s="77"/>
      <c r="Q310" s="77"/>
      <c r="R310" s="77"/>
      <c r="S310" s="77"/>
      <c r="T310" s="77"/>
    </row>
    <row r="311" ht="15.0" customHeight="1">
      <c r="A311" s="79"/>
      <c r="B311" s="79"/>
      <c r="C311" s="79"/>
      <c r="D311" s="79" t="s">
        <v>1473</v>
      </c>
      <c r="E311" s="80" t="s">
        <v>340</v>
      </c>
      <c r="F311" s="80" t="s">
        <v>1467</v>
      </c>
      <c r="G311" s="80" t="s">
        <v>1474</v>
      </c>
      <c r="H311" s="80" t="s">
        <v>1475</v>
      </c>
      <c r="I311" s="79" t="s">
        <v>373</v>
      </c>
      <c r="J311" s="80"/>
      <c r="K311" s="80"/>
      <c r="L311" s="80"/>
      <c r="M311" s="81" t="s">
        <v>557</v>
      </c>
      <c r="N311" s="82" t="s">
        <v>586</v>
      </c>
      <c r="O311" s="79" t="str">
        <f t="shared" si="1"/>
        <v/>
      </c>
      <c r="P311" s="80"/>
      <c r="Q311" s="80"/>
      <c r="R311" s="80"/>
      <c r="S311" s="80"/>
      <c r="T311" s="80"/>
    </row>
    <row r="312" ht="15.0" customHeight="1">
      <c r="A312" s="68"/>
      <c r="B312" s="68"/>
      <c r="C312" s="68"/>
      <c r="D312" s="68" t="s">
        <v>1476</v>
      </c>
      <c r="E312" s="77" t="s">
        <v>340</v>
      </c>
      <c r="F312" s="77" t="s">
        <v>1477</v>
      </c>
      <c r="G312" s="77" t="s">
        <v>1478</v>
      </c>
      <c r="H312" s="77" t="s">
        <v>1479</v>
      </c>
      <c r="I312" s="68" t="s">
        <v>373</v>
      </c>
      <c r="J312" s="77"/>
      <c r="K312" s="77"/>
      <c r="L312" s="77"/>
      <c r="M312" s="81" t="s">
        <v>557</v>
      </c>
      <c r="N312" s="78" t="s">
        <v>586</v>
      </c>
      <c r="O312" s="68" t="str">
        <f t="shared" si="1"/>
        <v/>
      </c>
      <c r="P312" s="77"/>
      <c r="Q312" s="77"/>
      <c r="R312" s="77"/>
      <c r="S312" s="77"/>
      <c r="T312" s="77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autoFilter ref="$A$1:$T$312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312">
    <cfRule type="cellIs" dxfId="10" priority="4" operator="equal">
      <formula>"OK"</formula>
    </cfRule>
  </conditionalFormatting>
  <conditionalFormatting sqref="I2:I312">
    <cfRule type="cellIs" dxfId="5" priority="5" operator="equal">
      <formula>"NOT OK"</formula>
    </cfRule>
  </conditionalFormatting>
  <conditionalFormatting sqref="I2:I312">
    <cfRule type="cellIs" dxfId="11" priority="6" operator="equal">
      <formula>"Pending"</formula>
    </cfRule>
  </conditionalFormatting>
  <conditionalFormatting sqref="I2:I312">
    <cfRule type="cellIs" dxfId="12" priority="7" operator="equal">
      <formula>"N/A"</formula>
    </cfRule>
  </conditionalFormatting>
  <conditionalFormatting sqref="A2:T312">
    <cfRule type="expression" dxfId="13" priority="8">
      <formula>$I2="NOT OK"</formula>
    </cfRule>
  </conditionalFormatting>
  <conditionalFormatting sqref="Q2:Q312">
    <cfRule type="cellIs" dxfId="10" priority="9" operator="equal">
      <formula>"Yes"</formula>
    </cfRule>
  </conditionalFormatting>
  <conditionalFormatting sqref="Q2:Q312">
    <cfRule type="cellIs" dxfId="11" priority="10" operator="equal">
      <formula>"In Progress"</formula>
    </cfRule>
  </conditionalFormatting>
  <conditionalFormatting sqref="Q2:Q312">
    <cfRule type="cellIs" dxfId="5" priority="11" operator="equal">
      <formula>"No"</formula>
    </cfRule>
  </conditionalFormatting>
  <conditionalFormatting sqref="P2:P312">
    <cfRule type="expression" dxfId="14" priority="12">
      <formula>AND($I2="NOT OK",P2="")</formula>
    </cfRule>
  </conditionalFormatting>
  <conditionalFormatting sqref="O2:O312">
    <cfRule type="colorScale" priority="13">
      <colorScale>
        <cfvo type="formula" val="0"/>
        <cfvo type="formula" val="7"/>
        <cfvo type="formula" val="30"/>
        <color rgb="FFC8E6C9"/>
        <color rgb="FFFFE6A8"/>
        <color rgb="FFFFC9CC"/>
      </colorScale>
    </cfRule>
  </conditionalFormatting>
  <dataValidations>
    <dataValidation type="list" allowBlank="1" sqref="Q2:Q312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312">
      <formula1>CONFIG!$D$2:$D$5</formula1>
    </dataValidation>
    <dataValidation type="list" allowBlank="1" sqref="B2:B1000">
      <formula1>CONFIG!$B$2:$B$44</formula1>
    </dataValidation>
  </dataValidations>
  <hyperlinks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4"/>
    <hyperlink r:id="rId12" ref="M21"/>
    <hyperlink r:id="rId13" ref="M22"/>
    <hyperlink r:id="rId14" ref="M23"/>
    <hyperlink r:id="rId15" ref="M24"/>
    <hyperlink r:id="rId16" ref="M25"/>
    <hyperlink r:id="rId17" ref="M26"/>
    <hyperlink r:id="rId18" ref="M27"/>
    <hyperlink r:id="rId19" ref="M28"/>
    <hyperlink r:id="rId20" ref="M29"/>
    <hyperlink r:id="rId21" ref="M30"/>
    <hyperlink r:id="rId22" ref="M31"/>
    <hyperlink r:id="rId23" ref="M32"/>
    <hyperlink r:id="rId24" ref="M33"/>
    <hyperlink r:id="rId25" ref="M34"/>
    <hyperlink r:id="rId26" ref="M35"/>
    <hyperlink r:id="rId27" ref="M36"/>
    <hyperlink r:id="rId28" ref="M37"/>
    <hyperlink r:id="rId29" ref="M47"/>
    <hyperlink r:id="rId30" ref="M49"/>
    <hyperlink r:id="rId31" ref="M50"/>
    <hyperlink r:id="rId32" ref="M51"/>
    <hyperlink r:id="rId33" ref="M52"/>
    <hyperlink r:id="rId34" ref="M53"/>
    <hyperlink r:id="rId35" ref="M54"/>
    <hyperlink r:id="rId36" ref="M55"/>
    <hyperlink r:id="rId37" ref="M56"/>
    <hyperlink r:id="rId38" ref="M57"/>
    <hyperlink r:id="rId39" ref="M58"/>
    <hyperlink r:id="rId40" ref="M59"/>
    <hyperlink r:id="rId41" ref="M60"/>
    <hyperlink r:id="rId42" ref="M61"/>
    <hyperlink r:id="rId43" ref="M62"/>
    <hyperlink r:id="rId44" ref="M63"/>
    <hyperlink r:id="rId45" ref="M64"/>
    <hyperlink r:id="rId46" ref="M76"/>
    <hyperlink r:id="rId47" ref="M77"/>
    <hyperlink r:id="rId48" ref="M78"/>
    <hyperlink r:id="rId49" ref="M79"/>
    <hyperlink r:id="rId50" ref="M80"/>
    <hyperlink r:id="rId51" ref="M81"/>
    <hyperlink r:id="rId52" ref="M82"/>
    <hyperlink r:id="rId53" ref="M83"/>
    <hyperlink r:id="rId54" ref="M84"/>
    <hyperlink r:id="rId55" ref="M85"/>
    <hyperlink r:id="rId56" ref="M86"/>
    <hyperlink r:id="rId57" ref="M87"/>
    <hyperlink r:id="rId58" ref="M88"/>
    <hyperlink r:id="rId59" ref="M89"/>
    <hyperlink r:id="rId60" ref="M90"/>
    <hyperlink r:id="rId61" ref="M91"/>
    <hyperlink r:id="rId62" ref="M92"/>
    <hyperlink r:id="rId63" ref="M93"/>
    <hyperlink r:id="rId64" ref="M94"/>
    <hyperlink r:id="rId65" ref="M95"/>
    <hyperlink r:id="rId66" ref="M96"/>
    <hyperlink r:id="rId67" ref="M97"/>
    <hyperlink r:id="rId68" ref="M98"/>
    <hyperlink r:id="rId69" ref="M99"/>
    <hyperlink r:id="rId70" ref="M100"/>
    <hyperlink r:id="rId71" ref="M101"/>
    <hyperlink r:id="rId72" ref="M102"/>
    <hyperlink r:id="rId73" ref="M103"/>
    <hyperlink r:id="rId74" ref="M104"/>
    <hyperlink r:id="rId75" ref="M105"/>
    <hyperlink r:id="rId76" ref="M106"/>
    <hyperlink r:id="rId77" ref="M107"/>
    <hyperlink r:id="rId78" ref="M108"/>
    <hyperlink r:id="rId79" ref="M109"/>
    <hyperlink r:id="rId80" ref="M110"/>
    <hyperlink r:id="rId81" ref="M111"/>
    <hyperlink r:id="rId82" ref="M112"/>
    <hyperlink r:id="rId83" ref="M113"/>
    <hyperlink r:id="rId84" ref="M114"/>
    <hyperlink r:id="rId85" ref="M115"/>
    <hyperlink r:id="rId86" ref="M116"/>
    <hyperlink r:id="rId87" ref="M117"/>
    <hyperlink r:id="rId88" ref="M118"/>
    <hyperlink r:id="rId89" ref="M119"/>
    <hyperlink r:id="rId90" ref="M120"/>
    <hyperlink r:id="rId91" ref="M121"/>
    <hyperlink r:id="rId92" ref="M122"/>
    <hyperlink r:id="rId93" ref="M123"/>
    <hyperlink r:id="rId94" ref="M124"/>
    <hyperlink r:id="rId95" ref="M125"/>
    <hyperlink r:id="rId96" ref="M126"/>
    <hyperlink r:id="rId97" ref="M127"/>
    <hyperlink r:id="rId98" ref="M128"/>
    <hyperlink r:id="rId99" ref="M129"/>
    <hyperlink r:id="rId100" ref="M130"/>
    <hyperlink r:id="rId101" ref="M131"/>
    <hyperlink r:id="rId102" ref="M132"/>
    <hyperlink r:id="rId103" ref="M133"/>
    <hyperlink r:id="rId104" ref="M134"/>
    <hyperlink r:id="rId105" ref="M135"/>
    <hyperlink r:id="rId106" ref="M136"/>
    <hyperlink r:id="rId107" ref="M142"/>
    <hyperlink r:id="rId108" ref="M148"/>
    <hyperlink r:id="rId109" ref="M149"/>
    <hyperlink r:id="rId110" ref="M150"/>
    <hyperlink r:id="rId111" ref="M151"/>
    <hyperlink r:id="rId112" ref="M152"/>
    <hyperlink r:id="rId113" ref="M153"/>
    <hyperlink r:id="rId114" ref="M154"/>
    <hyperlink r:id="rId115" ref="M158"/>
    <hyperlink r:id="rId116" ref="M169"/>
    <hyperlink r:id="rId117" ref="M170"/>
    <hyperlink r:id="rId118" ref="M171"/>
    <hyperlink r:id="rId119" ref="M172"/>
    <hyperlink r:id="rId120" ref="M173"/>
    <hyperlink r:id="rId121" ref="M174"/>
    <hyperlink r:id="rId122" ref="M175"/>
    <hyperlink r:id="rId123" ref="M176"/>
    <hyperlink r:id="rId124" ref="M177"/>
    <hyperlink r:id="rId125" ref="M178"/>
    <hyperlink r:id="rId126" ref="M179"/>
    <hyperlink r:id="rId127" ref="M180"/>
    <hyperlink r:id="rId128" ref="M181"/>
    <hyperlink r:id="rId129" ref="M182"/>
    <hyperlink r:id="rId130" ref="M183"/>
    <hyperlink r:id="rId131" ref="M184"/>
    <hyperlink r:id="rId132" ref="M185"/>
    <hyperlink r:id="rId133" ref="M186"/>
    <hyperlink r:id="rId134" ref="M187"/>
    <hyperlink r:id="rId135" ref="M188"/>
    <hyperlink r:id="rId136" ref="M189"/>
    <hyperlink r:id="rId137" ref="M190"/>
    <hyperlink r:id="rId138" ref="M191"/>
    <hyperlink r:id="rId139" ref="M192"/>
    <hyperlink r:id="rId140" ref="M193"/>
    <hyperlink r:id="rId141" ref="M194"/>
    <hyperlink r:id="rId142" ref="M195"/>
    <hyperlink r:id="rId143" ref="M196"/>
    <hyperlink r:id="rId144" ref="M197"/>
    <hyperlink r:id="rId145" ref="M198"/>
    <hyperlink r:id="rId146" ref="M199"/>
    <hyperlink r:id="rId147" ref="M221"/>
    <hyperlink r:id="rId148" ref="M222"/>
    <hyperlink r:id="rId149" ref="M223"/>
    <hyperlink r:id="rId150" ref="M224"/>
    <hyperlink r:id="rId151" ref="M226"/>
    <hyperlink r:id="rId152" ref="M227"/>
    <hyperlink r:id="rId153" ref="M228"/>
    <hyperlink r:id="rId154" ref="M229"/>
    <hyperlink r:id="rId155" ref="M231"/>
    <hyperlink r:id="rId156" ref="M232"/>
    <hyperlink r:id="rId157" ref="M233"/>
    <hyperlink r:id="rId158" ref="M280"/>
    <hyperlink r:id="rId159" ref="M281"/>
    <hyperlink r:id="rId160" ref="M282"/>
    <hyperlink r:id="rId161" ref="M283"/>
    <hyperlink r:id="rId162" ref="M284"/>
    <hyperlink r:id="rId163" ref="M285"/>
    <hyperlink r:id="rId164" ref="M286"/>
    <hyperlink r:id="rId165" ref="M287"/>
    <hyperlink r:id="rId166" ref="M288"/>
    <hyperlink r:id="rId167" ref="M289"/>
    <hyperlink r:id="rId168" ref="M290"/>
    <hyperlink r:id="rId169" ref="M291"/>
    <hyperlink r:id="rId170" ref="M292"/>
    <hyperlink r:id="rId171" ref="M293"/>
    <hyperlink r:id="rId172" ref="M294"/>
    <hyperlink r:id="rId173" ref="M295"/>
    <hyperlink r:id="rId174" ref="M296"/>
    <hyperlink r:id="rId175" ref="M297"/>
    <hyperlink r:id="rId176" ref="M298"/>
    <hyperlink r:id="rId177" ref="M299"/>
    <hyperlink r:id="rId178" ref="M300"/>
    <hyperlink r:id="rId179" ref="M301"/>
    <hyperlink r:id="rId180" ref="M302"/>
    <hyperlink r:id="rId181" ref="M303"/>
    <hyperlink r:id="rId182" ref="M304"/>
    <hyperlink r:id="rId183" ref="M305"/>
    <hyperlink r:id="rId184" ref="M306"/>
    <hyperlink r:id="rId185" ref="M307"/>
    <hyperlink r:id="rId186" ref="M308"/>
    <hyperlink r:id="rId187" ref="M309"/>
    <hyperlink r:id="rId188" ref="M310"/>
    <hyperlink r:id="rId189" ref="M311"/>
    <hyperlink r:id="rId190" ref="M312"/>
  </hyperlinks>
  <printOptions/>
  <pageMargins bottom="1.0" footer="0.0" header="0.0" left="0.75" right="0.75" top="1.0"/>
  <pageSetup paperSize="9" orientation="portrait"/>
  <drawing r:id="rId191"/>
  <legacyDrawing r:id="rId19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8.0"/>
    <col customWidth="1" min="4" max="4" width="12.0"/>
    <col customWidth="1" min="5" max="5" width="8.0"/>
    <col customWidth="1" min="6" max="6" width="22.0"/>
    <col customWidth="1" min="7" max="7" width="12.0"/>
    <col customWidth="1" min="8" max="8" width="46.0"/>
    <col customWidth="1" min="9" max="9" width="12.0"/>
    <col customWidth="1" min="10" max="10" width="26.0"/>
    <col customWidth="1" min="11" max="11" width="12.0"/>
    <col customWidth="1" min="12" max="12" width="26.0"/>
    <col customWidth="1" min="13" max="13" width="30.0"/>
    <col customWidth="1" hidden="1" min="14" max="14" width="18.0"/>
  </cols>
  <sheetData>
    <row r="1" ht="30.0" customHeight="1">
      <c r="A1" s="74" t="s">
        <v>0</v>
      </c>
      <c r="B1" s="74" t="s">
        <v>1480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507</v>
      </c>
      <c r="H1" s="74" t="s">
        <v>508</v>
      </c>
      <c r="I1" s="74" t="s">
        <v>509</v>
      </c>
      <c r="J1" s="74" t="s">
        <v>510</v>
      </c>
      <c r="K1" s="74" t="s">
        <v>524</v>
      </c>
      <c r="L1" s="74" t="s">
        <v>526</v>
      </c>
      <c r="M1" s="74" t="s">
        <v>1481</v>
      </c>
      <c r="N1" s="83" t="s">
        <v>1482</v>
      </c>
    </row>
    <row r="2" ht="15.0" hidden="1" customHeight="1">
      <c r="A2" s="84">
        <v>46174.01529462963</v>
      </c>
      <c r="B2" s="85" t="s">
        <v>331</v>
      </c>
      <c r="C2" s="85">
        <v>4.0</v>
      </c>
      <c r="D2" s="85">
        <v>5.0</v>
      </c>
      <c r="E2" s="85" t="s">
        <v>332</v>
      </c>
      <c r="F2" s="85" t="s">
        <v>333</v>
      </c>
      <c r="G2" s="85" t="s">
        <v>528</v>
      </c>
      <c r="H2" s="85" t="s">
        <v>530</v>
      </c>
      <c r="I2" s="85" t="s">
        <v>334</v>
      </c>
      <c r="J2" s="13"/>
      <c r="K2" s="13"/>
      <c r="L2" s="13"/>
      <c r="M2" s="85" t="s">
        <v>1483</v>
      </c>
      <c r="N2" s="85" t="s">
        <v>1484</v>
      </c>
    </row>
    <row r="3" ht="15.0" hidden="1" customHeight="1">
      <c r="A3" s="84">
        <v>46174.01529462963</v>
      </c>
      <c r="B3" s="85" t="s">
        <v>331</v>
      </c>
      <c r="C3" s="85">
        <v>4.0</v>
      </c>
      <c r="D3" s="85">
        <v>5.0</v>
      </c>
      <c r="E3" s="85" t="s">
        <v>332</v>
      </c>
      <c r="F3" s="85" t="s">
        <v>333</v>
      </c>
      <c r="G3" s="85" t="s">
        <v>533</v>
      </c>
      <c r="H3" s="85" t="s">
        <v>535</v>
      </c>
      <c r="I3" s="85" t="s">
        <v>334</v>
      </c>
      <c r="J3" s="13"/>
      <c r="K3" s="13"/>
      <c r="L3" s="13"/>
      <c r="M3" s="85" t="s">
        <v>1483</v>
      </c>
      <c r="N3" s="85" t="s">
        <v>1484</v>
      </c>
    </row>
    <row r="4" ht="15.0" hidden="1" customHeight="1">
      <c r="A4" s="84">
        <v>46174.01529462963</v>
      </c>
      <c r="B4" s="85" t="s">
        <v>331</v>
      </c>
      <c r="C4" s="85">
        <v>4.0</v>
      </c>
      <c r="D4" s="85">
        <v>5.0</v>
      </c>
      <c r="E4" s="85" t="s">
        <v>332</v>
      </c>
      <c r="F4" s="85" t="s">
        <v>333</v>
      </c>
      <c r="G4" s="85" t="s">
        <v>539</v>
      </c>
      <c r="H4" s="85" t="s">
        <v>540</v>
      </c>
      <c r="I4" s="85" t="s">
        <v>334</v>
      </c>
      <c r="J4" s="13"/>
      <c r="K4" s="13"/>
      <c r="L4" s="13"/>
      <c r="M4" s="85" t="s">
        <v>1483</v>
      </c>
      <c r="N4" s="85" t="s">
        <v>1484</v>
      </c>
    </row>
    <row r="5" ht="15.0" hidden="1" customHeight="1">
      <c r="A5" s="84">
        <v>46174.01529462963</v>
      </c>
      <c r="B5" s="85" t="s">
        <v>331</v>
      </c>
      <c r="C5" s="85">
        <v>4.0</v>
      </c>
      <c r="D5" s="85">
        <v>5.0</v>
      </c>
      <c r="E5" s="85" t="s">
        <v>332</v>
      </c>
      <c r="F5" s="85" t="s">
        <v>333</v>
      </c>
      <c r="G5" s="85" t="s">
        <v>541</v>
      </c>
      <c r="H5" s="85" t="s">
        <v>542</v>
      </c>
      <c r="I5" s="85" t="s">
        <v>334</v>
      </c>
      <c r="J5" s="13"/>
      <c r="K5" s="13"/>
      <c r="L5" s="13"/>
      <c r="M5" s="85" t="s">
        <v>1483</v>
      </c>
      <c r="N5" s="85" t="s">
        <v>1484</v>
      </c>
    </row>
    <row r="6" ht="15.0" hidden="1" customHeight="1">
      <c r="A6" s="84">
        <v>46174.01529462963</v>
      </c>
      <c r="B6" s="85" t="s">
        <v>331</v>
      </c>
      <c r="C6" s="85">
        <v>4.0</v>
      </c>
      <c r="D6" s="85">
        <v>5.0</v>
      </c>
      <c r="E6" s="85" t="s">
        <v>332</v>
      </c>
      <c r="F6" s="85" t="s">
        <v>333</v>
      </c>
      <c r="G6" s="85" t="s">
        <v>543</v>
      </c>
      <c r="H6" s="85" t="s">
        <v>544</v>
      </c>
      <c r="I6" s="85" t="s">
        <v>334</v>
      </c>
      <c r="J6" s="13"/>
      <c r="K6" s="13"/>
      <c r="L6" s="13"/>
      <c r="M6" s="85" t="s">
        <v>1483</v>
      </c>
      <c r="N6" s="85" t="s">
        <v>1484</v>
      </c>
    </row>
    <row r="7" ht="15.0" hidden="1" customHeight="1">
      <c r="A7" s="84">
        <v>46174.01529462963</v>
      </c>
      <c r="B7" s="85" t="s">
        <v>331</v>
      </c>
      <c r="C7" s="85">
        <v>4.0</v>
      </c>
      <c r="D7" s="85">
        <v>5.0</v>
      </c>
      <c r="E7" s="85" t="s">
        <v>332</v>
      </c>
      <c r="F7" s="85" t="s">
        <v>333</v>
      </c>
      <c r="G7" s="85" t="s">
        <v>545</v>
      </c>
      <c r="H7" s="85" t="s">
        <v>546</v>
      </c>
      <c r="I7" s="85" t="s">
        <v>334</v>
      </c>
      <c r="J7" s="13"/>
      <c r="K7" s="13"/>
      <c r="L7" s="13"/>
      <c r="M7" s="85" t="s">
        <v>1483</v>
      </c>
      <c r="N7" s="85" t="s">
        <v>1484</v>
      </c>
    </row>
    <row r="8" ht="15.0" hidden="1" customHeight="1">
      <c r="A8" s="84">
        <v>46174.01529462963</v>
      </c>
      <c r="B8" s="85" t="s">
        <v>331</v>
      </c>
      <c r="C8" s="85">
        <v>4.0</v>
      </c>
      <c r="D8" s="85">
        <v>5.0</v>
      </c>
      <c r="E8" s="85" t="s">
        <v>332</v>
      </c>
      <c r="F8" s="85" t="s">
        <v>333</v>
      </c>
      <c r="G8" s="85" t="s">
        <v>547</v>
      </c>
      <c r="H8" s="85" t="s">
        <v>548</v>
      </c>
      <c r="I8" s="85" t="s">
        <v>334</v>
      </c>
      <c r="J8" s="13"/>
      <c r="K8" s="13"/>
      <c r="L8" s="13"/>
      <c r="M8" s="85" t="s">
        <v>1483</v>
      </c>
      <c r="N8" s="85" t="s">
        <v>1484</v>
      </c>
    </row>
    <row r="9" ht="15.0" hidden="1" customHeight="1">
      <c r="A9" s="84">
        <v>46174.01529462963</v>
      </c>
      <c r="B9" s="85" t="s">
        <v>331</v>
      </c>
      <c r="C9" s="85">
        <v>4.0</v>
      </c>
      <c r="D9" s="85">
        <v>5.0</v>
      </c>
      <c r="E9" s="85" t="s">
        <v>332</v>
      </c>
      <c r="F9" s="85" t="s">
        <v>333</v>
      </c>
      <c r="G9" s="85" t="s">
        <v>549</v>
      </c>
      <c r="H9" s="85" t="s">
        <v>550</v>
      </c>
      <c r="I9" s="85" t="s">
        <v>334</v>
      </c>
      <c r="J9" s="13"/>
      <c r="K9" s="13"/>
      <c r="L9" s="13"/>
      <c r="M9" s="85" t="s">
        <v>1483</v>
      </c>
      <c r="N9" s="85" t="s">
        <v>1484</v>
      </c>
    </row>
    <row r="10" ht="15.0" hidden="1" customHeight="1">
      <c r="A10" s="84">
        <v>46174.01529462963</v>
      </c>
      <c r="B10" s="85" t="s">
        <v>331</v>
      </c>
      <c r="C10" s="85">
        <v>4.0</v>
      </c>
      <c r="D10" s="85">
        <v>5.0</v>
      </c>
      <c r="E10" s="85" t="s">
        <v>332</v>
      </c>
      <c r="F10" s="85" t="s">
        <v>333</v>
      </c>
      <c r="G10" s="85" t="s">
        <v>551</v>
      </c>
      <c r="H10" s="85" t="s">
        <v>552</v>
      </c>
      <c r="I10" s="85" t="s">
        <v>334</v>
      </c>
      <c r="J10" s="13"/>
      <c r="K10" s="13"/>
      <c r="L10" s="13"/>
      <c r="M10" s="85" t="s">
        <v>1483</v>
      </c>
      <c r="N10" s="85" t="s">
        <v>1484</v>
      </c>
    </row>
    <row r="11" ht="15.0" hidden="1" customHeight="1">
      <c r="A11" s="84">
        <v>46174.01529462963</v>
      </c>
      <c r="B11" s="85" t="s">
        <v>331</v>
      </c>
      <c r="C11" s="85">
        <v>4.0</v>
      </c>
      <c r="D11" s="85">
        <v>5.0</v>
      </c>
      <c r="E11" s="85" t="s">
        <v>332</v>
      </c>
      <c r="F11" s="85" t="s">
        <v>333</v>
      </c>
      <c r="G11" s="85" t="s">
        <v>553</v>
      </c>
      <c r="H11" s="85" t="s">
        <v>555</v>
      </c>
      <c r="I11" s="85" t="s">
        <v>334</v>
      </c>
      <c r="J11" s="13"/>
      <c r="K11" s="13"/>
      <c r="L11" s="13"/>
      <c r="M11" s="85" t="s">
        <v>1483</v>
      </c>
      <c r="N11" s="85" t="s">
        <v>1484</v>
      </c>
    </row>
    <row r="12" ht="15.0" hidden="1" customHeight="1">
      <c r="A12" s="84">
        <v>46174.01529462963</v>
      </c>
      <c r="B12" s="85" t="s">
        <v>331</v>
      </c>
      <c r="C12" s="85">
        <v>4.0</v>
      </c>
      <c r="D12" s="85">
        <v>5.0</v>
      </c>
      <c r="E12" s="85" t="s">
        <v>332</v>
      </c>
      <c r="F12" s="85" t="s">
        <v>333</v>
      </c>
      <c r="G12" s="85" t="s">
        <v>558</v>
      </c>
      <c r="H12" s="85" t="s">
        <v>560</v>
      </c>
      <c r="I12" s="85" t="s">
        <v>334</v>
      </c>
      <c r="J12" s="13"/>
      <c r="K12" s="13"/>
      <c r="L12" s="13"/>
      <c r="M12" s="85" t="s">
        <v>1483</v>
      </c>
      <c r="N12" s="85" t="s">
        <v>1484</v>
      </c>
    </row>
    <row r="13" ht="15.0" hidden="1" customHeight="1">
      <c r="A13" s="84">
        <v>46174.01529462963</v>
      </c>
      <c r="B13" s="85" t="s">
        <v>331</v>
      </c>
      <c r="C13" s="85">
        <v>4.0</v>
      </c>
      <c r="D13" s="85">
        <v>5.0</v>
      </c>
      <c r="E13" s="85" t="s">
        <v>332</v>
      </c>
      <c r="F13" s="85" t="s">
        <v>333</v>
      </c>
      <c r="G13" s="85" t="s">
        <v>561</v>
      </c>
      <c r="H13" s="85" t="s">
        <v>562</v>
      </c>
      <c r="I13" s="85" t="s">
        <v>334</v>
      </c>
      <c r="J13" s="13"/>
      <c r="K13" s="13"/>
      <c r="L13" s="13"/>
      <c r="M13" s="85" t="s">
        <v>1483</v>
      </c>
      <c r="N13" s="85" t="s">
        <v>1484</v>
      </c>
    </row>
    <row r="14" ht="15.0" hidden="1" customHeight="1">
      <c r="A14" s="84">
        <v>46174.01529462963</v>
      </c>
      <c r="B14" s="85" t="s">
        <v>331</v>
      </c>
      <c r="C14" s="85">
        <v>4.0</v>
      </c>
      <c r="D14" s="85">
        <v>5.0</v>
      </c>
      <c r="E14" s="85" t="s">
        <v>332</v>
      </c>
      <c r="F14" s="85" t="s">
        <v>333</v>
      </c>
      <c r="G14" s="85" t="s">
        <v>563</v>
      </c>
      <c r="H14" s="85" t="s">
        <v>564</v>
      </c>
      <c r="I14" s="85" t="s">
        <v>334</v>
      </c>
      <c r="J14" s="13"/>
      <c r="K14" s="13"/>
      <c r="L14" s="13"/>
      <c r="M14" s="85" t="s">
        <v>1483</v>
      </c>
      <c r="N14" s="85" t="s">
        <v>1484</v>
      </c>
    </row>
    <row r="15" ht="15.0" hidden="1" customHeight="1">
      <c r="A15" s="84">
        <v>46174.01529462963</v>
      </c>
      <c r="B15" s="85" t="s">
        <v>331</v>
      </c>
      <c r="C15" s="85">
        <v>4.0</v>
      </c>
      <c r="D15" s="85">
        <v>5.0</v>
      </c>
      <c r="E15" s="85" t="s">
        <v>332</v>
      </c>
      <c r="F15" s="85" t="s">
        <v>333</v>
      </c>
      <c r="G15" s="85" t="s">
        <v>565</v>
      </c>
      <c r="H15" s="85" t="s">
        <v>566</v>
      </c>
      <c r="I15" s="85" t="s">
        <v>334</v>
      </c>
      <c r="J15" s="13"/>
      <c r="K15" s="13"/>
      <c r="L15" s="13"/>
      <c r="M15" s="85" t="s">
        <v>1483</v>
      </c>
      <c r="N15" s="85" t="s">
        <v>1484</v>
      </c>
    </row>
    <row r="16" ht="15.0" hidden="1" customHeight="1">
      <c r="A16" s="84">
        <v>46174.01529462963</v>
      </c>
      <c r="B16" s="85" t="s">
        <v>331</v>
      </c>
      <c r="C16" s="85">
        <v>4.0</v>
      </c>
      <c r="D16" s="85">
        <v>5.0</v>
      </c>
      <c r="E16" s="85" t="s">
        <v>332</v>
      </c>
      <c r="F16" s="85" t="s">
        <v>333</v>
      </c>
      <c r="G16" s="85" t="s">
        <v>567</v>
      </c>
      <c r="H16" s="85" t="s">
        <v>568</v>
      </c>
      <c r="I16" s="85" t="s">
        <v>334</v>
      </c>
      <c r="J16" s="13"/>
      <c r="K16" s="13"/>
      <c r="L16" s="13"/>
      <c r="M16" s="85" t="s">
        <v>1483</v>
      </c>
      <c r="N16" s="85" t="s">
        <v>1484</v>
      </c>
    </row>
    <row r="17" ht="15.0" hidden="1" customHeight="1">
      <c r="A17" s="84">
        <v>46174.01529462963</v>
      </c>
      <c r="B17" s="85" t="s">
        <v>331</v>
      </c>
      <c r="C17" s="85">
        <v>4.0</v>
      </c>
      <c r="D17" s="85">
        <v>5.0</v>
      </c>
      <c r="E17" s="85" t="s">
        <v>332</v>
      </c>
      <c r="F17" s="85" t="s">
        <v>333</v>
      </c>
      <c r="G17" s="85" t="s">
        <v>569</v>
      </c>
      <c r="H17" s="85" t="s">
        <v>570</v>
      </c>
      <c r="I17" s="85" t="s">
        <v>334</v>
      </c>
      <c r="J17" s="13"/>
      <c r="K17" s="13"/>
      <c r="L17" s="13"/>
      <c r="M17" s="85" t="s">
        <v>1483</v>
      </c>
      <c r="N17" s="85" t="s">
        <v>1484</v>
      </c>
    </row>
    <row r="18" ht="15.0" hidden="1" customHeight="1">
      <c r="A18" s="84">
        <v>46174.01529462963</v>
      </c>
      <c r="B18" s="85" t="s">
        <v>331</v>
      </c>
      <c r="C18" s="85">
        <v>4.0</v>
      </c>
      <c r="D18" s="85">
        <v>5.0</v>
      </c>
      <c r="E18" s="85" t="s">
        <v>332</v>
      </c>
      <c r="F18" s="85" t="s">
        <v>333</v>
      </c>
      <c r="G18" s="85" t="s">
        <v>571</v>
      </c>
      <c r="H18" s="85" t="s">
        <v>572</v>
      </c>
      <c r="I18" s="85" t="s">
        <v>334</v>
      </c>
      <c r="J18" s="13"/>
      <c r="K18" s="13"/>
      <c r="L18" s="13"/>
      <c r="M18" s="85" t="s">
        <v>1483</v>
      </c>
      <c r="N18" s="85" t="s">
        <v>1484</v>
      </c>
    </row>
    <row r="19" ht="15.0" hidden="1" customHeight="1">
      <c r="A19" s="84">
        <v>46174.01529462963</v>
      </c>
      <c r="B19" s="85" t="s">
        <v>331</v>
      </c>
      <c r="C19" s="85">
        <v>4.0</v>
      </c>
      <c r="D19" s="85">
        <v>5.0</v>
      </c>
      <c r="E19" s="85" t="s">
        <v>332</v>
      </c>
      <c r="F19" s="85" t="s">
        <v>333</v>
      </c>
      <c r="G19" s="85" t="s">
        <v>574</v>
      </c>
      <c r="H19" s="85" t="s">
        <v>575</v>
      </c>
      <c r="I19" s="85" t="s">
        <v>334</v>
      </c>
      <c r="J19" s="13"/>
      <c r="K19" s="13"/>
      <c r="L19" s="13"/>
      <c r="M19" s="85" t="s">
        <v>1483</v>
      </c>
      <c r="N19" s="85" t="s">
        <v>1484</v>
      </c>
    </row>
    <row r="20" ht="15.0" hidden="1" customHeight="1">
      <c r="A20" s="84">
        <v>46174.01529462963</v>
      </c>
      <c r="B20" s="85" t="s">
        <v>331</v>
      </c>
      <c r="C20" s="85">
        <v>4.0</v>
      </c>
      <c r="D20" s="85">
        <v>5.0</v>
      </c>
      <c r="E20" s="85" t="s">
        <v>332</v>
      </c>
      <c r="F20" s="85" t="s">
        <v>333</v>
      </c>
      <c r="G20" s="85" t="s">
        <v>576</v>
      </c>
      <c r="H20" s="85" t="s">
        <v>577</v>
      </c>
      <c r="I20" s="85" t="s">
        <v>334</v>
      </c>
      <c r="J20" s="13"/>
      <c r="K20" s="13"/>
      <c r="L20" s="13"/>
      <c r="M20" s="85" t="s">
        <v>1483</v>
      </c>
      <c r="N20" s="85" t="s">
        <v>1484</v>
      </c>
    </row>
    <row r="21" ht="15.0" hidden="1" customHeight="1">
      <c r="A21" s="84">
        <v>46174.01529462963</v>
      </c>
      <c r="B21" s="85" t="s">
        <v>331</v>
      </c>
      <c r="C21" s="85">
        <v>4.0</v>
      </c>
      <c r="D21" s="85">
        <v>5.0</v>
      </c>
      <c r="E21" s="85" t="s">
        <v>332</v>
      </c>
      <c r="F21" s="85" t="s">
        <v>333</v>
      </c>
      <c r="G21" s="85" t="s">
        <v>578</v>
      </c>
      <c r="H21" s="85" t="s">
        <v>579</v>
      </c>
      <c r="I21" s="85" t="s">
        <v>334</v>
      </c>
      <c r="J21" s="13"/>
      <c r="K21" s="13"/>
      <c r="L21" s="13"/>
      <c r="M21" s="85" t="s">
        <v>1483</v>
      </c>
      <c r="N21" s="85" t="s">
        <v>1484</v>
      </c>
    </row>
    <row r="22" ht="15.0" hidden="1" customHeight="1">
      <c r="A22" s="84">
        <v>46174.01529462963</v>
      </c>
      <c r="B22" s="85" t="s">
        <v>331</v>
      </c>
      <c r="C22" s="85">
        <v>4.0</v>
      </c>
      <c r="D22" s="85">
        <v>5.0</v>
      </c>
      <c r="E22" s="85" t="s">
        <v>332</v>
      </c>
      <c r="F22" s="85" t="s">
        <v>333</v>
      </c>
      <c r="G22" s="85" t="s">
        <v>581</v>
      </c>
      <c r="H22" s="85" t="s">
        <v>583</v>
      </c>
      <c r="I22" s="85" t="s">
        <v>334</v>
      </c>
      <c r="J22" s="13"/>
      <c r="K22" s="13"/>
      <c r="L22" s="13"/>
      <c r="M22" s="85" t="s">
        <v>1483</v>
      </c>
      <c r="N22" s="85" t="s">
        <v>1484</v>
      </c>
    </row>
    <row r="23" ht="15.0" hidden="1" customHeight="1">
      <c r="A23" s="84">
        <v>46174.01529462963</v>
      </c>
      <c r="B23" s="85" t="s">
        <v>331</v>
      </c>
      <c r="C23" s="85">
        <v>4.0</v>
      </c>
      <c r="D23" s="85">
        <v>5.0</v>
      </c>
      <c r="E23" s="85" t="s">
        <v>332</v>
      </c>
      <c r="F23" s="85" t="s">
        <v>333</v>
      </c>
      <c r="G23" s="85" t="s">
        <v>587</v>
      </c>
      <c r="H23" s="85" t="s">
        <v>588</v>
      </c>
      <c r="I23" s="85" t="s">
        <v>334</v>
      </c>
      <c r="J23" s="13"/>
      <c r="K23" s="13"/>
      <c r="L23" s="13"/>
      <c r="M23" s="85" t="s">
        <v>1483</v>
      </c>
      <c r="N23" s="85" t="s">
        <v>1484</v>
      </c>
    </row>
    <row r="24" ht="15.0" hidden="1" customHeight="1">
      <c r="A24" s="84">
        <v>46174.01529462963</v>
      </c>
      <c r="B24" s="85" t="s">
        <v>331</v>
      </c>
      <c r="C24" s="85">
        <v>4.0</v>
      </c>
      <c r="D24" s="85">
        <v>5.0</v>
      </c>
      <c r="E24" s="85" t="s">
        <v>332</v>
      </c>
      <c r="F24" s="85" t="s">
        <v>333</v>
      </c>
      <c r="G24" s="85" t="s">
        <v>590</v>
      </c>
      <c r="H24" s="85" t="s">
        <v>591</v>
      </c>
      <c r="I24" s="85" t="s">
        <v>334</v>
      </c>
      <c r="J24" s="13"/>
      <c r="K24" s="13"/>
      <c r="L24" s="13"/>
      <c r="M24" s="85" t="s">
        <v>1483</v>
      </c>
      <c r="N24" s="85" t="s">
        <v>1484</v>
      </c>
    </row>
    <row r="25" ht="15.0" hidden="1" customHeight="1">
      <c r="A25" s="84">
        <v>46174.01529462963</v>
      </c>
      <c r="B25" s="85" t="s">
        <v>331</v>
      </c>
      <c r="C25" s="85">
        <v>4.0</v>
      </c>
      <c r="D25" s="85">
        <v>5.0</v>
      </c>
      <c r="E25" s="85" t="s">
        <v>332</v>
      </c>
      <c r="F25" s="85" t="s">
        <v>333</v>
      </c>
      <c r="G25" s="85" t="s">
        <v>593</v>
      </c>
      <c r="H25" s="85" t="s">
        <v>594</v>
      </c>
      <c r="I25" s="85" t="s">
        <v>334</v>
      </c>
      <c r="J25" s="13"/>
      <c r="K25" s="13"/>
      <c r="L25" s="13"/>
      <c r="M25" s="85" t="s">
        <v>1483</v>
      </c>
      <c r="N25" s="85" t="s">
        <v>1484</v>
      </c>
    </row>
    <row r="26" ht="15.0" hidden="1" customHeight="1">
      <c r="A26" s="84">
        <v>46174.01529462963</v>
      </c>
      <c r="B26" s="85" t="s">
        <v>331</v>
      </c>
      <c r="C26" s="85">
        <v>4.0</v>
      </c>
      <c r="D26" s="85">
        <v>5.0</v>
      </c>
      <c r="E26" s="85" t="s">
        <v>332</v>
      </c>
      <c r="F26" s="85" t="s">
        <v>333</v>
      </c>
      <c r="G26" s="85" t="s">
        <v>596</v>
      </c>
      <c r="H26" s="85" t="s">
        <v>597</v>
      </c>
      <c r="I26" s="85" t="s">
        <v>334</v>
      </c>
      <c r="J26" s="13"/>
      <c r="K26" s="13"/>
      <c r="L26" s="13"/>
      <c r="M26" s="85" t="s">
        <v>1483</v>
      </c>
      <c r="N26" s="85" t="s">
        <v>1484</v>
      </c>
    </row>
    <row r="27" ht="15.0" hidden="1" customHeight="1">
      <c r="A27" s="84">
        <v>46174.01529462963</v>
      </c>
      <c r="B27" s="85" t="s">
        <v>331</v>
      </c>
      <c r="C27" s="85">
        <v>4.0</v>
      </c>
      <c r="D27" s="85">
        <v>5.0</v>
      </c>
      <c r="E27" s="85" t="s">
        <v>332</v>
      </c>
      <c r="F27" s="85" t="s">
        <v>333</v>
      </c>
      <c r="G27" s="85" t="s">
        <v>599</v>
      </c>
      <c r="H27" s="85" t="s">
        <v>600</v>
      </c>
      <c r="I27" s="85" t="s">
        <v>334</v>
      </c>
      <c r="J27" s="13"/>
      <c r="K27" s="13"/>
      <c r="L27" s="13"/>
      <c r="M27" s="85" t="s">
        <v>1483</v>
      </c>
      <c r="N27" s="85" t="s">
        <v>1484</v>
      </c>
    </row>
    <row r="28" ht="15.0" hidden="1" customHeight="1">
      <c r="A28" s="84">
        <v>46174.01529462963</v>
      </c>
      <c r="B28" s="85" t="s">
        <v>331</v>
      </c>
      <c r="C28" s="85">
        <v>4.0</v>
      </c>
      <c r="D28" s="85">
        <v>5.0</v>
      </c>
      <c r="E28" s="85" t="s">
        <v>332</v>
      </c>
      <c r="F28" s="85" t="s">
        <v>333</v>
      </c>
      <c r="G28" s="85" t="s">
        <v>602</v>
      </c>
      <c r="H28" s="85" t="s">
        <v>604</v>
      </c>
      <c r="I28" s="85" t="s">
        <v>334</v>
      </c>
      <c r="J28" s="13"/>
      <c r="K28" s="13"/>
      <c r="L28" s="13"/>
      <c r="M28" s="85" t="s">
        <v>1483</v>
      </c>
      <c r="N28" s="85" t="s">
        <v>1484</v>
      </c>
    </row>
    <row r="29" ht="15.0" hidden="1" customHeight="1">
      <c r="A29" s="84">
        <v>46174.01529462963</v>
      </c>
      <c r="B29" s="85" t="s">
        <v>331</v>
      </c>
      <c r="C29" s="85">
        <v>4.0</v>
      </c>
      <c r="D29" s="85">
        <v>5.0</v>
      </c>
      <c r="E29" s="85" t="s">
        <v>332</v>
      </c>
      <c r="F29" s="85" t="s">
        <v>333</v>
      </c>
      <c r="G29" s="85" t="s">
        <v>606</v>
      </c>
      <c r="H29" s="85" t="s">
        <v>607</v>
      </c>
      <c r="I29" s="85" t="s">
        <v>334</v>
      </c>
      <c r="J29" s="13"/>
      <c r="K29" s="13"/>
      <c r="L29" s="13"/>
      <c r="M29" s="85" t="s">
        <v>1483</v>
      </c>
      <c r="N29" s="85" t="s">
        <v>1484</v>
      </c>
    </row>
    <row r="30" ht="15.0" hidden="1" customHeight="1">
      <c r="A30" s="84">
        <v>46174.01529462963</v>
      </c>
      <c r="B30" s="85" t="s">
        <v>331</v>
      </c>
      <c r="C30" s="85">
        <v>4.0</v>
      </c>
      <c r="D30" s="85">
        <v>5.0</v>
      </c>
      <c r="E30" s="85" t="s">
        <v>332</v>
      </c>
      <c r="F30" s="85" t="s">
        <v>333</v>
      </c>
      <c r="G30" s="85" t="s">
        <v>609</v>
      </c>
      <c r="H30" s="85" t="s">
        <v>610</v>
      </c>
      <c r="I30" s="85" t="s">
        <v>334</v>
      </c>
      <c r="J30" s="13"/>
      <c r="K30" s="13"/>
      <c r="L30" s="13"/>
      <c r="M30" s="85" t="s">
        <v>1483</v>
      </c>
      <c r="N30" s="85" t="s">
        <v>1484</v>
      </c>
    </row>
    <row r="31" ht="15.0" hidden="1" customHeight="1">
      <c r="A31" s="84">
        <v>46174.01529462963</v>
      </c>
      <c r="B31" s="85" t="s">
        <v>331</v>
      </c>
      <c r="C31" s="85">
        <v>4.0</v>
      </c>
      <c r="D31" s="85">
        <v>5.0</v>
      </c>
      <c r="E31" s="85" t="s">
        <v>332</v>
      </c>
      <c r="F31" s="85" t="s">
        <v>333</v>
      </c>
      <c r="G31" s="85" t="s">
        <v>612</v>
      </c>
      <c r="H31" s="85" t="s">
        <v>613</v>
      </c>
      <c r="I31" s="85" t="s">
        <v>334</v>
      </c>
      <c r="J31" s="13"/>
      <c r="K31" s="13"/>
      <c r="L31" s="13"/>
      <c r="M31" s="85" t="s">
        <v>1483</v>
      </c>
      <c r="N31" s="85" t="s">
        <v>1484</v>
      </c>
    </row>
    <row r="32" ht="15.0" hidden="1" customHeight="1">
      <c r="A32" s="84">
        <v>46174.018346770834</v>
      </c>
      <c r="B32" s="85" t="s">
        <v>344</v>
      </c>
      <c r="C32" s="85">
        <v>5.0</v>
      </c>
      <c r="D32" s="85">
        <v>7.0</v>
      </c>
      <c r="E32" s="85" t="s">
        <v>345</v>
      </c>
      <c r="F32" s="85" t="s">
        <v>346</v>
      </c>
      <c r="G32" s="85" t="s">
        <v>1292</v>
      </c>
      <c r="H32" s="85" t="s">
        <v>1294</v>
      </c>
      <c r="I32" s="85" t="s">
        <v>334</v>
      </c>
      <c r="J32" s="13"/>
      <c r="K32" s="13"/>
      <c r="L32" s="13"/>
      <c r="M32" s="85" t="s">
        <v>1485</v>
      </c>
      <c r="N32" s="85" t="s">
        <v>1486</v>
      </c>
    </row>
    <row r="33" ht="15.0" hidden="1" customHeight="1">
      <c r="A33" s="84">
        <v>46174.018346770834</v>
      </c>
      <c r="B33" s="85" t="s">
        <v>344</v>
      </c>
      <c r="C33" s="85">
        <v>5.0</v>
      </c>
      <c r="D33" s="85">
        <v>7.0</v>
      </c>
      <c r="E33" s="85" t="s">
        <v>345</v>
      </c>
      <c r="F33" s="85" t="s">
        <v>346</v>
      </c>
      <c r="G33" s="85" t="s">
        <v>1296</v>
      </c>
      <c r="H33" s="85" t="s">
        <v>1297</v>
      </c>
      <c r="I33" s="85" t="s">
        <v>334</v>
      </c>
      <c r="J33" s="13"/>
      <c r="K33" s="13"/>
      <c r="L33" s="13"/>
      <c r="M33" s="85" t="s">
        <v>1485</v>
      </c>
      <c r="N33" s="85" t="s">
        <v>1486</v>
      </c>
    </row>
    <row r="34" ht="15.0" hidden="1" customHeight="1">
      <c r="A34" s="84">
        <v>46174.018346770834</v>
      </c>
      <c r="B34" s="85" t="s">
        <v>344</v>
      </c>
      <c r="C34" s="85">
        <v>5.0</v>
      </c>
      <c r="D34" s="85">
        <v>7.0</v>
      </c>
      <c r="E34" s="85" t="s">
        <v>345</v>
      </c>
      <c r="F34" s="85" t="s">
        <v>346</v>
      </c>
      <c r="G34" s="85" t="s">
        <v>1299</v>
      </c>
      <c r="H34" s="85" t="s">
        <v>1300</v>
      </c>
      <c r="I34" s="85" t="s">
        <v>334</v>
      </c>
      <c r="J34" s="13"/>
      <c r="K34" s="13"/>
      <c r="L34" s="13"/>
      <c r="M34" s="85" t="s">
        <v>1485</v>
      </c>
      <c r="N34" s="85" t="s">
        <v>1486</v>
      </c>
    </row>
    <row r="35" ht="15.0" hidden="1" customHeight="1">
      <c r="A35" s="84">
        <v>46174.018346770834</v>
      </c>
      <c r="B35" s="85" t="s">
        <v>344</v>
      </c>
      <c r="C35" s="85">
        <v>5.0</v>
      </c>
      <c r="D35" s="85">
        <v>7.0</v>
      </c>
      <c r="E35" s="85" t="s">
        <v>345</v>
      </c>
      <c r="F35" s="85" t="s">
        <v>346</v>
      </c>
      <c r="G35" s="85" t="s">
        <v>1302</v>
      </c>
      <c r="H35" s="85" t="s">
        <v>1303</v>
      </c>
      <c r="I35" s="85" t="s">
        <v>334</v>
      </c>
      <c r="J35" s="13"/>
      <c r="K35" s="13"/>
      <c r="L35" s="13"/>
      <c r="M35" s="85" t="s">
        <v>1485</v>
      </c>
      <c r="N35" s="85" t="s">
        <v>1486</v>
      </c>
    </row>
    <row r="36" ht="15.0" hidden="1" customHeight="1">
      <c r="A36" s="84">
        <v>46174.018346770834</v>
      </c>
      <c r="B36" s="85" t="s">
        <v>344</v>
      </c>
      <c r="C36" s="85">
        <v>5.0</v>
      </c>
      <c r="D36" s="85">
        <v>7.0</v>
      </c>
      <c r="E36" s="85" t="s">
        <v>345</v>
      </c>
      <c r="F36" s="85" t="s">
        <v>346</v>
      </c>
      <c r="G36" s="85" t="s">
        <v>1305</v>
      </c>
      <c r="H36" s="85" t="s">
        <v>1307</v>
      </c>
      <c r="I36" s="85" t="s">
        <v>334</v>
      </c>
      <c r="J36" s="13"/>
      <c r="K36" s="13"/>
      <c r="L36" s="13"/>
      <c r="M36" s="85" t="s">
        <v>1485</v>
      </c>
      <c r="N36" s="85" t="s">
        <v>1486</v>
      </c>
    </row>
    <row r="37" ht="15.0" hidden="1" customHeight="1">
      <c r="A37" s="84">
        <v>46174.018346770834</v>
      </c>
      <c r="B37" s="85" t="s">
        <v>344</v>
      </c>
      <c r="C37" s="85">
        <v>5.0</v>
      </c>
      <c r="D37" s="85">
        <v>7.0</v>
      </c>
      <c r="E37" s="85" t="s">
        <v>345</v>
      </c>
      <c r="F37" s="85" t="s">
        <v>346</v>
      </c>
      <c r="G37" s="85" t="s">
        <v>1309</v>
      </c>
      <c r="H37" s="85" t="s">
        <v>1310</v>
      </c>
      <c r="I37" s="85" t="s">
        <v>334</v>
      </c>
      <c r="J37" s="13"/>
      <c r="K37" s="13"/>
      <c r="L37" s="13"/>
      <c r="M37" s="85" t="s">
        <v>1485</v>
      </c>
      <c r="N37" s="85" t="s">
        <v>1486</v>
      </c>
    </row>
    <row r="38" ht="15.0" hidden="1" customHeight="1">
      <c r="A38" s="84">
        <v>46174.018346770834</v>
      </c>
      <c r="B38" s="85" t="s">
        <v>344</v>
      </c>
      <c r="C38" s="85">
        <v>5.0</v>
      </c>
      <c r="D38" s="85">
        <v>7.0</v>
      </c>
      <c r="E38" s="85" t="s">
        <v>345</v>
      </c>
      <c r="F38" s="85" t="s">
        <v>346</v>
      </c>
      <c r="G38" s="85" t="s">
        <v>1312</v>
      </c>
      <c r="H38" s="85" t="s">
        <v>1314</v>
      </c>
      <c r="I38" s="85" t="s">
        <v>334</v>
      </c>
      <c r="J38" s="13"/>
      <c r="K38" s="13"/>
      <c r="L38" s="13"/>
      <c r="M38" s="85" t="s">
        <v>1485</v>
      </c>
      <c r="N38" s="85" t="s">
        <v>1486</v>
      </c>
    </row>
    <row r="39" ht="15.0" hidden="1" customHeight="1">
      <c r="A39" s="84">
        <v>46174.018346770834</v>
      </c>
      <c r="B39" s="85" t="s">
        <v>344</v>
      </c>
      <c r="C39" s="85">
        <v>5.0</v>
      </c>
      <c r="D39" s="85">
        <v>7.0</v>
      </c>
      <c r="E39" s="85" t="s">
        <v>345</v>
      </c>
      <c r="F39" s="85" t="s">
        <v>346</v>
      </c>
      <c r="G39" s="85" t="s">
        <v>1316</v>
      </c>
      <c r="H39" s="85" t="s">
        <v>1317</v>
      </c>
      <c r="I39" s="85" t="s">
        <v>334</v>
      </c>
      <c r="J39" s="13"/>
      <c r="K39" s="13"/>
      <c r="L39" s="13"/>
      <c r="M39" s="85" t="s">
        <v>1485</v>
      </c>
      <c r="N39" s="85" t="s">
        <v>1486</v>
      </c>
    </row>
    <row r="40" ht="15.0" hidden="1" customHeight="1">
      <c r="A40" s="84">
        <v>46174.018346770834</v>
      </c>
      <c r="B40" s="85" t="s">
        <v>344</v>
      </c>
      <c r="C40" s="85">
        <v>5.0</v>
      </c>
      <c r="D40" s="85">
        <v>7.0</v>
      </c>
      <c r="E40" s="85" t="s">
        <v>345</v>
      </c>
      <c r="F40" s="85" t="s">
        <v>346</v>
      </c>
      <c r="G40" s="85" t="s">
        <v>1319</v>
      </c>
      <c r="H40" s="85" t="s">
        <v>1320</v>
      </c>
      <c r="I40" s="85" t="s">
        <v>334</v>
      </c>
      <c r="J40" s="13"/>
      <c r="K40" s="13"/>
      <c r="L40" s="13"/>
      <c r="M40" s="85" t="s">
        <v>1485</v>
      </c>
      <c r="N40" s="85" t="s">
        <v>1486</v>
      </c>
    </row>
    <row r="41" ht="15.0" hidden="1" customHeight="1">
      <c r="A41" s="84">
        <v>46174.018346770834</v>
      </c>
      <c r="B41" s="85" t="s">
        <v>344</v>
      </c>
      <c r="C41" s="85">
        <v>5.0</v>
      </c>
      <c r="D41" s="85">
        <v>7.0</v>
      </c>
      <c r="E41" s="85" t="s">
        <v>345</v>
      </c>
      <c r="F41" s="85" t="s">
        <v>346</v>
      </c>
      <c r="G41" s="85" t="s">
        <v>1322</v>
      </c>
      <c r="H41" s="85" t="s">
        <v>1323</v>
      </c>
      <c r="I41" s="85" t="s">
        <v>334</v>
      </c>
      <c r="J41" s="13"/>
      <c r="K41" s="13"/>
      <c r="L41" s="13"/>
      <c r="M41" s="85" t="s">
        <v>1485</v>
      </c>
      <c r="N41" s="85" t="s">
        <v>1486</v>
      </c>
    </row>
    <row r="42" ht="15.0" hidden="1" customHeight="1">
      <c r="A42" s="84">
        <v>46174.018346770834</v>
      </c>
      <c r="B42" s="85" t="s">
        <v>344</v>
      </c>
      <c r="C42" s="85">
        <v>5.0</v>
      </c>
      <c r="D42" s="85">
        <v>7.0</v>
      </c>
      <c r="E42" s="85" t="s">
        <v>345</v>
      </c>
      <c r="F42" s="85" t="s">
        <v>346</v>
      </c>
      <c r="G42" s="85" t="s">
        <v>1325</v>
      </c>
      <c r="H42" s="85" t="s">
        <v>1326</v>
      </c>
      <c r="I42" s="85" t="s">
        <v>334</v>
      </c>
      <c r="J42" s="13"/>
      <c r="K42" s="13"/>
      <c r="L42" s="13"/>
      <c r="M42" s="85" t="s">
        <v>1485</v>
      </c>
      <c r="N42" s="85" t="s">
        <v>1486</v>
      </c>
    </row>
    <row r="43" ht="15.0" hidden="1" customHeight="1">
      <c r="A43" s="84">
        <v>46174.018346770834</v>
      </c>
      <c r="B43" s="85" t="s">
        <v>344</v>
      </c>
      <c r="C43" s="85">
        <v>5.0</v>
      </c>
      <c r="D43" s="85">
        <v>7.0</v>
      </c>
      <c r="E43" s="85" t="s">
        <v>345</v>
      </c>
      <c r="F43" s="85" t="s">
        <v>346</v>
      </c>
      <c r="G43" s="85" t="s">
        <v>1328</v>
      </c>
      <c r="H43" s="85" t="s">
        <v>1330</v>
      </c>
      <c r="I43" s="85" t="s">
        <v>334</v>
      </c>
      <c r="J43" s="13"/>
      <c r="K43" s="13"/>
      <c r="L43" s="13"/>
      <c r="M43" s="85" t="s">
        <v>1485</v>
      </c>
      <c r="N43" s="85" t="s">
        <v>1486</v>
      </c>
    </row>
    <row r="44" ht="15.0" hidden="1" customHeight="1">
      <c r="A44" s="84">
        <v>46174.018346770834</v>
      </c>
      <c r="B44" s="85" t="s">
        <v>344</v>
      </c>
      <c r="C44" s="85">
        <v>5.0</v>
      </c>
      <c r="D44" s="85">
        <v>7.0</v>
      </c>
      <c r="E44" s="85" t="s">
        <v>345</v>
      </c>
      <c r="F44" s="85" t="s">
        <v>346</v>
      </c>
      <c r="G44" s="85" t="s">
        <v>1332</v>
      </c>
      <c r="H44" s="85" t="s">
        <v>1333</v>
      </c>
      <c r="I44" s="85" t="s">
        <v>334</v>
      </c>
      <c r="J44" s="13"/>
      <c r="K44" s="13"/>
      <c r="L44" s="13"/>
      <c r="M44" s="85" t="s">
        <v>1485</v>
      </c>
      <c r="N44" s="85" t="s">
        <v>1486</v>
      </c>
    </row>
    <row r="45" ht="15.0" hidden="1" customHeight="1">
      <c r="A45" s="84">
        <v>46174.018346770834</v>
      </c>
      <c r="B45" s="85" t="s">
        <v>344</v>
      </c>
      <c r="C45" s="85">
        <v>5.0</v>
      </c>
      <c r="D45" s="85">
        <v>7.0</v>
      </c>
      <c r="E45" s="85" t="s">
        <v>345</v>
      </c>
      <c r="F45" s="85" t="s">
        <v>346</v>
      </c>
      <c r="G45" s="85" t="s">
        <v>1335</v>
      </c>
      <c r="H45" s="85" t="s">
        <v>1337</v>
      </c>
      <c r="I45" s="85" t="s">
        <v>334</v>
      </c>
      <c r="J45" s="13"/>
      <c r="K45" s="13"/>
      <c r="L45" s="13"/>
      <c r="M45" s="85" t="s">
        <v>1485</v>
      </c>
      <c r="N45" s="85" t="s">
        <v>1486</v>
      </c>
    </row>
    <row r="46" ht="15.0" hidden="1" customHeight="1">
      <c r="A46" s="84">
        <v>46174.018346770834</v>
      </c>
      <c r="B46" s="85" t="s">
        <v>344</v>
      </c>
      <c r="C46" s="85">
        <v>5.0</v>
      </c>
      <c r="D46" s="85">
        <v>7.0</v>
      </c>
      <c r="E46" s="85" t="s">
        <v>345</v>
      </c>
      <c r="F46" s="85" t="s">
        <v>346</v>
      </c>
      <c r="G46" s="85" t="s">
        <v>1339</v>
      </c>
      <c r="H46" s="85" t="s">
        <v>1340</v>
      </c>
      <c r="I46" s="85" t="s">
        <v>334</v>
      </c>
      <c r="J46" s="13"/>
      <c r="K46" s="13"/>
      <c r="L46" s="13"/>
      <c r="M46" s="85" t="s">
        <v>1485</v>
      </c>
      <c r="N46" s="85" t="s">
        <v>1486</v>
      </c>
    </row>
    <row r="47" ht="15.0" hidden="1" customHeight="1">
      <c r="A47" s="84">
        <v>46174.018346770834</v>
      </c>
      <c r="B47" s="85" t="s">
        <v>344</v>
      </c>
      <c r="C47" s="85">
        <v>5.0</v>
      </c>
      <c r="D47" s="85">
        <v>7.0</v>
      </c>
      <c r="E47" s="85" t="s">
        <v>345</v>
      </c>
      <c r="F47" s="85" t="s">
        <v>346</v>
      </c>
      <c r="G47" s="85" t="s">
        <v>1342</v>
      </c>
      <c r="H47" s="85" t="s">
        <v>1343</v>
      </c>
      <c r="I47" s="85" t="s">
        <v>334</v>
      </c>
      <c r="J47" s="13"/>
      <c r="K47" s="13"/>
      <c r="L47" s="13"/>
      <c r="M47" s="85" t="s">
        <v>1485</v>
      </c>
      <c r="N47" s="85" t="s">
        <v>1486</v>
      </c>
    </row>
    <row r="48" ht="15.0" hidden="1" customHeight="1">
      <c r="A48" s="84">
        <v>46174.018346770834</v>
      </c>
      <c r="B48" s="85" t="s">
        <v>344</v>
      </c>
      <c r="C48" s="85">
        <v>5.0</v>
      </c>
      <c r="D48" s="85">
        <v>7.0</v>
      </c>
      <c r="E48" s="85" t="s">
        <v>345</v>
      </c>
      <c r="F48" s="85" t="s">
        <v>346</v>
      </c>
      <c r="G48" s="85" t="s">
        <v>1345</v>
      </c>
      <c r="H48" s="85" t="s">
        <v>1347</v>
      </c>
      <c r="I48" s="85" t="s">
        <v>334</v>
      </c>
      <c r="J48" s="13"/>
      <c r="K48" s="13"/>
      <c r="L48" s="13"/>
      <c r="M48" s="85" t="s">
        <v>1485</v>
      </c>
      <c r="N48" s="85" t="s">
        <v>1486</v>
      </c>
    </row>
    <row r="49" ht="15.0" hidden="1" customHeight="1">
      <c r="A49" s="84">
        <v>46174.018346770834</v>
      </c>
      <c r="B49" s="85" t="s">
        <v>344</v>
      </c>
      <c r="C49" s="85">
        <v>5.0</v>
      </c>
      <c r="D49" s="85">
        <v>7.0</v>
      </c>
      <c r="E49" s="85" t="s">
        <v>345</v>
      </c>
      <c r="F49" s="85" t="s">
        <v>346</v>
      </c>
      <c r="G49" s="85" t="s">
        <v>1349</v>
      </c>
      <c r="H49" s="85" t="s">
        <v>1350</v>
      </c>
      <c r="I49" s="85" t="s">
        <v>334</v>
      </c>
      <c r="J49" s="13"/>
      <c r="K49" s="13"/>
      <c r="L49" s="13"/>
      <c r="M49" s="85" t="s">
        <v>1485</v>
      </c>
      <c r="N49" s="85" t="s">
        <v>1486</v>
      </c>
    </row>
    <row r="50" ht="15.0" hidden="1" customHeight="1">
      <c r="A50" s="84">
        <v>46174.018346770834</v>
      </c>
      <c r="B50" s="85" t="s">
        <v>344</v>
      </c>
      <c r="C50" s="85">
        <v>5.0</v>
      </c>
      <c r="D50" s="85">
        <v>7.0</v>
      </c>
      <c r="E50" s="85" t="s">
        <v>345</v>
      </c>
      <c r="F50" s="85" t="s">
        <v>346</v>
      </c>
      <c r="G50" s="85" t="s">
        <v>1352</v>
      </c>
      <c r="H50" s="85" t="s">
        <v>1353</v>
      </c>
      <c r="I50" s="85" t="s">
        <v>334</v>
      </c>
      <c r="J50" s="13"/>
      <c r="K50" s="13"/>
      <c r="L50" s="13"/>
      <c r="M50" s="85" t="s">
        <v>1485</v>
      </c>
      <c r="N50" s="85" t="s">
        <v>1486</v>
      </c>
    </row>
    <row r="51" ht="15.0" hidden="1" customHeight="1">
      <c r="A51" s="84">
        <v>46174.018346770834</v>
      </c>
      <c r="B51" s="85" t="s">
        <v>344</v>
      </c>
      <c r="C51" s="85">
        <v>5.0</v>
      </c>
      <c r="D51" s="85">
        <v>7.0</v>
      </c>
      <c r="E51" s="85" t="s">
        <v>345</v>
      </c>
      <c r="F51" s="85" t="s">
        <v>346</v>
      </c>
      <c r="G51" s="85" t="s">
        <v>1355</v>
      </c>
      <c r="H51" s="85" t="s">
        <v>1357</v>
      </c>
      <c r="I51" s="85" t="s">
        <v>334</v>
      </c>
      <c r="J51" s="13"/>
      <c r="K51" s="13"/>
      <c r="L51" s="13"/>
      <c r="M51" s="85" t="s">
        <v>1485</v>
      </c>
      <c r="N51" s="85" t="s">
        <v>1486</v>
      </c>
    </row>
    <row r="52" ht="15.0" hidden="1" customHeight="1">
      <c r="A52" s="84">
        <v>46174.018346770834</v>
      </c>
      <c r="B52" s="85" t="s">
        <v>344</v>
      </c>
      <c r="C52" s="85">
        <v>5.0</v>
      </c>
      <c r="D52" s="85">
        <v>7.0</v>
      </c>
      <c r="E52" s="85" t="s">
        <v>345</v>
      </c>
      <c r="F52" s="85" t="s">
        <v>346</v>
      </c>
      <c r="G52" s="85" t="s">
        <v>1359</v>
      </c>
      <c r="H52" s="85" t="s">
        <v>1360</v>
      </c>
      <c r="I52" s="85" t="s">
        <v>334</v>
      </c>
      <c r="J52" s="13"/>
      <c r="K52" s="13"/>
      <c r="L52" s="13"/>
      <c r="M52" s="85" t="s">
        <v>1485</v>
      </c>
      <c r="N52" s="85" t="s">
        <v>1486</v>
      </c>
    </row>
    <row r="53" ht="15.0" hidden="1" customHeight="1">
      <c r="A53" s="84">
        <v>46174.018346770834</v>
      </c>
      <c r="B53" s="85" t="s">
        <v>344</v>
      </c>
      <c r="C53" s="85">
        <v>5.0</v>
      </c>
      <c r="D53" s="85">
        <v>7.0</v>
      </c>
      <c r="E53" s="85" t="s">
        <v>345</v>
      </c>
      <c r="F53" s="85" t="s">
        <v>346</v>
      </c>
      <c r="G53" s="85" t="s">
        <v>1362</v>
      </c>
      <c r="H53" s="85" t="s">
        <v>1363</v>
      </c>
      <c r="I53" s="85" t="s">
        <v>334</v>
      </c>
      <c r="J53" s="13"/>
      <c r="K53" s="13"/>
      <c r="L53" s="13"/>
      <c r="M53" s="85" t="s">
        <v>1485</v>
      </c>
      <c r="N53" s="85" t="s">
        <v>1486</v>
      </c>
    </row>
    <row r="54" ht="15.0" hidden="1" customHeight="1">
      <c r="A54" s="84">
        <v>46174.018346770834</v>
      </c>
      <c r="B54" s="85" t="s">
        <v>344</v>
      </c>
      <c r="C54" s="85">
        <v>5.0</v>
      </c>
      <c r="D54" s="85">
        <v>7.0</v>
      </c>
      <c r="E54" s="85" t="s">
        <v>345</v>
      </c>
      <c r="F54" s="85" t="s">
        <v>346</v>
      </c>
      <c r="G54" s="85" t="s">
        <v>1365</v>
      </c>
      <c r="H54" s="85" t="s">
        <v>1367</v>
      </c>
      <c r="I54" s="85" t="s">
        <v>334</v>
      </c>
      <c r="J54" s="13"/>
      <c r="K54" s="13"/>
      <c r="L54" s="13"/>
      <c r="M54" s="85" t="s">
        <v>1485</v>
      </c>
      <c r="N54" s="85" t="s">
        <v>1486</v>
      </c>
    </row>
    <row r="55" ht="15.0" hidden="1" customHeight="1">
      <c r="A55" s="84">
        <v>46174.018346770834</v>
      </c>
      <c r="B55" s="85" t="s">
        <v>344</v>
      </c>
      <c r="C55" s="85">
        <v>5.0</v>
      </c>
      <c r="D55" s="85">
        <v>7.0</v>
      </c>
      <c r="E55" s="85" t="s">
        <v>345</v>
      </c>
      <c r="F55" s="85" t="s">
        <v>346</v>
      </c>
      <c r="G55" s="85" t="s">
        <v>1369</v>
      </c>
      <c r="H55" s="85" t="s">
        <v>1370</v>
      </c>
      <c r="I55" s="85" t="s">
        <v>334</v>
      </c>
      <c r="J55" s="13"/>
      <c r="K55" s="13"/>
      <c r="L55" s="13"/>
      <c r="M55" s="85" t="s">
        <v>1485</v>
      </c>
      <c r="N55" s="85" t="s">
        <v>1486</v>
      </c>
    </row>
    <row r="56" ht="15.0" customHeight="1">
      <c r="A56" s="84">
        <v>46174.05895157407</v>
      </c>
      <c r="B56" s="85" t="s">
        <v>350</v>
      </c>
      <c r="C56" s="85">
        <v>2.0</v>
      </c>
      <c r="D56" s="85">
        <v>3.0</v>
      </c>
      <c r="E56" s="85" t="s">
        <v>351</v>
      </c>
      <c r="F56" s="85" t="s">
        <v>333</v>
      </c>
      <c r="G56" s="85" t="s">
        <v>528</v>
      </c>
      <c r="H56" s="85" t="s">
        <v>530</v>
      </c>
      <c r="I56" s="85" t="s">
        <v>352</v>
      </c>
      <c r="J56" s="13"/>
      <c r="K56" s="13"/>
      <c r="L56" s="13"/>
      <c r="M56" s="85" t="s">
        <v>1487</v>
      </c>
      <c r="N56" s="85" t="s">
        <v>1488</v>
      </c>
    </row>
    <row r="57" ht="15.0" customHeight="1">
      <c r="A57" s="84">
        <v>46174.05895157407</v>
      </c>
      <c r="B57" s="85" t="s">
        <v>350</v>
      </c>
      <c r="C57" s="85">
        <v>2.0</v>
      </c>
      <c r="D57" s="85">
        <v>3.0</v>
      </c>
      <c r="E57" s="85" t="s">
        <v>351</v>
      </c>
      <c r="F57" s="85" t="s">
        <v>333</v>
      </c>
      <c r="G57" s="85" t="s">
        <v>533</v>
      </c>
      <c r="H57" s="85" t="s">
        <v>535</v>
      </c>
      <c r="I57" s="85" t="s">
        <v>352</v>
      </c>
      <c r="J57" s="13"/>
      <c r="K57" s="13"/>
      <c r="L57" s="13"/>
      <c r="M57" s="85" t="s">
        <v>1487</v>
      </c>
      <c r="N57" s="85" t="s">
        <v>1488</v>
      </c>
    </row>
    <row r="58" ht="15.0" customHeight="1">
      <c r="A58" s="84">
        <v>46174.05895157407</v>
      </c>
      <c r="B58" s="85" t="s">
        <v>350</v>
      </c>
      <c r="C58" s="85">
        <v>2.0</v>
      </c>
      <c r="D58" s="85">
        <v>3.0</v>
      </c>
      <c r="E58" s="85" t="s">
        <v>351</v>
      </c>
      <c r="F58" s="85" t="s">
        <v>333</v>
      </c>
      <c r="G58" s="85" t="s">
        <v>539</v>
      </c>
      <c r="H58" s="85" t="s">
        <v>540</v>
      </c>
      <c r="I58" s="85" t="s">
        <v>352</v>
      </c>
      <c r="J58" s="13"/>
      <c r="K58" s="13"/>
      <c r="L58" s="13"/>
      <c r="M58" s="85" t="s">
        <v>1487</v>
      </c>
      <c r="N58" s="85" t="s">
        <v>1488</v>
      </c>
    </row>
    <row r="59" ht="15.0" customHeight="1">
      <c r="A59" s="84">
        <v>46174.05895157407</v>
      </c>
      <c r="B59" s="85" t="s">
        <v>350</v>
      </c>
      <c r="C59" s="85">
        <v>2.0</v>
      </c>
      <c r="D59" s="85">
        <v>3.0</v>
      </c>
      <c r="E59" s="85" t="s">
        <v>351</v>
      </c>
      <c r="F59" s="85" t="s">
        <v>333</v>
      </c>
      <c r="G59" s="85" t="s">
        <v>541</v>
      </c>
      <c r="H59" s="85" t="s">
        <v>542</v>
      </c>
      <c r="I59" s="85" t="s">
        <v>352</v>
      </c>
      <c r="J59" s="13"/>
      <c r="K59" s="13"/>
      <c r="L59" s="13"/>
      <c r="M59" s="85" t="s">
        <v>1487</v>
      </c>
      <c r="N59" s="85" t="s">
        <v>1488</v>
      </c>
    </row>
    <row r="60" ht="15.0" customHeight="1">
      <c r="A60" s="84">
        <v>46174.05895157407</v>
      </c>
      <c r="B60" s="85" t="s">
        <v>350</v>
      </c>
      <c r="C60" s="85">
        <v>2.0</v>
      </c>
      <c r="D60" s="85">
        <v>3.0</v>
      </c>
      <c r="E60" s="85" t="s">
        <v>351</v>
      </c>
      <c r="F60" s="85" t="s">
        <v>333</v>
      </c>
      <c r="G60" s="85" t="s">
        <v>543</v>
      </c>
      <c r="H60" s="85" t="s">
        <v>544</v>
      </c>
      <c r="I60" s="85" t="s">
        <v>352</v>
      </c>
      <c r="J60" s="13"/>
      <c r="K60" s="13"/>
      <c r="L60" s="13"/>
      <c r="M60" s="85" t="s">
        <v>1487</v>
      </c>
      <c r="N60" s="85" t="s">
        <v>1488</v>
      </c>
    </row>
    <row r="61" ht="15.0" customHeight="1">
      <c r="A61" s="84">
        <v>46174.05895157407</v>
      </c>
      <c r="B61" s="85" t="s">
        <v>350</v>
      </c>
      <c r="C61" s="85">
        <v>2.0</v>
      </c>
      <c r="D61" s="85">
        <v>3.0</v>
      </c>
      <c r="E61" s="85" t="s">
        <v>351</v>
      </c>
      <c r="F61" s="85" t="s">
        <v>333</v>
      </c>
      <c r="G61" s="85" t="s">
        <v>545</v>
      </c>
      <c r="H61" s="85" t="s">
        <v>546</v>
      </c>
      <c r="I61" s="85" t="s">
        <v>352</v>
      </c>
      <c r="J61" s="13"/>
      <c r="K61" s="13"/>
      <c r="L61" s="13"/>
      <c r="M61" s="85" t="s">
        <v>1487</v>
      </c>
      <c r="N61" s="85" t="s">
        <v>1488</v>
      </c>
    </row>
    <row r="62" ht="15.0" customHeight="1">
      <c r="A62" s="84">
        <v>46174.05895157407</v>
      </c>
      <c r="B62" s="85" t="s">
        <v>350</v>
      </c>
      <c r="C62" s="85">
        <v>2.0</v>
      </c>
      <c r="D62" s="85">
        <v>3.0</v>
      </c>
      <c r="E62" s="85" t="s">
        <v>351</v>
      </c>
      <c r="F62" s="85" t="s">
        <v>333</v>
      </c>
      <c r="G62" s="85" t="s">
        <v>547</v>
      </c>
      <c r="H62" s="85" t="s">
        <v>548</v>
      </c>
      <c r="I62" s="85" t="s">
        <v>352</v>
      </c>
      <c r="J62" s="13"/>
      <c r="K62" s="13"/>
      <c r="L62" s="13"/>
      <c r="M62" s="85" t="s">
        <v>1487</v>
      </c>
      <c r="N62" s="85" t="s">
        <v>1488</v>
      </c>
    </row>
    <row r="63" ht="15.0" customHeight="1">
      <c r="A63" s="84">
        <v>46174.05895157407</v>
      </c>
      <c r="B63" s="85" t="s">
        <v>350</v>
      </c>
      <c r="C63" s="85">
        <v>2.0</v>
      </c>
      <c r="D63" s="85">
        <v>3.0</v>
      </c>
      <c r="E63" s="85" t="s">
        <v>351</v>
      </c>
      <c r="F63" s="85" t="s">
        <v>333</v>
      </c>
      <c r="G63" s="85" t="s">
        <v>549</v>
      </c>
      <c r="H63" s="85" t="s">
        <v>550</v>
      </c>
      <c r="I63" s="85" t="s">
        <v>352</v>
      </c>
      <c r="J63" s="13"/>
      <c r="K63" s="13"/>
      <c r="L63" s="13"/>
      <c r="M63" s="85" t="s">
        <v>1487</v>
      </c>
      <c r="N63" s="85" t="s">
        <v>1488</v>
      </c>
    </row>
    <row r="64" ht="15.0" customHeight="1">
      <c r="A64" s="84">
        <v>46174.05895157407</v>
      </c>
      <c r="B64" s="85" t="s">
        <v>350</v>
      </c>
      <c r="C64" s="85">
        <v>2.0</v>
      </c>
      <c r="D64" s="85">
        <v>3.0</v>
      </c>
      <c r="E64" s="85" t="s">
        <v>351</v>
      </c>
      <c r="F64" s="85" t="s">
        <v>333</v>
      </c>
      <c r="G64" s="85" t="s">
        <v>551</v>
      </c>
      <c r="H64" s="85" t="s">
        <v>552</v>
      </c>
      <c r="I64" s="85" t="s">
        <v>352</v>
      </c>
      <c r="J64" s="13"/>
      <c r="K64" s="13"/>
      <c r="L64" s="13"/>
      <c r="M64" s="85" t="s">
        <v>1487</v>
      </c>
      <c r="N64" s="85" t="s">
        <v>1488</v>
      </c>
    </row>
    <row r="65" ht="15.0" customHeight="1">
      <c r="A65" s="84">
        <v>46174.05895157407</v>
      </c>
      <c r="B65" s="85" t="s">
        <v>350</v>
      </c>
      <c r="C65" s="85">
        <v>2.0</v>
      </c>
      <c r="D65" s="85">
        <v>3.0</v>
      </c>
      <c r="E65" s="85" t="s">
        <v>351</v>
      </c>
      <c r="F65" s="85" t="s">
        <v>333</v>
      </c>
      <c r="G65" s="85" t="s">
        <v>553</v>
      </c>
      <c r="H65" s="85" t="s">
        <v>555</v>
      </c>
      <c r="I65" s="85" t="s">
        <v>352</v>
      </c>
      <c r="J65" s="13"/>
      <c r="K65" s="13"/>
      <c r="L65" s="13"/>
      <c r="M65" s="85" t="s">
        <v>1487</v>
      </c>
      <c r="N65" s="85" t="s">
        <v>1488</v>
      </c>
    </row>
    <row r="66" ht="15.0" customHeight="1">
      <c r="A66" s="84">
        <v>46174.05895157407</v>
      </c>
      <c r="B66" s="85" t="s">
        <v>350</v>
      </c>
      <c r="C66" s="85">
        <v>2.0</v>
      </c>
      <c r="D66" s="85">
        <v>3.0</v>
      </c>
      <c r="E66" s="85" t="s">
        <v>351</v>
      </c>
      <c r="F66" s="85" t="s">
        <v>333</v>
      </c>
      <c r="G66" s="85" t="s">
        <v>558</v>
      </c>
      <c r="H66" s="85" t="s">
        <v>560</v>
      </c>
      <c r="I66" s="85" t="s">
        <v>352</v>
      </c>
      <c r="J66" s="13"/>
      <c r="K66" s="13"/>
      <c r="L66" s="13"/>
      <c r="M66" s="85" t="s">
        <v>1487</v>
      </c>
      <c r="N66" s="85" t="s">
        <v>1488</v>
      </c>
    </row>
    <row r="67" ht="15.0" hidden="1" customHeight="1">
      <c r="A67" s="84">
        <v>46174.05895157407</v>
      </c>
      <c r="B67" s="85" t="s">
        <v>350</v>
      </c>
      <c r="C67" s="85">
        <v>2.0</v>
      </c>
      <c r="D67" s="85">
        <v>3.0</v>
      </c>
      <c r="E67" s="85" t="s">
        <v>351</v>
      </c>
      <c r="F67" s="85" t="s">
        <v>333</v>
      </c>
      <c r="G67" s="85" t="s">
        <v>561</v>
      </c>
      <c r="H67" s="85" t="s">
        <v>562</v>
      </c>
      <c r="I67" s="85" t="s">
        <v>334</v>
      </c>
      <c r="J67" s="13"/>
      <c r="K67" s="13"/>
      <c r="L67" s="13"/>
      <c r="M67" s="85" t="s">
        <v>1487</v>
      </c>
      <c r="N67" s="85" t="s">
        <v>1488</v>
      </c>
    </row>
    <row r="68" ht="15.0" hidden="1" customHeight="1">
      <c r="A68" s="84">
        <v>46174.05895157407</v>
      </c>
      <c r="B68" s="85" t="s">
        <v>350</v>
      </c>
      <c r="C68" s="85">
        <v>2.0</v>
      </c>
      <c r="D68" s="85">
        <v>3.0</v>
      </c>
      <c r="E68" s="85" t="s">
        <v>351</v>
      </c>
      <c r="F68" s="85" t="s">
        <v>333</v>
      </c>
      <c r="G68" s="85" t="s">
        <v>563</v>
      </c>
      <c r="H68" s="85" t="s">
        <v>564</v>
      </c>
      <c r="I68" s="85" t="s">
        <v>334</v>
      </c>
      <c r="J68" s="13"/>
      <c r="K68" s="13"/>
      <c r="L68" s="13"/>
      <c r="M68" s="85" t="s">
        <v>1487</v>
      </c>
      <c r="N68" s="85" t="s">
        <v>1488</v>
      </c>
    </row>
    <row r="69" ht="15.0" hidden="1" customHeight="1">
      <c r="A69" s="84">
        <v>46174.05895157407</v>
      </c>
      <c r="B69" s="85" t="s">
        <v>350</v>
      </c>
      <c r="C69" s="85">
        <v>2.0</v>
      </c>
      <c r="D69" s="85">
        <v>3.0</v>
      </c>
      <c r="E69" s="85" t="s">
        <v>351</v>
      </c>
      <c r="F69" s="85" t="s">
        <v>333</v>
      </c>
      <c r="G69" s="85" t="s">
        <v>565</v>
      </c>
      <c r="H69" s="85" t="s">
        <v>566</v>
      </c>
      <c r="I69" s="85" t="s">
        <v>334</v>
      </c>
      <c r="J69" s="13"/>
      <c r="K69" s="13"/>
      <c r="L69" s="13"/>
      <c r="M69" s="85" t="s">
        <v>1487</v>
      </c>
      <c r="N69" s="85" t="s">
        <v>1488</v>
      </c>
    </row>
    <row r="70" ht="15.0" hidden="1" customHeight="1">
      <c r="A70" s="84">
        <v>46174.05895157407</v>
      </c>
      <c r="B70" s="85" t="s">
        <v>350</v>
      </c>
      <c r="C70" s="85">
        <v>2.0</v>
      </c>
      <c r="D70" s="85">
        <v>3.0</v>
      </c>
      <c r="E70" s="85" t="s">
        <v>351</v>
      </c>
      <c r="F70" s="85" t="s">
        <v>333</v>
      </c>
      <c r="G70" s="85" t="s">
        <v>567</v>
      </c>
      <c r="H70" s="85" t="s">
        <v>568</v>
      </c>
      <c r="I70" s="85" t="s">
        <v>334</v>
      </c>
      <c r="J70" s="13"/>
      <c r="K70" s="13"/>
      <c r="L70" s="13"/>
      <c r="M70" s="85" t="s">
        <v>1487</v>
      </c>
      <c r="N70" s="85" t="s">
        <v>1488</v>
      </c>
    </row>
    <row r="71" ht="15.0" hidden="1" customHeight="1">
      <c r="A71" s="84">
        <v>46174.05895157407</v>
      </c>
      <c r="B71" s="85" t="s">
        <v>350</v>
      </c>
      <c r="C71" s="85">
        <v>2.0</v>
      </c>
      <c r="D71" s="85">
        <v>3.0</v>
      </c>
      <c r="E71" s="85" t="s">
        <v>351</v>
      </c>
      <c r="F71" s="85" t="s">
        <v>333</v>
      </c>
      <c r="G71" s="85" t="s">
        <v>569</v>
      </c>
      <c r="H71" s="85" t="s">
        <v>570</v>
      </c>
      <c r="I71" s="85" t="s">
        <v>334</v>
      </c>
      <c r="J71" s="13"/>
      <c r="K71" s="13"/>
      <c r="L71" s="13"/>
      <c r="M71" s="85" t="s">
        <v>1487</v>
      </c>
      <c r="N71" s="85" t="s">
        <v>1488</v>
      </c>
    </row>
    <row r="72" ht="15.0" hidden="1" customHeight="1">
      <c r="A72" s="84">
        <v>46174.05895157407</v>
      </c>
      <c r="B72" s="85" t="s">
        <v>350</v>
      </c>
      <c r="C72" s="85">
        <v>2.0</v>
      </c>
      <c r="D72" s="85">
        <v>3.0</v>
      </c>
      <c r="E72" s="85" t="s">
        <v>351</v>
      </c>
      <c r="F72" s="85" t="s">
        <v>333</v>
      </c>
      <c r="G72" s="85" t="s">
        <v>571</v>
      </c>
      <c r="H72" s="85" t="s">
        <v>572</v>
      </c>
      <c r="I72" s="85" t="s">
        <v>334</v>
      </c>
      <c r="J72" s="13"/>
      <c r="K72" s="13"/>
      <c r="L72" s="13"/>
      <c r="M72" s="85" t="s">
        <v>1487</v>
      </c>
      <c r="N72" s="85" t="s">
        <v>1488</v>
      </c>
    </row>
    <row r="73" ht="15.0" hidden="1" customHeight="1">
      <c r="A73" s="84">
        <v>46174.05895157407</v>
      </c>
      <c r="B73" s="85" t="s">
        <v>350</v>
      </c>
      <c r="C73" s="85">
        <v>2.0</v>
      </c>
      <c r="D73" s="85">
        <v>3.0</v>
      </c>
      <c r="E73" s="85" t="s">
        <v>351</v>
      </c>
      <c r="F73" s="85" t="s">
        <v>333</v>
      </c>
      <c r="G73" s="85" t="s">
        <v>574</v>
      </c>
      <c r="H73" s="85" t="s">
        <v>575</v>
      </c>
      <c r="I73" s="85" t="s">
        <v>334</v>
      </c>
      <c r="J73" s="13"/>
      <c r="K73" s="13"/>
      <c r="L73" s="13"/>
      <c r="M73" s="85" t="s">
        <v>1487</v>
      </c>
      <c r="N73" s="85" t="s">
        <v>1488</v>
      </c>
    </row>
    <row r="74" ht="15.0" hidden="1" customHeight="1">
      <c r="A74" s="84">
        <v>46174.05895157407</v>
      </c>
      <c r="B74" s="85" t="s">
        <v>350</v>
      </c>
      <c r="C74" s="85">
        <v>2.0</v>
      </c>
      <c r="D74" s="85">
        <v>3.0</v>
      </c>
      <c r="E74" s="85" t="s">
        <v>351</v>
      </c>
      <c r="F74" s="85" t="s">
        <v>333</v>
      </c>
      <c r="G74" s="85" t="s">
        <v>576</v>
      </c>
      <c r="H74" s="85" t="s">
        <v>577</v>
      </c>
      <c r="I74" s="85" t="s">
        <v>334</v>
      </c>
      <c r="J74" s="13"/>
      <c r="K74" s="13"/>
      <c r="L74" s="13"/>
      <c r="M74" s="85" t="s">
        <v>1487</v>
      </c>
      <c r="N74" s="85" t="s">
        <v>1488</v>
      </c>
    </row>
    <row r="75" ht="15.0" hidden="1" customHeight="1">
      <c r="A75" s="84">
        <v>46174.05895157407</v>
      </c>
      <c r="B75" s="85" t="s">
        <v>350</v>
      </c>
      <c r="C75" s="85">
        <v>2.0</v>
      </c>
      <c r="D75" s="85">
        <v>3.0</v>
      </c>
      <c r="E75" s="85" t="s">
        <v>351</v>
      </c>
      <c r="F75" s="85" t="s">
        <v>333</v>
      </c>
      <c r="G75" s="85" t="s">
        <v>578</v>
      </c>
      <c r="H75" s="85" t="s">
        <v>579</v>
      </c>
      <c r="I75" s="85" t="s">
        <v>334</v>
      </c>
      <c r="J75" s="13"/>
      <c r="K75" s="13"/>
      <c r="L75" s="13"/>
      <c r="M75" s="85" t="s">
        <v>1487</v>
      </c>
      <c r="N75" s="85" t="s">
        <v>1488</v>
      </c>
    </row>
    <row r="76" ht="15.0" hidden="1" customHeight="1">
      <c r="A76" s="84">
        <v>46174.05895157407</v>
      </c>
      <c r="B76" s="85" t="s">
        <v>350</v>
      </c>
      <c r="C76" s="85">
        <v>2.0</v>
      </c>
      <c r="D76" s="85">
        <v>3.0</v>
      </c>
      <c r="E76" s="85" t="s">
        <v>351</v>
      </c>
      <c r="F76" s="85" t="s">
        <v>333</v>
      </c>
      <c r="G76" s="85" t="s">
        <v>581</v>
      </c>
      <c r="H76" s="85" t="s">
        <v>583</v>
      </c>
      <c r="I76" s="85" t="s">
        <v>334</v>
      </c>
      <c r="J76" s="13"/>
      <c r="K76" s="13"/>
      <c r="L76" s="13"/>
      <c r="M76" s="85" t="s">
        <v>1487</v>
      </c>
      <c r="N76" s="85" t="s">
        <v>1488</v>
      </c>
    </row>
    <row r="77" ht="15.0" hidden="1" customHeight="1">
      <c r="A77" s="84">
        <v>46174.05895157407</v>
      </c>
      <c r="B77" s="85" t="s">
        <v>350</v>
      </c>
      <c r="C77" s="85">
        <v>2.0</v>
      </c>
      <c r="D77" s="85">
        <v>3.0</v>
      </c>
      <c r="E77" s="85" t="s">
        <v>351</v>
      </c>
      <c r="F77" s="85" t="s">
        <v>333</v>
      </c>
      <c r="G77" s="85" t="s">
        <v>587</v>
      </c>
      <c r="H77" s="85" t="s">
        <v>588</v>
      </c>
      <c r="I77" s="85" t="s">
        <v>334</v>
      </c>
      <c r="J77" s="13"/>
      <c r="K77" s="13"/>
      <c r="L77" s="13"/>
      <c r="M77" s="85" t="s">
        <v>1487</v>
      </c>
      <c r="N77" s="85" t="s">
        <v>1488</v>
      </c>
    </row>
    <row r="78" ht="15.0" customHeight="1">
      <c r="A78" s="84">
        <v>46174.05895157407</v>
      </c>
      <c r="B78" s="85" t="s">
        <v>350</v>
      </c>
      <c r="C78" s="85">
        <v>2.0</v>
      </c>
      <c r="D78" s="85">
        <v>3.0</v>
      </c>
      <c r="E78" s="85" t="s">
        <v>351</v>
      </c>
      <c r="F78" s="85" t="s">
        <v>333</v>
      </c>
      <c r="G78" s="85" t="s">
        <v>590</v>
      </c>
      <c r="H78" s="85" t="s">
        <v>591</v>
      </c>
      <c r="I78" s="85" t="s">
        <v>352</v>
      </c>
      <c r="J78" s="13"/>
      <c r="K78" s="13"/>
      <c r="L78" s="13"/>
      <c r="M78" s="85" t="s">
        <v>1487</v>
      </c>
      <c r="N78" s="85" t="s">
        <v>1488</v>
      </c>
    </row>
    <row r="79" ht="15.0" customHeight="1">
      <c r="A79" s="84">
        <v>46174.05895157407</v>
      </c>
      <c r="B79" s="85" t="s">
        <v>350</v>
      </c>
      <c r="C79" s="85">
        <v>2.0</v>
      </c>
      <c r="D79" s="85">
        <v>3.0</v>
      </c>
      <c r="E79" s="85" t="s">
        <v>351</v>
      </c>
      <c r="F79" s="85" t="s">
        <v>333</v>
      </c>
      <c r="G79" s="85" t="s">
        <v>593</v>
      </c>
      <c r="H79" s="85" t="s">
        <v>594</v>
      </c>
      <c r="I79" s="85" t="s">
        <v>352</v>
      </c>
      <c r="J79" s="13"/>
      <c r="K79" s="13"/>
      <c r="L79" s="13"/>
      <c r="M79" s="85" t="s">
        <v>1487</v>
      </c>
      <c r="N79" s="85" t="s">
        <v>1488</v>
      </c>
    </row>
    <row r="80" ht="15.0" customHeight="1">
      <c r="A80" s="84">
        <v>46174.05895157407</v>
      </c>
      <c r="B80" s="85" t="s">
        <v>350</v>
      </c>
      <c r="C80" s="85">
        <v>2.0</v>
      </c>
      <c r="D80" s="85">
        <v>3.0</v>
      </c>
      <c r="E80" s="85" t="s">
        <v>351</v>
      </c>
      <c r="F80" s="85" t="s">
        <v>333</v>
      </c>
      <c r="G80" s="85" t="s">
        <v>596</v>
      </c>
      <c r="H80" s="85" t="s">
        <v>597</v>
      </c>
      <c r="I80" s="85" t="s">
        <v>352</v>
      </c>
      <c r="J80" s="13"/>
      <c r="K80" s="13"/>
      <c r="L80" s="13"/>
      <c r="M80" s="85" t="s">
        <v>1487</v>
      </c>
      <c r="N80" s="85" t="s">
        <v>1488</v>
      </c>
    </row>
    <row r="81" ht="15.0" customHeight="1">
      <c r="A81" s="84">
        <v>46174.05895157407</v>
      </c>
      <c r="B81" s="85" t="s">
        <v>350</v>
      </c>
      <c r="C81" s="85">
        <v>2.0</v>
      </c>
      <c r="D81" s="85">
        <v>3.0</v>
      </c>
      <c r="E81" s="85" t="s">
        <v>351</v>
      </c>
      <c r="F81" s="85" t="s">
        <v>333</v>
      </c>
      <c r="G81" s="85" t="s">
        <v>599</v>
      </c>
      <c r="H81" s="85" t="s">
        <v>600</v>
      </c>
      <c r="I81" s="85" t="s">
        <v>352</v>
      </c>
      <c r="J81" s="13"/>
      <c r="K81" s="13"/>
      <c r="L81" s="13"/>
      <c r="M81" s="85" t="s">
        <v>1487</v>
      </c>
      <c r="N81" s="85" t="s">
        <v>1488</v>
      </c>
    </row>
    <row r="82" ht="15.0" customHeight="1">
      <c r="A82" s="84">
        <v>46174.05895157407</v>
      </c>
      <c r="B82" s="85" t="s">
        <v>350</v>
      </c>
      <c r="C82" s="85">
        <v>2.0</v>
      </c>
      <c r="D82" s="85">
        <v>3.0</v>
      </c>
      <c r="E82" s="85" t="s">
        <v>351</v>
      </c>
      <c r="F82" s="85" t="s">
        <v>333</v>
      </c>
      <c r="G82" s="85" t="s">
        <v>602</v>
      </c>
      <c r="H82" s="85" t="s">
        <v>604</v>
      </c>
      <c r="I82" s="85" t="s">
        <v>352</v>
      </c>
      <c r="J82" s="13"/>
      <c r="K82" s="13"/>
      <c r="L82" s="13"/>
      <c r="M82" s="85" t="s">
        <v>1487</v>
      </c>
      <c r="N82" s="85" t="s">
        <v>1488</v>
      </c>
    </row>
    <row r="83" ht="15.0" customHeight="1">
      <c r="A83" s="84">
        <v>46174.05895157407</v>
      </c>
      <c r="B83" s="85" t="s">
        <v>350</v>
      </c>
      <c r="C83" s="85">
        <v>2.0</v>
      </c>
      <c r="D83" s="85">
        <v>3.0</v>
      </c>
      <c r="E83" s="85" t="s">
        <v>351</v>
      </c>
      <c r="F83" s="85" t="s">
        <v>333</v>
      </c>
      <c r="G83" s="85" t="s">
        <v>606</v>
      </c>
      <c r="H83" s="85" t="s">
        <v>607</v>
      </c>
      <c r="I83" s="85" t="s">
        <v>352</v>
      </c>
      <c r="J83" s="13"/>
      <c r="K83" s="13"/>
      <c r="L83" s="13"/>
      <c r="M83" s="85" t="s">
        <v>1487</v>
      </c>
      <c r="N83" s="85" t="s">
        <v>1488</v>
      </c>
    </row>
    <row r="84" ht="15.0" customHeight="1">
      <c r="A84" s="84">
        <v>46174.05895157407</v>
      </c>
      <c r="B84" s="85" t="s">
        <v>350</v>
      </c>
      <c r="C84" s="85">
        <v>2.0</v>
      </c>
      <c r="D84" s="85">
        <v>3.0</v>
      </c>
      <c r="E84" s="85" t="s">
        <v>351</v>
      </c>
      <c r="F84" s="85" t="s">
        <v>333</v>
      </c>
      <c r="G84" s="85" t="s">
        <v>609</v>
      </c>
      <c r="H84" s="85" t="s">
        <v>610</v>
      </c>
      <c r="I84" s="85" t="s">
        <v>352</v>
      </c>
      <c r="J84" s="13"/>
      <c r="K84" s="13"/>
      <c r="L84" s="13"/>
      <c r="M84" s="85" t="s">
        <v>1487</v>
      </c>
      <c r="N84" s="85" t="s">
        <v>1488</v>
      </c>
    </row>
    <row r="85" ht="15.0" customHeight="1">
      <c r="A85" s="84">
        <v>46174.05895157407</v>
      </c>
      <c r="B85" s="85" t="s">
        <v>350</v>
      </c>
      <c r="C85" s="85">
        <v>2.0</v>
      </c>
      <c r="D85" s="85">
        <v>3.0</v>
      </c>
      <c r="E85" s="85" t="s">
        <v>351</v>
      </c>
      <c r="F85" s="85" t="s">
        <v>333</v>
      </c>
      <c r="G85" s="85" t="s">
        <v>612</v>
      </c>
      <c r="H85" s="85" t="s">
        <v>613</v>
      </c>
      <c r="I85" s="85" t="s">
        <v>352</v>
      </c>
      <c r="J85" s="13"/>
      <c r="K85" s="13"/>
      <c r="L85" s="13"/>
      <c r="M85" s="85" t="s">
        <v>1487</v>
      </c>
      <c r="N85" s="85" t="s">
        <v>1488</v>
      </c>
    </row>
    <row r="86" ht="15.0" customHeight="1">
      <c r="A86" s="84">
        <v>46174.05895157407</v>
      </c>
      <c r="B86" s="85" t="s">
        <v>350</v>
      </c>
      <c r="C86" s="85">
        <v>2.0</v>
      </c>
      <c r="D86" s="85">
        <v>3.0</v>
      </c>
      <c r="E86" s="85" t="s">
        <v>351</v>
      </c>
      <c r="F86" s="85" t="s">
        <v>333</v>
      </c>
      <c r="G86" s="85" t="s">
        <v>615</v>
      </c>
      <c r="H86" s="85" t="s">
        <v>616</v>
      </c>
      <c r="I86" s="85" t="s">
        <v>352</v>
      </c>
      <c r="J86" s="13"/>
      <c r="K86" s="13"/>
      <c r="L86" s="13"/>
      <c r="M86" s="85" t="s">
        <v>1487</v>
      </c>
      <c r="N86" s="85" t="s">
        <v>1488</v>
      </c>
    </row>
    <row r="87" ht="15.0" hidden="1" customHeight="1">
      <c r="A87" s="84">
        <v>46174.05895157407</v>
      </c>
      <c r="B87" s="85" t="s">
        <v>350</v>
      </c>
      <c r="C87" s="85">
        <v>2.0</v>
      </c>
      <c r="D87" s="85">
        <v>3.0</v>
      </c>
      <c r="E87" s="85" t="s">
        <v>351</v>
      </c>
      <c r="F87" s="85" t="s">
        <v>333</v>
      </c>
      <c r="G87" s="85" t="s">
        <v>618</v>
      </c>
      <c r="H87" s="85" t="s">
        <v>619</v>
      </c>
      <c r="I87" s="85" t="s">
        <v>334</v>
      </c>
      <c r="J87" s="13"/>
      <c r="K87" s="13"/>
      <c r="L87" s="13"/>
      <c r="M87" s="85" t="s">
        <v>1487</v>
      </c>
      <c r="N87" s="85" t="s">
        <v>1488</v>
      </c>
    </row>
    <row r="88" ht="15.0" hidden="1" customHeight="1">
      <c r="A88" s="84">
        <v>46174.05895157407</v>
      </c>
      <c r="B88" s="85" t="s">
        <v>350</v>
      </c>
      <c r="C88" s="85">
        <v>2.0</v>
      </c>
      <c r="D88" s="85">
        <v>3.0</v>
      </c>
      <c r="E88" s="85" t="s">
        <v>351</v>
      </c>
      <c r="F88" s="85" t="s">
        <v>333</v>
      </c>
      <c r="G88" s="85" t="s">
        <v>621</v>
      </c>
      <c r="H88" s="85" t="s">
        <v>622</v>
      </c>
      <c r="I88" s="85" t="s">
        <v>334</v>
      </c>
      <c r="J88" s="13"/>
      <c r="K88" s="13"/>
      <c r="L88" s="13"/>
      <c r="M88" s="85" t="s">
        <v>1487</v>
      </c>
      <c r="N88" s="85" t="s">
        <v>1488</v>
      </c>
    </row>
    <row r="89" ht="15.0" hidden="1" customHeight="1">
      <c r="A89" s="84">
        <v>46174.05895157407</v>
      </c>
      <c r="B89" s="85" t="s">
        <v>350</v>
      </c>
      <c r="C89" s="85">
        <v>2.0</v>
      </c>
      <c r="D89" s="85">
        <v>3.0</v>
      </c>
      <c r="E89" s="85" t="s">
        <v>351</v>
      </c>
      <c r="F89" s="85" t="s">
        <v>333</v>
      </c>
      <c r="G89" s="85" t="s">
        <v>624</v>
      </c>
      <c r="H89" s="85" t="s">
        <v>625</v>
      </c>
      <c r="I89" s="85" t="s">
        <v>334</v>
      </c>
      <c r="J89" s="13"/>
      <c r="K89" s="13"/>
      <c r="L89" s="13"/>
      <c r="M89" s="85" t="s">
        <v>1487</v>
      </c>
      <c r="N89" s="85" t="s">
        <v>1488</v>
      </c>
    </row>
    <row r="90" ht="15.0" customHeight="1">
      <c r="A90" s="84">
        <v>46174.05895157407</v>
      </c>
      <c r="B90" s="85" t="s">
        <v>350</v>
      </c>
      <c r="C90" s="85">
        <v>2.0</v>
      </c>
      <c r="D90" s="85">
        <v>3.0</v>
      </c>
      <c r="E90" s="85" t="s">
        <v>351</v>
      </c>
      <c r="F90" s="85" t="s">
        <v>333</v>
      </c>
      <c r="G90" s="85" t="s">
        <v>630</v>
      </c>
      <c r="H90" s="85" t="s">
        <v>632</v>
      </c>
      <c r="I90" s="85" t="s">
        <v>352</v>
      </c>
      <c r="J90" s="13"/>
      <c r="K90" s="13"/>
      <c r="L90" s="13"/>
      <c r="M90" s="85" t="s">
        <v>1487</v>
      </c>
      <c r="N90" s="85" t="s">
        <v>1488</v>
      </c>
    </row>
    <row r="91" ht="15.0" hidden="1" customHeight="1">
      <c r="A91" s="84">
        <v>46174.11364652778</v>
      </c>
      <c r="B91" s="85" t="s">
        <v>356</v>
      </c>
      <c r="C91" s="85">
        <v>6.0</v>
      </c>
      <c r="D91" s="85" t="s">
        <v>338</v>
      </c>
      <c r="E91" s="85" t="s">
        <v>351</v>
      </c>
      <c r="F91" s="85" t="s">
        <v>357</v>
      </c>
      <c r="G91" s="85" t="s">
        <v>879</v>
      </c>
      <c r="H91" s="85" t="s">
        <v>880</v>
      </c>
      <c r="I91" s="85" t="s">
        <v>334</v>
      </c>
      <c r="J91" s="13"/>
      <c r="K91" s="13"/>
      <c r="L91" s="13"/>
      <c r="M91" s="85" t="s">
        <v>1489</v>
      </c>
      <c r="N91" s="85" t="s">
        <v>1490</v>
      </c>
    </row>
    <row r="92" ht="15.0" hidden="1" customHeight="1">
      <c r="A92" s="84">
        <v>46174.11364652778</v>
      </c>
      <c r="B92" s="85" t="s">
        <v>356</v>
      </c>
      <c r="C92" s="85">
        <v>6.0</v>
      </c>
      <c r="D92" s="85" t="s">
        <v>338</v>
      </c>
      <c r="E92" s="85" t="s">
        <v>351</v>
      </c>
      <c r="F92" s="85" t="s">
        <v>357</v>
      </c>
      <c r="G92" s="85" t="s">
        <v>882</v>
      </c>
      <c r="H92" s="85" t="s">
        <v>883</v>
      </c>
      <c r="I92" s="85" t="s">
        <v>334</v>
      </c>
      <c r="J92" s="13"/>
      <c r="K92" s="13"/>
      <c r="L92" s="13"/>
      <c r="M92" s="85" t="s">
        <v>1489</v>
      </c>
      <c r="N92" s="85" t="s">
        <v>1490</v>
      </c>
    </row>
    <row r="93" ht="15.0" customHeight="1">
      <c r="A93" s="84">
        <v>46174.11364652778</v>
      </c>
      <c r="B93" s="85" t="s">
        <v>356</v>
      </c>
      <c r="C93" s="85">
        <v>6.0</v>
      </c>
      <c r="D93" s="85" t="s">
        <v>338</v>
      </c>
      <c r="E93" s="85" t="s">
        <v>351</v>
      </c>
      <c r="F93" s="85" t="s">
        <v>357</v>
      </c>
      <c r="G93" s="85" t="s">
        <v>888</v>
      </c>
      <c r="H93" s="85" t="s">
        <v>889</v>
      </c>
      <c r="I93" s="85" t="s">
        <v>352</v>
      </c>
      <c r="J93" s="13"/>
      <c r="K93" s="13"/>
      <c r="L93" s="13"/>
      <c r="M93" s="85" t="s">
        <v>1489</v>
      </c>
      <c r="N93" s="85" t="s">
        <v>1490</v>
      </c>
    </row>
    <row r="94" ht="15.0" hidden="1" customHeight="1">
      <c r="A94" s="84">
        <v>46174.11364652778</v>
      </c>
      <c r="B94" s="85" t="s">
        <v>356</v>
      </c>
      <c r="C94" s="85">
        <v>6.0</v>
      </c>
      <c r="D94" s="85" t="s">
        <v>338</v>
      </c>
      <c r="E94" s="85" t="s">
        <v>351</v>
      </c>
      <c r="F94" s="85" t="s">
        <v>357</v>
      </c>
      <c r="G94" s="85" t="s">
        <v>897</v>
      </c>
      <c r="H94" s="85" t="s">
        <v>899</v>
      </c>
      <c r="I94" s="85" t="s">
        <v>334</v>
      </c>
      <c r="J94" s="13"/>
      <c r="K94" s="13"/>
      <c r="L94" s="13"/>
      <c r="M94" s="85" t="s">
        <v>1489</v>
      </c>
      <c r="N94" s="85" t="s">
        <v>1490</v>
      </c>
    </row>
    <row r="95" ht="15.0" hidden="1" customHeight="1">
      <c r="A95" s="84">
        <v>46174.14776247685</v>
      </c>
      <c r="B95" s="85" t="s">
        <v>360</v>
      </c>
      <c r="C95" s="85">
        <v>7.0</v>
      </c>
      <c r="D95" s="85">
        <v>3.0</v>
      </c>
      <c r="E95" s="85" t="s">
        <v>361</v>
      </c>
      <c r="F95" s="85" t="s">
        <v>333</v>
      </c>
      <c r="G95" s="85" t="s">
        <v>528</v>
      </c>
      <c r="H95" s="85" t="s">
        <v>530</v>
      </c>
      <c r="I95" s="85" t="s">
        <v>334</v>
      </c>
      <c r="J95" s="13"/>
      <c r="K95" s="13"/>
      <c r="L95" s="13"/>
      <c r="M95" s="85" t="s">
        <v>362</v>
      </c>
      <c r="N95" s="85" t="s">
        <v>1491</v>
      </c>
    </row>
    <row r="96" ht="15.0" hidden="1" customHeight="1">
      <c r="A96" s="84">
        <v>46174.14776247685</v>
      </c>
      <c r="B96" s="85" t="s">
        <v>360</v>
      </c>
      <c r="C96" s="85">
        <v>7.0</v>
      </c>
      <c r="D96" s="85">
        <v>3.0</v>
      </c>
      <c r="E96" s="85" t="s">
        <v>361</v>
      </c>
      <c r="F96" s="85" t="s">
        <v>333</v>
      </c>
      <c r="G96" s="85" t="s">
        <v>533</v>
      </c>
      <c r="H96" s="85" t="s">
        <v>535</v>
      </c>
      <c r="I96" s="85" t="s">
        <v>334</v>
      </c>
      <c r="J96" s="13"/>
      <c r="K96" s="13"/>
      <c r="L96" s="13"/>
      <c r="M96" s="85" t="s">
        <v>362</v>
      </c>
      <c r="N96" s="85" t="s">
        <v>1491</v>
      </c>
    </row>
    <row r="97" ht="15.0" hidden="1" customHeight="1">
      <c r="A97" s="84">
        <v>46174.14776247685</v>
      </c>
      <c r="B97" s="85" t="s">
        <v>360</v>
      </c>
      <c r="C97" s="85">
        <v>7.0</v>
      </c>
      <c r="D97" s="85">
        <v>3.0</v>
      </c>
      <c r="E97" s="85" t="s">
        <v>361</v>
      </c>
      <c r="F97" s="85" t="s">
        <v>333</v>
      </c>
      <c r="G97" s="85" t="s">
        <v>539</v>
      </c>
      <c r="H97" s="85" t="s">
        <v>540</v>
      </c>
      <c r="I97" s="85" t="s">
        <v>334</v>
      </c>
      <c r="J97" s="13"/>
      <c r="K97" s="13"/>
      <c r="L97" s="13"/>
      <c r="M97" s="85" t="s">
        <v>362</v>
      </c>
      <c r="N97" s="85" t="s">
        <v>1491</v>
      </c>
    </row>
    <row r="98" ht="15.0" hidden="1" customHeight="1">
      <c r="A98" s="84">
        <v>46174.14776247685</v>
      </c>
      <c r="B98" s="85" t="s">
        <v>360</v>
      </c>
      <c r="C98" s="85">
        <v>7.0</v>
      </c>
      <c r="D98" s="85">
        <v>3.0</v>
      </c>
      <c r="E98" s="85" t="s">
        <v>361</v>
      </c>
      <c r="F98" s="85" t="s">
        <v>333</v>
      </c>
      <c r="G98" s="85" t="s">
        <v>541</v>
      </c>
      <c r="H98" s="85" t="s">
        <v>542</v>
      </c>
      <c r="I98" s="85" t="s">
        <v>334</v>
      </c>
      <c r="J98" s="13"/>
      <c r="K98" s="13"/>
      <c r="L98" s="13"/>
      <c r="M98" s="85" t="s">
        <v>362</v>
      </c>
      <c r="N98" s="85" t="s">
        <v>1491</v>
      </c>
    </row>
    <row r="99" ht="15.0" hidden="1" customHeight="1">
      <c r="A99" s="84">
        <v>46174.14776247685</v>
      </c>
      <c r="B99" s="85" t="s">
        <v>360</v>
      </c>
      <c r="C99" s="85">
        <v>7.0</v>
      </c>
      <c r="D99" s="85">
        <v>3.0</v>
      </c>
      <c r="E99" s="85" t="s">
        <v>361</v>
      </c>
      <c r="F99" s="85" t="s">
        <v>333</v>
      </c>
      <c r="G99" s="85" t="s">
        <v>543</v>
      </c>
      <c r="H99" s="85" t="s">
        <v>544</v>
      </c>
      <c r="I99" s="85" t="s">
        <v>334</v>
      </c>
      <c r="J99" s="13"/>
      <c r="K99" s="13"/>
      <c r="L99" s="13"/>
      <c r="M99" s="85" t="s">
        <v>362</v>
      </c>
      <c r="N99" s="85" t="s">
        <v>1491</v>
      </c>
    </row>
    <row r="100" ht="15.0" hidden="1" customHeight="1">
      <c r="A100" s="84">
        <v>46174.14984466435</v>
      </c>
      <c r="B100" s="85" t="s">
        <v>363</v>
      </c>
      <c r="C100" s="85">
        <v>1.0</v>
      </c>
      <c r="D100" s="85">
        <v>1.0</v>
      </c>
      <c r="E100" s="85" t="s">
        <v>364</v>
      </c>
      <c r="F100" s="85" t="s">
        <v>365</v>
      </c>
      <c r="G100" s="85" t="s">
        <v>707</v>
      </c>
      <c r="H100" s="85" t="s">
        <v>709</v>
      </c>
      <c r="I100" s="85" t="s">
        <v>334</v>
      </c>
      <c r="J100" s="13"/>
      <c r="K100" s="13"/>
      <c r="L100" s="13"/>
      <c r="M100" s="85" t="s">
        <v>1492</v>
      </c>
      <c r="N100" s="85" t="s">
        <v>1493</v>
      </c>
    </row>
    <row r="101" ht="15.0" hidden="1" customHeight="1">
      <c r="A101" s="84">
        <v>46174.14984466435</v>
      </c>
      <c r="B101" s="85" t="s">
        <v>363</v>
      </c>
      <c r="C101" s="85">
        <v>1.0</v>
      </c>
      <c r="D101" s="85">
        <v>1.0</v>
      </c>
      <c r="E101" s="85" t="s">
        <v>364</v>
      </c>
      <c r="F101" s="85" t="s">
        <v>365</v>
      </c>
      <c r="G101" s="85" t="s">
        <v>710</v>
      </c>
      <c r="H101" s="85" t="s">
        <v>711</v>
      </c>
      <c r="I101" s="85" t="s">
        <v>334</v>
      </c>
      <c r="J101" s="13"/>
      <c r="K101" s="13"/>
      <c r="L101" s="13"/>
      <c r="M101" s="85" t="s">
        <v>1492</v>
      </c>
      <c r="N101" s="85" t="s">
        <v>1493</v>
      </c>
    </row>
    <row r="102" ht="15.0" hidden="1" customHeight="1">
      <c r="A102" s="84">
        <v>46174.14984466435</v>
      </c>
      <c r="B102" s="85" t="s">
        <v>363</v>
      </c>
      <c r="C102" s="85">
        <v>1.0</v>
      </c>
      <c r="D102" s="85">
        <v>1.0</v>
      </c>
      <c r="E102" s="85" t="s">
        <v>364</v>
      </c>
      <c r="F102" s="85" t="s">
        <v>365</v>
      </c>
      <c r="G102" s="85" t="s">
        <v>712</v>
      </c>
      <c r="H102" s="85" t="s">
        <v>713</v>
      </c>
      <c r="I102" s="85" t="s">
        <v>334</v>
      </c>
      <c r="J102" s="13"/>
      <c r="K102" s="13"/>
      <c r="L102" s="13"/>
      <c r="M102" s="85" t="s">
        <v>1492</v>
      </c>
      <c r="N102" s="85" t="s">
        <v>1493</v>
      </c>
    </row>
    <row r="103" ht="15.0" hidden="1" customHeight="1">
      <c r="A103" s="84">
        <v>46174.14984466435</v>
      </c>
      <c r="B103" s="85" t="s">
        <v>363</v>
      </c>
      <c r="C103" s="85">
        <v>1.0</v>
      </c>
      <c r="D103" s="85">
        <v>1.0</v>
      </c>
      <c r="E103" s="85" t="s">
        <v>364</v>
      </c>
      <c r="F103" s="85" t="s">
        <v>365</v>
      </c>
      <c r="G103" s="85" t="s">
        <v>714</v>
      </c>
      <c r="H103" s="85" t="s">
        <v>715</v>
      </c>
      <c r="I103" s="85" t="s">
        <v>334</v>
      </c>
      <c r="J103" s="13"/>
      <c r="K103" s="13"/>
      <c r="L103" s="13"/>
      <c r="M103" s="85" t="s">
        <v>1492</v>
      </c>
      <c r="N103" s="85" t="s">
        <v>1493</v>
      </c>
    </row>
    <row r="104" ht="15.0" hidden="1" customHeight="1">
      <c r="A104" s="84">
        <v>46174.14984466435</v>
      </c>
      <c r="B104" s="85" t="s">
        <v>363</v>
      </c>
      <c r="C104" s="85">
        <v>1.0</v>
      </c>
      <c r="D104" s="85">
        <v>1.0</v>
      </c>
      <c r="E104" s="85" t="s">
        <v>364</v>
      </c>
      <c r="F104" s="85" t="s">
        <v>365</v>
      </c>
      <c r="G104" s="85" t="s">
        <v>716</v>
      </c>
      <c r="H104" s="85" t="s">
        <v>717</v>
      </c>
      <c r="I104" s="85" t="s">
        <v>334</v>
      </c>
      <c r="J104" s="13"/>
      <c r="K104" s="13"/>
      <c r="L104" s="13"/>
      <c r="M104" s="85" t="s">
        <v>1492</v>
      </c>
      <c r="N104" s="85" t="s">
        <v>1493</v>
      </c>
    </row>
    <row r="105" ht="15.0" hidden="1" customHeight="1">
      <c r="A105" s="84">
        <v>46174.14984466435</v>
      </c>
      <c r="B105" s="85" t="s">
        <v>363</v>
      </c>
      <c r="C105" s="85">
        <v>1.0</v>
      </c>
      <c r="D105" s="85">
        <v>1.0</v>
      </c>
      <c r="E105" s="85" t="s">
        <v>364</v>
      </c>
      <c r="F105" s="85" t="s">
        <v>365</v>
      </c>
      <c r="G105" s="85" t="s">
        <v>718</v>
      </c>
      <c r="H105" s="85" t="s">
        <v>719</v>
      </c>
      <c r="I105" s="85" t="s">
        <v>334</v>
      </c>
      <c r="J105" s="13"/>
      <c r="K105" s="13"/>
      <c r="L105" s="13"/>
      <c r="M105" s="85" t="s">
        <v>1492</v>
      </c>
      <c r="N105" s="85" t="s">
        <v>1493</v>
      </c>
    </row>
    <row r="106" ht="15.0" hidden="1" customHeight="1">
      <c r="A106" s="84">
        <v>46174.14984466435</v>
      </c>
      <c r="B106" s="85" t="s">
        <v>363</v>
      </c>
      <c r="C106" s="85">
        <v>1.0</v>
      </c>
      <c r="D106" s="85">
        <v>1.0</v>
      </c>
      <c r="E106" s="85" t="s">
        <v>364</v>
      </c>
      <c r="F106" s="85" t="s">
        <v>365</v>
      </c>
      <c r="G106" s="85" t="s">
        <v>720</v>
      </c>
      <c r="H106" s="85" t="s">
        <v>721</v>
      </c>
      <c r="I106" s="85" t="s">
        <v>334</v>
      </c>
      <c r="J106" s="13"/>
      <c r="K106" s="13"/>
      <c r="L106" s="13"/>
      <c r="M106" s="85" t="s">
        <v>1492</v>
      </c>
      <c r="N106" s="85" t="s">
        <v>1493</v>
      </c>
    </row>
    <row r="107" ht="15.0" hidden="1" customHeight="1">
      <c r="A107" s="84">
        <v>46174.14984466435</v>
      </c>
      <c r="B107" s="85" t="s">
        <v>363</v>
      </c>
      <c r="C107" s="85">
        <v>1.0</v>
      </c>
      <c r="D107" s="85">
        <v>1.0</v>
      </c>
      <c r="E107" s="85" t="s">
        <v>364</v>
      </c>
      <c r="F107" s="85" t="s">
        <v>365</v>
      </c>
      <c r="G107" s="85" t="s">
        <v>723</v>
      </c>
      <c r="H107" s="85" t="s">
        <v>724</v>
      </c>
      <c r="I107" s="85" t="s">
        <v>334</v>
      </c>
      <c r="J107" s="13"/>
      <c r="K107" s="13"/>
      <c r="L107" s="13"/>
      <c r="M107" s="85" t="s">
        <v>1492</v>
      </c>
      <c r="N107" s="85" t="s">
        <v>1493</v>
      </c>
    </row>
    <row r="108" ht="15.0" hidden="1" customHeight="1">
      <c r="A108" s="84">
        <v>46174.14984466435</v>
      </c>
      <c r="B108" s="85" t="s">
        <v>363</v>
      </c>
      <c r="C108" s="85">
        <v>1.0</v>
      </c>
      <c r="D108" s="85">
        <v>1.0</v>
      </c>
      <c r="E108" s="85" t="s">
        <v>364</v>
      </c>
      <c r="F108" s="85" t="s">
        <v>365</v>
      </c>
      <c r="G108" s="85" t="s">
        <v>725</v>
      </c>
      <c r="H108" s="85" t="s">
        <v>726</v>
      </c>
      <c r="I108" s="85" t="s">
        <v>334</v>
      </c>
      <c r="J108" s="13"/>
      <c r="K108" s="13"/>
      <c r="L108" s="13"/>
      <c r="M108" s="85" t="s">
        <v>1492</v>
      </c>
      <c r="N108" s="85" t="s">
        <v>1493</v>
      </c>
    </row>
    <row r="109" ht="15.0" hidden="1" customHeight="1">
      <c r="A109" s="84">
        <v>46174.14984466435</v>
      </c>
      <c r="B109" s="85" t="s">
        <v>363</v>
      </c>
      <c r="C109" s="85">
        <v>1.0</v>
      </c>
      <c r="D109" s="85">
        <v>1.0</v>
      </c>
      <c r="E109" s="85" t="s">
        <v>364</v>
      </c>
      <c r="F109" s="85" t="s">
        <v>365</v>
      </c>
      <c r="G109" s="85" t="s">
        <v>727</v>
      </c>
      <c r="H109" s="85" t="s">
        <v>728</v>
      </c>
      <c r="I109" s="85" t="s">
        <v>334</v>
      </c>
      <c r="J109" s="13"/>
      <c r="K109" s="13"/>
      <c r="L109" s="13"/>
      <c r="M109" s="85" t="s">
        <v>1492</v>
      </c>
      <c r="N109" s="85" t="s">
        <v>1493</v>
      </c>
    </row>
    <row r="110" ht="15.0" hidden="1" customHeight="1">
      <c r="A110" s="84">
        <v>46174.14984466435</v>
      </c>
      <c r="B110" s="85" t="s">
        <v>363</v>
      </c>
      <c r="C110" s="85">
        <v>1.0</v>
      </c>
      <c r="D110" s="85">
        <v>1.0</v>
      </c>
      <c r="E110" s="85" t="s">
        <v>364</v>
      </c>
      <c r="F110" s="85" t="s">
        <v>365</v>
      </c>
      <c r="G110" s="85" t="s">
        <v>729</v>
      </c>
      <c r="H110" s="85" t="s">
        <v>730</v>
      </c>
      <c r="I110" s="85" t="s">
        <v>334</v>
      </c>
      <c r="J110" s="13"/>
      <c r="K110" s="13"/>
      <c r="L110" s="13"/>
      <c r="M110" s="85" t="s">
        <v>1492</v>
      </c>
      <c r="N110" s="85" t="s">
        <v>1493</v>
      </c>
    </row>
    <row r="111" ht="15.0" customHeight="1">
      <c r="A111" s="84">
        <v>46174.16070706019</v>
      </c>
      <c r="B111" s="85" t="s">
        <v>367</v>
      </c>
      <c r="C111" s="85">
        <v>11.0</v>
      </c>
      <c r="D111" s="85">
        <v>13.0</v>
      </c>
      <c r="E111" s="85" t="s">
        <v>339</v>
      </c>
      <c r="F111" s="85" t="s">
        <v>368</v>
      </c>
      <c r="G111" s="85" t="s">
        <v>1028</v>
      </c>
      <c r="H111" s="85" t="s">
        <v>1030</v>
      </c>
      <c r="I111" s="85" t="s">
        <v>352</v>
      </c>
      <c r="J111" s="13"/>
      <c r="K111" s="13"/>
      <c r="L111" s="13"/>
      <c r="M111" s="85" t="s">
        <v>1494</v>
      </c>
      <c r="N111" s="85" t="s">
        <v>1495</v>
      </c>
    </row>
    <row r="112" ht="15.0" customHeight="1">
      <c r="A112" s="84">
        <v>46174.16070706019</v>
      </c>
      <c r="B112" s="85" t="s">
        <v>367</v>
      </c>
      <c r="C112" s="85">
        <v>11.0</v>
      </c>
      <c r="D112" s="85">
        <v>13.0</v>
      </c>
      <c r="E112" s="85" t="s">
        <v>339</v>
      </c>
      <c r="F112" s="85" t="s">
        <v>368</v>
      </c>
      <c r="G112" s="85" t="s">
        <v>1032</v>
      </c>
      <c r="H112" s="85" t="s">
        <v>1033</v>
      </c>
      <c r="I112" s="85" t="s">
        <v>352</v>
      </c>
      <c r="J112" s="13"/>
      <c r="K112" s="13"/>
      <c r="L112" s="13"/>
      <c r="M112" s="85" t="s">
        <v>1494</v>
      </c>
      <c r="N112" s="85" t="s">
        <v>1495</v>
      </c>
    </row>
    <row r="113" ht="15.0" customHeight="1">
      <c r="A113" s="84">
        <v>46174.16070706019</v>
      </c>
      <c r="B113" s="85" t="s">
        <v>367</v>
      </c>
      <c r="C113" s="85">
        <v>11.0</v>
      </c>
      <c r="D113" s="85">
        <v>13.0</v>
      </c>
      <c r="E113" s="85" t="s">
        <v>339</v>
      </c>
      <c r="F113" s="85" t="s">
        <v>368</v>
      </c>
      <c r="G113" s="85" t="s">
        <v>1035</v>
      </c>
      <c r="H113" s="85" t="s">
        <v>1036</v>
      </c>
      <c r="I113" s="85" t="s">
        <v>352</v>
      </c>
      <c r="J113" s="13"/>
      <c r="K113" s="13"/>
      <c r="L113" s="13"/>
      <c r="M113" s="85" t="s">
        <v>1494</v>
      </c>
      <c r="N113" s="85" t="s">
        <v>1495</v>
      </c>
    </row>
    <row r="114" ht="15.0" customHeight="1">
      <c r="A114" s="84">
        <v>46174.16070706019</v>
      </c>
      <c r="B114" s="85" t="s">
        <v>367</v>
      </c>
      <c r="C114" s="85">
        <v>11.0</v>
      </c>
      <c r="D114" s="85">
        <v>13.0</v>
      </c>
      <c r="E114" s="85" t="s">
        <v>339</v>
      </c>
      <c r="F114" s="85" t="s">
        <v>368</v>
      </c>
      <c r="G114" s="85" t="s">
        <v>1038</v>
      </c>
      <c r="H114" s="85" t="s">
        <v>1039</v>
      </c>
      <c r="I114" s="85" t="s">
        <v>352</v>
      </c>
      <c r="J114" s="13"/>
      <c r="K114" s="13"/>
      <c r="L114" s="13"/>
      <c r="M114" s="85" t="s">
        <v>1494</v>
      </c>
      <c r="N114" s="85" t="s">
        <v>1495</v>
      </c>
    </row>
    <row r="115" ht="15.0" customHeight="1">
      <c r="A115" s="84">
        <v>46174.16070706019</v>
      </c>
      <c r="B115" s="85" t="s">
        <v>367</v>
      </c>
      <c r="C115" s="85">
        <v>11.0</v>
      </c>
      <c r="D115" s="85">
        <v>13.0</v>
      </c>
      <c r="E115" s="85" t="s">
        <v>339</v>
      </c>
      <c r="F115" s="85" t="s">
        <v>368</v>
      </c>
      <c r="G115" s="85" t="s">
        <v>1041</v>
      </c>
      <c r="H115" s="85" t="s">
        <v>1042</v>
      </c>
      <c r="I115" s="85" t="s">
        <v>352</v>
      </c>
      <c r="J115" s="13"/>
      <c r="K115" s="13"/>
      <c r="L115" s="13"/>
      <c r="M115" s="85" t="s">
        <v>1494</v>
      </c>
      <c r="N115" s="85" t="s">
        <v>1495</v>
      </c>
    </row>
    <row r="116" ht="15.0" customHeight="1">
      <c r="A116" s="84">
        <v>46174.16070706019</v>
      </c>
      <c r="B116" s="85" t="s">
        <v>367</v>
      </c>
      <c r="C116" s="85">
        <v>11.0</v>
      </c>
      <c r="D116" s="85">
        <v>13.0</v>
      </c>
      <c r="E116" s="85" t="s">
        <v>339</v>
      </c>
      <c r="F116" s="85" t="s">
        <v>368</v>
      </c>
      <c r="G116" s="85" t="s">
        <v>1044</v>
      </c>
      <c r="H116" s="85" t="s">
        <v>1045</v>
      </c>
      <c r="I116" s="85" t="s">
        <v>352</v>
      </c>
      <c r="J116" s="13"/>
      <c r="K116" s="13"/>
      <c r="L116" s="13"/>
      <c r="M116" s="85" t="s">
        <v>1494</v>
      </c>
      <c r="N116" s="85" t="s">
        <v>1495</v>
      </c>
    </row>
    <row r="117" ht="15.0" customHeight="1">
      <c r="A117" s="84">
        <v>46174.16070706019</v>
      </c>
      <c r="B117" s="85" t="s">
        <v>367</v>
      </c>
      <c r="C117" s="85">
        <v>11.0</v>
      </c>
      <c r="D117" s="85">
        <v>13.0</v>
      </c>
      <c r="E117" s="85" t="s">
        <v>339</v>
      </c>
      <c r="F117" s="85" t="s">
        <v>368</v>
      </c>
      <c r="G117" s="85" t="s">
        <v>1047</v>
      </c>
      <c r="H117" s="85" t="s">
        <v>1048</v>
      </c>
      <c r="I117" s="85" t="s">
        <v>352</v>
      </c>
      <c r="J117" s="13"/>
      <c r="K117" s="13"/>
      <c r="L117" s="13"/>
      <c r="M117" s="85" t="s">
        <v>1494</v>
      </c>
      <c r="N117" s="85" t="s">
        <v>1495</v>
      </c>
    </row>
    <row r="118" ht="15.0" customHeight="1">
      <c r="A118" s="84">
        <v>46174.16070706019</v>
      </c>
      <c r="B118" s="85" t="s">
        <v>367</v>
      </c>
      <c r="C118" s="85">
        <v>11.0</v>
      </c>
      <c r="D118" s="85">
        <v>13.0</v>
      </c>
      <c r="E118" s="85" t="s">
        <v>339</v>
      </c>
      <c r="F118" s="85" t="s">
        <v>368</v>
      </c>
      <c r="G118" s="85" t="s">
        <v>1050</v>
      </c>
      <c r="H118" s="85" t="s">
        <v>1051</v>
      </c>
      <c r="I118" s="85" t="s">
        <v>352</v>
      </c>
      <c r="J118" s="13"/>
      <c r="K118" s="13"/>
      <c r="L118" s="13"/>
      <c r="M118" s="85" t="s">
        <v>1494</v>
      </c>
      <c r="N118" s="85" t="s">
        <v>1495</v>
      </c>
    </row>
    <row r="119" ht="15.0" customHeight="1">
      <c r="A119" s="84">
        <v>46174.16070706019</v>
      </c>
      <c r="B119" s="85" t="s">
        <v>367</v>
      </c>
      <c r="C119" s="85">
        <v>11.0</v>
      </c>
      <c r="D119" s="85">
        <v>13.0</v>
      </c>
      <c r="E119" s="85" t="s">
        <v>339</v>
      </c>
      <c r="F119" s="85" t="s">
        <v>368</v>
      </c>
      <c r="G119" s="85" t="s">
        <v>1053</v>
      </c>
      <c r="H119" s="85" t="s">
        <v>1055</v>
      </c>
      <c r="I119" s="85" t="s">
        <v>352</v>
      </c>
      <c r="J119" s="13"/>
      <c r="K119" s="13"/>
      <c r="L119" s="13"/>
      <c r="M119" s="85" t="s">
        <v>1494</v>
      </c>
      <c r="N119" s="85" t="s">
        <v>1495</v>
      </c>
    </row>
    <row r="120" ht="15.0" customHeight="1">
      <c r="A120" s="84">
        <v>46174.16070706019</v>
      </c>
      <c r="B120" s="85" t="s">
        <v>367</v>
      </c>
      <c r="C120" s="85">
        <v>11.0</v>
      </c>
      <c r="D120" s="85">
        <v>13.0</v>
      </c>
      <c r="E120" s="85" t="s">
        <v>339</v>
      </c>
      <c r="F120" s="85" t="s">
        <v>368</v>
      </c>
      <c r="G120" s="85" t="s">
        <v>1057</v>
      </c>
      <c r="H120" s="85" t="s">
        <v>1058</v>
      </c>
      <c r="I120" s="85" t="s">
        <v>352</v>
      </c>
      <c r="J120" s="13"/>
      <c r="K120" s="13"/>
      <c r="L120" s="13"/>
      <c r="M120" s="85" t="s">
        <v>1494</v>
      </c>
      <c r="N120" s="85" t="s">
        <v>1495</v>
      </c>
    </row>
    <row r="121" ht="15.0" customHeight="1">
      <c r="A121" s="84">
        <v>46174.16070706019</v>
      </c>
      <c r="B121" s="85" t="s">
        <v>367</v>
      </c>
      <c r="C121" s="85">
        <v>11.0</v>
      </c>
      <c r="D121" s="85">
        <v>13.0</v>
      </c>
      <c r="E121" s="85" t="s">
        <v>339</v>
      </c>
      <c r="F121" s="85" t="s">
        <v>368</v>
      </c>
      <c r="G121" s="85" t="s">
        <v>1060</v>
      </c>
      <c r="H121" s="85" t="s">
        <v>1061</v>
      </c>
      <c r="I121" s="85" t="s">
        <v>352</v>
      </c>
      <c r="J121" s="13"/>
      <c r="K121" s="13"/>
      <c r="L121" s="13"/>
      <c r="M121" s="85" t="s">
        <v>1494</v>
      </c>
      <c r="N121" s="85" t="s">
        <v>1495</v>
      </c>
    </row>
    <row r="122" ht="15.0" customHeight="1">
      <c r="A122" s="84">
        <v>46174.16070706019</v>
      </c>
      <c r="B122" s="85" t="s">
        <v>367</v>
      </c>
      <c r="C122" s="85">
        <v>11.0</v>
      </c>
      <c r="D122" s="85">
        <v>13.0</v>
      </c>
      <c r="E122" s="85" t="s">
        <v>339</v>
      </c>
      <c r="F122" s="85" t="s">
        <v>368</v>
      </c>
      <c r="G122" s="85" t="s">
        <v>1063</v>
      </c>
      <c r="H122" s="85" t="s">
        <v>1064</v>
      </c>
      <c r="I122" s="85" t="s">
        <v>352</v>
      </c>
      <c r="J122" s="13"/>
      <c r="K122" s="13"/>
      <c r="L122" s="13"/>
      <c r="M122" s="85" t="s">
        <v>1494</v>
      </c>
      <c r="N122" s="85" t="s">
        <v>1495</v>
      </c>
    </row>
    <row r="123" ht="15.0" customHeight="1">
      <c r="A123" s="84">
        <v>46174.16070706019</v>
      </c>
      <c r="B123" s="85" t="s">
        <v>367</v>
      </c>
      <c r="C123" s="85">
        <v>11.0</v>
      </c>
      <c r="D123" s="85">
        <v>13.0</v>
      </c>
      <c r="E123" s="85" t="s">
        <v>339</v>
      </c>
      <c r="F123" s="85" t="s">
        <v>368</v>
      </c>
      <c r="G123" s="85" t="s">
        <v>1066</v>
      </c>
      <c r="H123" s="85" t="s">
        <v>1067</v>
      </c>
      <c r="I123" s="85" t="s">
        <v>352</v>
      </c>
      <c r="J123" s="13"/>
      <c r="K123" s="13"/>
      <c r="L123" s="13"/>
      <c r="M123" s="85" t="s">
        <v>1494</v>
      </c>
      <c r="N123" s="85" t="s">
        <v>1495</v>
      </c>
    </row>
    <row r="124" ht="15.0" customHeight="1">
      <c r="A124" s="84">
        <v>46174.16070706019</v>
      </c>
      <c r="B124" s="85" t="s">
        <v>367</v>
      </c>
      <c r="C124" s="85">
        <v>11.0</v>
      </c>
      <c r="D124" s="85">
        <v>13.0</v>
      </c>
      <c r="E124" s="85" t="s">
        <v>339</v>
      </c>
      <c r="F124" s="85" t="s">
        <v>368</v>
      </c>
      <c r="G124" s="85" t="s">
        <v>1069</v>
      </c>
      <c r="H124" s="85" t="s">
        <v>1070</v>
      </c>
      <c r="I124" s="85" t="s">
        <v>352</v>
      </c>
      <c r="J124" s="13"/>
      <c r="K124" s="13"/>
      <c r="L124" s="13"/>
      <c r="M124" s="85" t="s">
        <v>1494</v>
      </c>
      <c r="N124" s="85" t="s">
        <v>1495</v>
      </c>
    </row>
    <row r="125" ht="15.0" customHeight="1">
      <c r="A125" s="84">
        <v>46174.16070706019</v>
      </c>
      <c r="B125" s="85" t="s">
        <v>367</v>
      </c>
      <c r="C125" s="85">
        <v>11.0</v>
      </c>
      <c r="D125" s="85">
        <v>13.0</v>
      </c>
      <c r="E125" s="85" t="s">
        <v>339</v>
      </c>
      <c r="F125" s="85" t="s">
        <v>368</v>
      </c>
      <c r="G125" s="85" t="s">
        <v>1072</v>
      </c>
      <c r="H125" s="85" t="s">
        <v>1073</v>
      </c>
      <c r="I125" s="85" t="s">
        <v>352</v>
      </c>
      <c r="J125" s="13"/>
      <c r="K125" s="13"/>
      <c r="L125" s="13"/>
      <c r="M125" s="85" t="s">
        <v>1494</v>
      </c>
      <c r="N125" s="85" t="s">
        <v>1495</v>
      </c>
    </row>
    <row r="126" ht="15.0" customHeight="1">
      <c r="A126" s="84">
        <v>46174.16070706019</v>
      </c>
      <c r="B126" s="85" t="s">
        <v>367</v>
      </c>
      <c r="C126" s="85">
        <v>11.0</v>
      </c>
      <c r="D126" s="85">
        <v>13.0</v>
      </c>
      <c r="E126" s="85" t="s">
        <v>339</v>
      </c>
      <c r="F126" s="85" t="s">
        <v>368</v>
      </c>
      <c r="G126" s="85" t="s">
        <v>1075</v>
      </c>
      <c r="H126" s="85" t="s">
        <v>1077</v>
      </c>
      <c r="I126" s="85" t="s">
        <v>352</v>
      </c>
      <c r="J126" s="13"/>
      <c r="K126" s="13"/>
      <c r="L126" s="13"/>
      <c r="M126" s="85" t="s">
        <v>1494</v>
      </c>
      <c r="N126" s="85" t="s">
        <v>1495</v>
      </c>
    </row>
    <row r="127" ht="15.0" customHeight="1">
      <c r="A127" s="84">
        <v>46174.16070706019</v>
      </c>
      <c r="B127" s="85" t="s">
        <v>367</v>
      </c>
      <c r="C127" s="85">
        <v>11.0</v>
      </c>
      <c r="D127" s="85">
        <v>13.0</v>
      </c>
      <c r="E127" s="85" t="s">
        <v>339</v>
      </c>
      <c r="F127" s="85" t="s">
        <v>368</v>
      </c>
      <c r="G127" s="85" t="s">
        <v>1079</v>
      </c>
      <c r="H127" s="85" t="s">
        <v>1080</v>
      </c>
      <c r="I127" s="85" t="s">
        <v>352</v>
      </c>
      <c r="J127" s="13"/>
      <c r="K127" s="13"/>
      <c r="L127" s="13"/>
      <c r="M127" s="85" t="s">
        <v>1494</v>
      </c>
      <c r="N127" s="85" t="s">
        <v>1495</v>
      </c>
    </row>
    <row r="128" ht="15.0" customHeight="1">
      <c r="A128" s="84">
        <v>46174.16070706019</v>
      </c>
      <c r="B128" s="85" t="s">
        <v>367</v>
      </c>
      <c r="C128" s="85">
        <v>11.0</v>
      </c>
      <c r="D128" s="85">
        <v>13.0</v>
      </c>
      <c r="E128" s="85" t="s">
        <v>339</v>
      </c>
      <c r="F128" s="85" t="s">
        <v>368</v>
      </c>
      <c r="G128" s="85" t="s">
        <v>1082</v>
      </c>
      <c r="H128" s="85" t="s">
        <v>1083</v>
      </c>
      <c r="I128" s="85" t="s">
        <v>352</v>
      </c>
      <c r="J128" s="13"/>
      <c r="K128" s="13"/>
      <c r="L128" s="13"/>
      <c r="M128" s="85" t="s">
        <v>1494</v>
      </c>
      <c r="N128" s="85" t="s">
        <v>1495</v>
      </c>
    </row>
    <row r="129" ht="15.0" customHeight="1">
      <c r="A129" s="84">
        <v>46174.16070706019</v>
      </c>
      <c r="B129" s="85" t="s">
        <v>367</v>
      </c>
      <c r="C129" s="85">
        <v>11.0</v>
      </c>
      <c r="D129" s="85">
        <v>13.0</v>
      </c>
      <c r="E129" s="85" t="s">
        <v>339</v>
      </c>
      <c r="F129" s="85" t="s">
        <v>368</v>
      </c>
      <c r="G129" s="85" t="s">
        <v>1085</v>
      </c>
      <c r="H129" s="85" t="s">
        <v>1086</v>
      </c>
      <c r="I129" s="85" t="s">
        <v>352</v>
      </c>
      <c r="J129" s="13"/>
      <c r="K129" s="13"/>
      <c r="L129" s="13"/>
      <c r="M129" s="85" t="s">
        <v>1494</v>
      </c>
      <c r="N129" s="85" t="s">
        <v>1495</v>
      </c>
    </row>
    <row r="130" ht="15.0" customHeight="1">
      <c r="A130" s="84">
        <v>46174.16070706019</v>
      </c>
      <c r="B130" s="85" t="s">
        <v>367</v>
      </c>
      <c r="C130" s="85">
        <v>11.0</v>
      </c>
      <c r="D130" s="85">
        <v>13.0</v>
      </c>
      <c r="E130" s="85" t="s">
        <v>339</v>
      </c>
      <c r="F130" s="85" t="s">
        <v>368</v>
      </c>
      <c r="G130" s="85" t="s">
        <v>1088</v>
      </c>
      <c r="H130" s="85" t="s">
        <v>1089</v>
      </c>
      <c r="I130" s="85" t="s">
        <v>352</v>
      </c>
      <c r="J130" s="13"/>
      <c r="K130" s="13"/>
      <c r="L130" s="13"/>
      <c r="M130" s="85" t="s">
        <v>1494</v>
      </c>
      <c r="N130" s="85" t="s">
        <v>1495</v>
      </c>
    </row>
    <row r="131" ht="15.0" customHeight="1">
      <c r="A131" s="84">
        <v>46174.16070706019</v>
      </c>
      <c r="B131" s="85" t="s">
        <v>367</v>
      </c>
      <c r="C131" s="85">
        <v>11.0</v>
      </c>
      <c r="D131" s="85">
        <v>13.0</v>
      </c>
      <c r="E131" s="85" t="s">
        <v>339</v>
      </c>
      <c r="F131" s="85" t="s">
        <v>368</v>
      </c>
      <c r="G131" s="85" t="s">
        <v>1091</v>
      </c>
      <c r="H131" s="85" t="s">
        <v>1093</v>
      </c>
      <c r="I131" s="85" t="s">
        <v>352</v>
      </c>
      <c r="J131" s="13"/>
      <c r="K131" s="13"/>
      <c r="L131" s="13"/>
      <c r="M131" s="85" t="s">
        <v>1494</v>
      </c>
      <c r="N131" s="85" t="s">
        <v>1495</v>
      </c>
    </row>
    <row r="132" ht="15.0" customHeight="1">
      <c r="A132" s="84">
        <v>46174.16070706019</v>
      </c>
      <c r="B132" s="85" t="s">
        <v>367</v>
      </c>
      <c r="C132" s="85">
        <v>11.0</v>
      </c>
      <c r="D132" s="85">
        <v>13.0</v>
      </c>
      <c r="E132" s="85" t="s">
        <v>339</v>
      </c>
      <c r="F132" s="85" t="s">
        <v>368</v>
      </c>
      <c r="G132" s="85" t="s">
        <v>1095</v>
      </c>
      <c r="H132" s="85" t="s">
        <v>1096</v>
      </c>
      <c r="I132" s="85" t="s">
        <v>352</v>
      </c>
      <c r="J132" s="13"/>
      <c r="K132" s="13"/>
      <c r="L132" s="13"/>
      <c r="M132" s="85" t="s">
        <v>1494</v>
      </c>
      <c r="N132" s="85" t="s">
        <v>1495</v>
      </c>
    </row>
    <row r="133" ht="15.0" customHeight="1">
      <c r="A133" s="84">
        <v>46174.16070706019</v>
      </c>
      <c r="B133" s="85" t="s">
        <v>367</v>
      </c>
      <c r="C133" s="85">
        <v>11.0</v>
      </c>
      <c r="D133" s="85">
        <v>13.0</v>
      </c>
      <c r="E133" s="85" t="s">
        <v>339</v>
      </c>
      <c r="F133" s="85" t="s">
        <v>368</v>
      </c>
      <c r="G133" s="85" t="s">
        <v>1098</v>
      </c>
      <c r="H133" s="85" t="s">
        <v>1099</v>
      </c>
      <c r="I133" s="85" t="s">
        <v>352</v>
      </c>
      <c r="J133" s="13"/>
      <c r="K133" s="13"/>
      <c r="L133" s="13"/>
      <c r="M133" s="85" t="s">
        <v>1494</v>
      </c>
      <c r="N133" s="85" t="s">
        <v>1495</v>
      </c>
    </row>
    <row r="134" ht="15.0" customHeight="1">
      <c r="A134" s="84">
        <v>46174.16070706019</v>
      </c>
      <c r="B134" s="85" t="s">
        <v>367</v>
      </c>
      <c r="C134" s="85">
        <v>11.0</v>
      </c>
      <c r="D134" s="85">
        <v>13.0</v>
      </c>
      <c r="E134" s="85" t="s">
        <v>339</v>
      </c>
      <c r="F134" s="85" t="s">
        <v>368</v>
      </c>
      <c r="G134" s="85" t="s">
        <v>1101</v>
      </c>
      <c r="H134" s="85" t="s">
        <v>1102</v>
      </c>
      <c r="I134" s="85" t="s">
        <v>352</v>
      </c>
      <c r="J134" s="13"/>
      <c r="K134" s="13"/>
      <c r="L134" s="13"/>
      <c r="M134" s="85" t="s">
        <v>1494</v>
      </c>
      <c r="N134" s="85" t="s">
        <v>1495</v>
      </c>
    </row>
    <row r="135" ht="15.0" customHeight="1">
      <c r="A135" s="84">
        <v>46174.16070706019</v>
      </c>
      <c r="B135" s="85" t="s">
        <v>367</v>
      </c>
      <c r="C135" s="85">
        <v>11.0</v>
      </c>
      <c r="D135" s="85">
        <v>13.0</v>
      </c>
      <c r="E135" s="85" t="s">
        <v>339</v>
      </c>
      <c r="F135" s="85" t="s">
        <v>368</v>
      </c>
      <c r="G135" s="85" t="s">
        <v>1104</v>
      </c>
      <c r="H135" s="85" t="s">
        <v>1106</v>
      </c>
      <c r="I135" s="85" t="s">
        <v>352</v>
      </c>
      <c r="J135" s="13"/>
      <c r="K135" s="13"/>
      <c r="L135" s="13"/>
      <c r="M135" s="85" t="s">
        <v>1494</v>
      </c>
      <c r="N135" s="85" t="s">
        <v>1495</v>
      </c>
    </row>
    <row r="136" ht="15.0" customHeight="1">
      <c r="A136" s="84">
        <v>46174.16070706019</v>
      </c>
      <c r="B136" s="85" t="s">
        <v>367</v>
      </c>
      <c r="C136" s="85">
        <v>11.0</v>
      </c>
      <c r="D136" s="85">
        <v>13.0</v>
      </c>
      <c r="E136" s="85" t="s">
        <v>339</v>
      </c>
      <c r="F136" s="85" t="s">
        <v>368</v>
      </c>
      <c r="G136" s="85" t="s">
        <v>1108</v>
      </c>
      <c r="H136" s="85" t="s">
        <v>1109</v>
      </c>
      <c r="I136" s="85" t="s">
        <v>352</v>
      </c>
      <c r="J136" s="13"/>
      <c r="K136" s="13"/>
      <c r="L136" s="13"/>
      <c r="M136" s="85" t="s">
        <v>1494</v>
      </c>
      <c r="N136" s="85" t="s">
        <v>1495</v>
      </c>
    </row>
    <row r="137" ht="15.0" customHeight="1">
      <c r="A137" s="84">
        <v>46174.16070706019</v>
      </c>
      <c r="B137" s="85" t="s">
        <v>367</v>
      </c>
      <c r="C137" s="85">
        <v>11.0</v>
      </c>
      <c r="D137" s="85">
        <v>13.0</v>
      </c>
      <c r="E137" s="85" t="s">
        <v>339</v>
      </c>
      <c r="F137" s="85" t="s">
        <v>368</v>
      </c>
      <c r="G137" s="85" t="s">
        <v>1111</v>
      </c>
      <c r="H137" s="85" t="s">
        <v>1113</v>
      </c>
      <c r="I137" s="85" t="s">
        <v>352</v>
      </c>
      <c r="J137" s="13"/>
      <c r="K137" s="13"/>
      <c r="L137" s="13"/>
      <c r="M137" s="85" t="s">
        <v>1494</v>
      </c>
      <c r="N137" s="85" t="s">
        <v>1495</v>
      </c>
    </row>
    <row r="138" ht="15.0" customHeight="1">
      <c r="A138" s="84">
        <v>46174.16070706019</v>
      </c>
      <c r="B138" s="85" t="s">
        <v>367</v>
      </c>
      <c r="C138" s="85">
        <v>11.0</v>
      </c>
      <c r="D138" s="85">
        <v>13.0</v>
      </c>
      <c r="E138" s="85" t="s">
        <v>339</v>
      </c>
      <c r="F138" s="85" t="s">
        <v>368</v>
      </c>
      <c r="G138" s="85" t="s">
        <v>1115</v>
      </c>
      <c r="H138" s="85" t="s">
        <v>1116</v>
      </c>
      <c r="I138" s="85" t="s">
        <v>352</v>
      </c>
      <c r="J138" s="13"/>
      <c r="K138" s="13"/>
      <c r="L138" s="13"/>
      <c r="M138" s="85" t="s">
        <v>1494</v>
      </c>
      <c r="N138" s="85" t="s">
        <v>1495</v>
      </c>
    </row>
    <row r="139" ht="15.0" customHeight="1">
      <c r="A139" s="84">
        <v>46174.16070706019</v>
      </c>
      <c r="B139" s="85" t="s">
        <v>367</v>
      </c>
      <c r="C139" s="85">
        <v>11.0</v>
      </c>
      <c r="D139" s="85">
        <v>13.0</v>
      </c>
      <c r="E139" s="85" t="s">
        <v>339</v>
      </c>
      <c r="F139" s="85" t="s">
        <v>368</v>
      </c>
      <c r="G139" s="85" t="s">
        <v>1118</v>
      </c>
      <c r="H139" s="85" t="s">
        <v>1120</v>
      </c>
      <c r="I139" s="85" t="s">
        <v>352</v>
      </c>
      <c r="J139" s="13"/>
      <c r="K139" s="13"/>
      <c r="L139" s="13"/>
      <c r="M139" s="85" t="s">
        <v>1494</v>
      </c>
      <c r="N139" s="85" t="s">
        <v>1495</v>
      </c>
    </row>
    <row r="140" ht="15.0" customHeight="1">
      <c r="A140" s="84">
        <v>46174.16070706019</v>
      </c>
      <c r="B140" s="85" t="s">
        <v>367</v>
      </c>
      <c r="C140" s="85">
        <v>11.0</v>
      </c>
      <c r="D140" s="85">
        <v>13.0</v>
      </c>
      <c r="E140" s="85" t="s">
        <v>339</v>
      </c>
      <c r="F140" s="85" t="s">
        <v>368</v>
      </c>
      <c r="G140" s="85" t="s">
        <v>1122</v>
      </c>
      <c r="H140" s="85" t="s">
        <v>1123</v>
      </c>
      <c r="I140" s="85" t="s">
        <v>352</v>
      </c>
      <c r="J140" s="13"/>
      <c r="K140" s="13"/>
      <c r="L140" s="13"/>
      <c r="M140" s="85" t="s">
        <v>1494</v>
      </c>
      <c r="N140" s="85" t="s">
        <v>1495</v>
      </c>
    </row>
    <row r="141" ht="15.0" customHeight="1">
      <c r="A141" s="84">
        <v>46174.16070706019</v>
      </c>
      <c r="B141" s="85" t="s">
        <v>367</v>
      </c>
      <c r="C141" s="85">
        <v>11.0</v>
      </c>
      <c r="D141" s="85">
        <v>13.0</v>
      </c>
      <c r="E141" s="85" t="s">
        <v>339</v>
      </c>
      <c r="F141" s="85" t="s">
        <v>368</v>
      </c>
      <c r="G141" s="85" t="s">
        <v>1125</v>
      </c>
      <c r="H141" s="85" t="s">
        <v>1126</v>
      </c>
      <c r="I141" s="85" t="s">
        <v>352</v>
      </c>
      <c r="J141" s="13"/>
      <c r="K141" s="13"/>
      <c r="L141" s="13"/>
      <c r="M141" s="85" t="s">
        <v>1494</v>
      </c>
      <c r="N141" s="85" t="s">
        <v>1495</v>
      </c>
    </row>
    <row r="142" ht="15.0" hidden="1" customHeight="1">
      <c r="A142" s="84">
        <v>46174.1630703125</v>
      </c>
      <c r="B142" s="85" t="s">
        <v>371</v>
      </c>
      <c r="C142" s="85">
        <v>10.0</v>
      </c>
      <c r="D142" s="85">
        <v>10.0</v>
      </c>
      <c r="E142" s="85" t="s">
        <v>339</v>
      </c>
      <c r="F142" s="85" t="s">
        <v>372</v>
      </c>
      <c r="G142" s="85" t="s">
        <v>806</v>
      </c>
      <c r="H142" s="85" t="s">
        <v>808</v>
      </c>
      <c r="I142" s="85" t="s">
        <v>334</v>
      </c>
      <c r="J142" s="13"/>
      <c r="K142" s="13"/>
      <c r="L142" s="13"/>
      <c r="M142" s="85" t="s">
        <v>1496</v>
      </c>
      <c r="N142" s="85" t="s">
        <v>1497</v>
      </c>
    </row>
    <row r="143" ht="15.0" hidden="1" customHeight="1">
      <c r="A143" s="84">
        <v>46174.1630703125</v>
      </c>
      <c r="B143" s="85" t="s">
        <v>371</v>
      </c>
      <c r="C143" s="85">
        <v>10.0</v>
      </c>
      <c r="D143" s="85">
        <v>10.0</v>
      </c>
      <c r="E143" s="85" t="s">
        <v>339</v>
      </c>
      <c r="F143" s="85" t="s">
        <v>372</v>
      </c>
      <c r="G143" s="85" t="s">
        <v>810</v>
      </c>
      <c r="H143" s="85" t="s">
        <v>811</v>
      </c>
      <c r="I143" s="85" t="s">
        <v>334</v>
      </c>
      <c r="J143" s="13"/>
      <c r="K143" s="13"/>
      <c r="L143" s="13"/>
      <c r="M143" s="85" t="s">
        <v>1496</v>
      </c>
      <c r="N143" s="85" t="s">
        <v>1497</v>
      </c>
    </row>
    <row r="144" ht="15.0" hidden="1" customHeight="1">
      <c r="A144" s="84">
        <v>46174.1630703125</v>
      </c>
      <c r="B144" s="85" t="s">
        <v>371</v>
      </c>
      <c r="C144" s="85">
        <v>10.0</v>
      </c>
      <c r="D144" s="85">
        <v>10.0</v>
      </c>
      <c r="E144" s="85" t="s">
        <v>339</v>
      </c>
      <c r="F144" s="85" t="s">
        <v>372</v>
      </c>
      <c r="G144" s="85" t="s">
        <v>813</v>
      </c>
      <c r="H144" s="85" t="s">
        <v>814</v>
      </c>
      <c r="I144" s="85" t="s">
        <v>334</v>
      </c>
      <c r="J144" s="13"/>
      <c r="K144" s="13"/>
      <c r="L144" s="13"/>
      <c r="M144" s="85" t="s">
        <v>1496</v>
      </c>
      <c r="N144" s="85" t="s">
        <v>1497</v>
      </c>
    </row>
    <row r="145" ht="15.0" hidden="1" customHeight="1">
      <c r="A145" s="84">
        <v>46174.1630703125</v>
      </c>
      <c r="B145" s="85" t="s">
        <v>371</v>
      </c>
      <c r="C145" s="85">
        <v>10.0</v>
      </c>
      <c r="D145" s="85">
        <v>10.0</v>
      </c>
      <c r="E145" s="85" t="s">
        <v>339</v>
      </c>
      <c r="F145" s="85" t="s">
        <v>372</v>
      </c>
      <c r="G145" s="85" t="s">
        <v>816</v>
      </c>
      <c r="H145" s="85" t="s">
        <v>817</v>
      </c>
      <c r="I145" s="85" t="s">
        <v>334</v>
      </c>
      <c r="J145" s="13"/>
      <c r="K145" s="13"/>
      <c r="L145" s="13"/>
      <c r="M145" s="85" t="s">
        <v>1496</v>
      </c>
      <c r="N145" s="85" t="s">
        <v>1497</v>
      </c>
    </row>
    <row r="146" ht="15.0" hidden="1" customHeight="1">
      <c r="A146" s="84">
        <v>46174.1630703125</v>
      </c>
      <c r="B146" s="85" t="s">
        <v>371</v>
      </c>
      <c r="C146" s="85">
        <v>10.0</v>
      </c>
      <c r="D146" s="85">
        <v>10.0</v>
      </c>
      <c r="E146" s="85" t="s">
        <v>339</v>
      </c>
      <c r="F146" s="85" t="s">
        <v>372</v>
      </c>
      <c r="G146" s="85" t="s">
        <v>819</v>
      </c>
      <c r="H146" s="85" t="s">
        <v>820</v>
      </c>
      <c r="I146" s="85" t="s">
        <v>334</v>
      </c>
      <c r="J146" s="13"/>
      <c r="K146" s="13"/>
      <c r="L146" s="13"/>
      <c r="M146" s="85" t="s">
        <v>1496</v>
      </c>
      <c r="N146" s="85" t="s">
        <v>1497</v>
      </c>
    </row>
    <row r="147" ht="15.0" hidden="1" customHeight="1">
      <c r="A147" s="84">
        <v>46174.1630703125</v>
      </c>
      <c r="B147" s="85" t="s">
        <v>371</v>
      </c>
      <c r="C147" s="85">
        <v>10.0</v>
      </c>
      <c r="D147" s="85">
        <v>10.0</v>
      </c>
      <c r="E147" s="85" t="s">
        <v>339</v>
      </c>
      <c r="F147" s="85" t="s">
        <v>372</v>
      </c>
      <c r="G147" s="85" t="s">
        <v>822</v>
      </c>
      <c r="H147" s="85" t="s">
        <v>823</v>
      </c>
      <c r="I147" s="85" t="s">
        <v>334</v>
      </c>
      <c r="J147" s="13"/>
      <c r="K147" s="13"/>
      <c r="L147" s="13"/>
      <c r="M147" s="85" t="s">
        <v>1496</v>
      </c>
      <c r="N147" s="85" t="s">
        <v>1497</v>
      </c>
    </row>
    <row r="148" ht="15.0" hidden="1" customHeight="1">
      <c r="A148" s="84">
        <v>46174.1630703125</v>
      </c>
      <c r="B148" s="85" t="s">
        <v>371</v>
      </c>
      <c r="C148" s="85">
        <v>10.0</v>
      </c>
      <c r="D148" s="85">
        <v>10.0</v>
      </c>
      <c r="E148" s="85" t="s">
        <v>339</v>
      </c>
      <c r="F148" s="85" t="s">
        <v>372</v>
      </c>
      <c r="G148" s="85" t="s">
        <v>825</v>
      </c>
      <c r="H148" s="85" t="s">
        <v>826</v>
      </c>
      <c r="I148" s="85" t="s">
        <v>334</v>
      </c>
      <c r="J148" s="13"/>
      <c r="K148" s="13"/>
      <c r="L148" s="13"/>
      <c r="M148" s="85" t="s">
        <v>1496</v>
      </c>
      <c r="N148" s="85" t="s">
        <v>1497</v>
      </c>
    </row>
    <row r="149" ht="15.0" hidden="1" customHeight="1">
      <c r="A149" s="84">
        <v>46174.1630703125</v>
      </c>
      <c r="B149" s="85" t="s">
        <v>371</v>
      </c>
      <c r="C149" s="85">
        <v>10.0</v>
      </c>
      <c r="D149" s="85">
        <v>10.0</v>
      </c>
      <c r="E149" s="85" t="s">
        <v>339</v>
      </c>
      <c r="F149" s="85" t="s">
        <v>372</v>
      </c>
      <c r="G149" s="85" t="s">
        <v>828</v>
      </c>
      <c r="H149" s="85" t="s">
        <v>830</v>
      </c>
      <c r="I149" s="85" t="s">
        <v>373</v>
      </c>
      <c r="J149" s="13"/>
      <c r="K149" s="13"/>
      <c r="L149" s="13"/>
      <c r="M149" s="85" t="s">
        <v>1496</v>
      </c>
      <c r="N149" s="85" t="s">
        <v>1497</v>
      </c>
    </row>
    <row r="150" ht="15.0" hidden="1" customHeight="1">
      <c r="A150" s="84">
        <v>46174.1630703125</v>
      </c>
      <c r="B150" s="85" t="s">
        <v>371</v>
      </c>
      <c r="C150" s="85">
        <v>10.0</v>
      </c>
      <c r="D150" s="85">
        <v>10.0</v>
      </c>
      <c r="E150" s="85" t="s">
        <v>339</v>
      </c>
      <c r="F150" s="85" t="s">
        <v>372</v>
      </c>
      <c r="G150" s="85" t="s">
        <v>832</v>
      </c>
      <c r="H150" s="85" t="s">
        <v>833</v>
      </c>
      <c r="I150" s="85" t="s">
        <v>373</v>
      </c>
      <c r="J150" s="13"/>
      <c r="K150" s="13"/>
      <c r="L150" s="13"/>
      <c r="M150" s="85" t="s">
        <v>1496</v>
      </c>
      <c r="N150" s="85" t="s">
        <v>1497</v>
      </c>
    </row>
    <row r="151" ht="15.0" hidden="1" customHeight="1">
      <c r="A151" s="84">
        <v>46174.1630703125</v>
      </c>
      <c r="B151" s="85" t="s">
        <v>371</v>
      </c>
      <c r="C151" s="85">
        <v>10.0</v>
      </c>
      <c r="D151" s="85">
        <v>10.0</v>
      </c>
      <c r="E151" s="85" t="s">
        <v>339</v>
      </c>
      <c r="F151" s="85" t="s">
        <v>372</v>
      </c>
      <c r="G151" s="85" t="s">
        <v>835</v>
      </c>
      <c r="H151" s="85" t="s">
        <v>836</v>
      </c>
      <c r="I151" s="85" t="s">
        <v>373</v>
      </c>
      <c r="J151" s="13"/>
      <c r="K151" s="13"/>
      <c r="L151" s="13"/>
      <c r="M151" s="85" t="s">
        <v>1496</v>
      </c>
      <c r="N151" s="85" t="s">
        <v>1497</v>
      </c>
    </row>
    <row r="152" ht="15.0" hidden="1" customHeight="1">
      <c r="A152" s="84">
        <v>46174.1630703125</v>
      </c>
      <c r="B152" s="85" t="s">
        <v>371</v>
      </c>
      <c r="C152" s="85">
        <v>10.0</v>
      </c>
      <c r="D152" s="85">
        <v>10.0</v>
      </c>
      <c r="E152" s="85" t="s">
        <v>339</v>
      </c>
      <c r="F152" s="85" t="s">
        <v>372</v>
      </c>
      <c r="G152" s="85" t="s">
        <v>838</v>
      </c>
      <c r="H152" s="85" t="s">
        <v>840</v>
      </c>
      <c r="I152" s="85" t="s">
        <v>373</v>
      </c>
      <c r="J152" s="13"/>
      <c r="K152" s="13"/>
      <c r="L152" s="13"/>
      <c r="M152" s="85" t="s">
        <v>1496</v>
      </c>
      <c r="N152" s="85" t="s">
        <v>1497</v>
      </c>
    </row>
    <row r="153" ht="15.0" hidden="1" customHeight="1">
      <c r="A153" s="84">
        <v>46174.1630703125</v>
      </c>
      <c r="B153" s="85" t="s">
        <v>371</v>
      </c>
      <c r="C153" s="85">
        <v>10.0</v>
      </c>
      <c r="D153" s="85">
        <v>10.0</v>
      </c>
      <c r="E153" s="85" t="s">
        <v>339</v>
      </c>
      <c r="F153" s="85" t="s">
        <v>372</v>
      </c>
      <c r="G153" s="85" t="s">
        <v>842</v>
      </c>
      <c r="H153" s="85" t="s">
        <v>843</v>
      </c>
      <c r="I153" s="85" t="s">
        <v>334</v>
      </c>
      <c r="J153" s="13"/>
      <c r="K153" s="13"/>
      <c r="L153" s="13"/>
      <c r="M153" s="85" t="s">
        <v>1496</v>
      </c>
      <c r="N153" s="85" t="s">
        <v>1497</v>
      </c>
    </row>
    <row r="154" ht="15.0" hidden="1" customHeight="1">
      <c r="A154" s="84">
        <v>46174.1630703125</v>
      </c>
      <c r="B154" s="85" t="s">
        <v>371</v>
      </c>
      <c r="C154" s="85">
        <v>10.0</v>
      </c>
      <c r="D154" s="85">
        <v>10.0</v>
      </c>
      <c r="E154" s="85" t="s">
        <v>339</v>
      </c>
      <c r="F154" s="85" t="s">
        <v>372</v>
      </c>
      <c r="G154" s="85" t="s">
        <v>845</v>
      </c>
      <c r="H154" s="85" t="s">
        <v>846</v>
      </c>
      <c r="I154" s="85" t="s">
        <v>334</v>
      </c>
      <c r="J154" s="13"/>
      <c r="K154" s="13"/>
      <c r="L154" s="13"/>
      <c r="M154" s="85" t="s">
        <v>1496</v>
      </c>
      <c r="N154" s="85" t="s">
        <v>1497</v>
      </c>
    </row>
    <row r="155" ht="15.0" hidden="1" customHeight="1">
      <c r="A155" s="84">
        <v>46174.1630703125</v>
      </c>
      <c r="B155" s="85" t="s">
        <v>371</v>
      </c>
      <c r="C155" s="85">
        <v>10.0</v>
      </c>
      <c r="D155" s="85">
        <v>10.0</v>
      </c>
      <c r="E155" s="85" t="s">
        <v>339</v>
      </c>
      <c r="F155" s="85" t="s">
        <v>372</v>
      </c>
      <c r="G155" s="85" t="s">
        <v>848</v>
      </c>
      <c r="H155" s="85" t="s">
        <v>849</v>
      </c>
      <c r="I155" s="85" t="s">
        <v>334</v>
      </c>
      <c r="J155" s="13"/>
      <c r="K155" s="13"/>
      <c r="L155" s="13"/>
      <c r="M155" s="85" t="s">
        <v>1496</v>
      </c>
      <c r="N155" s="85" t="s">
        <v>1497</v>
      </c>
    </row>
    <row r="156" ht="15.0" hidden="1" customHeight="1">
      <c r="A156" s="84">
        <v>46174.1630703125</v>
      </c>
      <c r="B156" s="85" t="s">
        <v>371</v>
      </c>
      <c r="C156" s="85">
        <v>10.0</v>
      </c>
      <c r="D156" s="85">
        <v>10.0</v>
      </c>
      <c r="E156" s="85" t="s">
        <v>339</v>
      </c>
      <c r="F156" s="85" t="s">
        <v>372</v>
      </c>
      <c r="G156" s="85" t="s">
        <v>851</v>
      </c>
      <c r="H156" s="85" t="s">
        <v>852</v>
      </c>
      <c r="I156" s="85" t="s">
        <v>334</v>
      </c>
      <c r="J156" s="13"/>
      <c r="K156" s="13"/>
      <c r="L156" s="13"/>
      <c r="M156" s="85" t="s">
        <v>1496</v>
      </c>
      <c r="N156" s="85" t="s">
        <v>1497</v>
      </c>
    </row>
    <row r="157" ht="15.0" hidden="1" customHeight="1">
      <c r="A157" s="84">
        <v>46174.1630703125</v>
      </c>
      <c r="B157" s="85" t="s">
        <v>371</v>
      </c>
      <c r="C157" s="85">
        <v>10.0</v>
      </c>
      <c r="D157" s="85">
        <v>10.0</v>
      </c>
      <c r="E157" s="85" t="s">
        <v>339</v>
      </c>
      <c r="F157" s="85" t="s">
        <v>372</v>
      </c>
      <c r="G157" s="85" t="s">
        <v>854</v>
      </c>
      <c r="H157" s="85" t="s">
        <v>855</v>
      </c>
      <c r="I157" s="85" t="s">
        <v>334</v>
      </c>
      <c r="J157" s="13"/>
      <c r="K157" s="13"/>
      <c r="L157" s="13"/>
      <c r="M157" s="85" t="s">
        <v>1496</v>
      </c>
      <c r="N157" s="85" t="s">
        <v>1497</v>
      </c>
    </row>
    <row r="158" ht="15.0" hidden="1" customHeight="1">
      <c r="A158" s="84">
        <v>46174.1630703125</v>
      </c>
      <c r="B158" s="85" t="s">
        <v>371</v>
      </c>
      <c r="C158" s="85">
        <v>10.0</v>
      </c>
      <c r="D158" s="85">
        <v>10.0</v>
      </c>
      <c r="E158" s="85" t="s">
        <v>339</v>
      </c>
      <c r="F158" s="85" t="s">
        <v>372</v>
      </c>
      <c r="G158" s="85" t="s">
        <v>857</v>
      </c>
      <c r="H158" s="85" t="s">
        <v>858</v>
      </c>
      <c r="I158" s="85" t="s">
        <v>334</v>
      </c>
      <c r="J158" s="13"/>
      <c r="K158" s="13"/>
      <c r="L158" s="13"/>
      <c r="M158" s="85" t="s">
        <v>1496</v>
      </c>
      <c r="N158" s="85" t="s">
        <v>1497</v>
      </c>
    </row>
    <row r="159" ht="15.0" hidden="1" customHeight="1">
      <c r="A159" s="84">
        <v>46174.1630703125</v>
      </c>
      <c r="B159" s="85" t="s">
        <v>371</v>
      </c>
      <c r="C159" s="85">
        <v>10.0</v>
      </c>
      <c r="D159" s="85">
        <v>10.0</v>
      </c>
      <c r="E159" s="85" t="s">
        <v>339</v>
      </c>
      <c r="F159" s="85" t="s">
        <v>372</v>
      </c>
      <c r="G159" s="85" t="s">
        <v>860</v>
      </c>
      <c r="H159" s="85" t="s">
        <v>861</v>
      </c>
      <c r="I159" s="85" t="s">
        <v>334</v>
      </c>
      <c r="J159" s="13"/>
      <c r="K159" s="13"/>
      <c r="L159" s="13"/>
      <c r="M159" s="85" t="s">
        <v>1496</v>
      </c>
      <c r="N159" s="85" t="s">
        <v>1497</v>
      </c>
    </row>
    <row r="160" ht="15.0" hidden="1" customHeight="1">
      <c r="A160" s="84">
        <v>46174.1630703125</v>
      </c>
      <c r="B160" s="85" t="s">
        <v>371</v>
      </c>
      <c r="C160" s="85">
        <v>10.0</v>
      </c>
      <c r="D160" s="85">
        <v>10.0</v>
      </c>
      <c r="E160" s="85" t="s">
        <v>339</v>
      </c>
      <c r="F160" s="85" t="s">
        <v>372</v>
      </c>
      <c r="G160" s="85" t="s">
        <v>863</v>
      </c>
      <c r="H160" s="85" t="s">
        <v>865</v>
      </c>
      <c r="I160" s="85" t="s">
        <v>334</v>
      </c>
      <c r="J160" s="13"/>
      <c r="K160" s="13"/>
      <c r="L160" s="13"/>
      <c r="M160" s="85" t="s">
        <v>1496</v>
      </c>
      <c r="N160" s="85" t="s">
        <v>1497</v>
      </c>
    </row>
    <row r="161" ht="15.0" hidden="1" customHeight="1">
      <c r="A161" s="84">
        <v>46174.1630703125</v>
      </c>
      <c r="B161" s="85" t="s">
        <v>371</v>
      </c>
      <c r="C161" s="85">
        <v>10.0</v>
      </c>
      <c r="D161" s="85">
        <v>10.0</v>
      </c>
      <c r="E161" s="85" t="s">
        <v>339</v>
      </c>
      <c r="F161" s="85" t="s">
        <v>372</v>
      </c>
      <c r="G161" s="85" t="s">
        <v>867</v>
      </c>
      <c r="H161" s="85" t="s">
        <v>868</v>
      </c>
      <c r="I161" s="85" t="s">
        <v>334</v>
      </c>
      <c r="J161" s="13"/>
      <c r="K161" s="13"/>
      <c r="L161" s="13"/>
      <c r="M161" s="85" t="s">
        <v>1496</v>
      </c>
      <c r="N161" s="85" t="s">
        <v>1497</v>
      </c>
    </row>
    <row r="162" ht="15.0" hidden="1" customHeight="1">
      <c r="A162" s="84">
        <v>46174.1630703125</v>
      </c>
      <c r="B162" s="85" t="s">
        <v>371</v>
      </c>
      <c r="C162" s="85">
        <v>10.0</v>
      </c>
      <c r="D162" s="85">
        <v>10.0</v>
      </c>
      <c r="E162" s="85" t="s">
        <v>339</v>
      </c>
      <c r="F162" s="85" t="s">
        <v>372</v>
      </c>
      <c r="G162" s="85" t="s">
        <v>870</v>
      </c>
      <c r="H162" s="85" t="s">
        <v>871</v>
      </c>
      <c r="I162" s="85" t="s">
        <v>334</v>
      </c>
      <c r="J162" s="13"/>
      <c r="K162" s="13"/>
      <c r="L162" s="13"/>
      <c r="M162" s="85" t="s">
        <v>1496</v>
      </c>
      <c r="N162" s="85" t="s">
        <v>1497</v>
      </c>
    </row>
    <row r="163" ht="15.0" hidden="1" customHeight="1">
      <c r="A163" s="84">
        <v>46174.1630703125</v>
      </c>
      <c r="B163" s="85" t="s">
        <v>371</v>
      </c>
      <c r="C163" s="85">
        <v>10.0</v>
      </c>
      <c r="D163" s="85">
        <v>10.0</v>
      </c>
      <c r="E163" s="85" t="s">
        <v>339</v>
      </c>
      <c r="F163" s="85" t="s">
        <v>372</v>
      </c>
      <c r="G163" s="85" t="s">
        <v>873</v>
      </c>
      <c r="H163" s="85" t="s">
        <v>874</v>
      </c>
      <c r="I163" s="85" t="s">
        <v>334</v>
      </c>
      <c r="J163" s="13"/>
      <c r="K163" s="13"/>
      <c r="L163" s="13"/>
      <c r="M163" s="85" t="s">
        <v>1496</v>
      </c>
      <c r="N163" s="85" t="s">
        <v>1497</v>
      </c>
    </row>
    <row r="164" ht="15.0" hidden="1" customHeight="1">
      <c r="A164" s="84">
        <v>46174.17251875</v>
      </c>
      <c r="B164" s="85" t="s">
        <v>377</v>
      </c>
      <c r="C164" s="85">
        <v>9.0</v>
      </c>
      <c r="D164" s="85">
        <v>5.0</v>
      </c>
      <c r="E164" s="85" t="s">
        <v>378</v>
      </c>
      <c r="F164" s="85" t="s">
        <v>379</v>
      </c>
      <c r="G164" s="85" t="s">
        <v>1128</v>
      </c>
      <c r="H164" s="85" t="s">
        <v>1129</v>
      </c>
      <c r="I164" s="85" t="s">
        <v>334</v>
      </c>
      <c r="J164" s="13"/>
      <c r="K164" s="13"/>
      <c r="L164" s="13"/>
      <c r="M164" s="13"/>
      <c r="N164" s="85" t="s">
        <v>1498</v>
      </c>
    </row>
    <row r="165" ht="15.0" hidden="1" customHeight="1">
      <c r="A165" s="84">
        <v>46174.17251875</v>
      </c>
      <c r="B165" s="85" t="s">
        <v>377</v>
      </c>
      <c r="C165" s="85">
        <v>9.0</v>
      </c>
      <c r="D165" s="85">
        <v>5.0</v>
      </c>
      <c r="E165" s="85" t="s">
        <v>378</v>
      </c>
      <c r="F165" s="85" t="s">
        <v>379</v>
      </c>
      <c r="G165" s="85" t="s">
        <v>1131</v>
      </c>
      <c r="H165" s="85" t="s">
        <v>1132</v>
      </c>
      <c r="I165" s="85" t="s">
        <v>334</v>
      </c>
      <c r="J165" s="13"/>
      <c r="K165" s="13"/>
      <c r="L165" s="13"/>
      <c r="M165" s="13"/>
      <c r="N165" s="85" t="s">
        <v>1498</v>
      </c>
    </row>
    <row r="166" ht="15.0" hidden="1" customHeight="1">
      <c r="A166" s="84">
        <v>46174.17251875</v>
      </c>
      <c r="B166" s="85" t="s">
        <v>377</v>
      </c>
      <c r="C166" s="85">
        <v>9.0</v>
      </c>
      <c r="D166" s="85">
        <v>5.0</v>
      </c>
      <c r="E166" s="85" t="s">
        <v>378</v>
      </c>
      <c r="F166" s="85" t="s">
        <v>379</v>
      </c>
      <c r="G166" s="85" t="s">
        <v>1134</v>
      </c>
      <c r="H166" s="85" t="s">
        <v>1135</v>
      </c>
      <c r="I166" s="85" t="s">
        <v>334</v>
      </c>
      <c r="J166" s="13"/>
      <c r="K166" s="13"/>
      <c r="L166" s="13"/>
      <c r="M166" s="13"/>
      <c r="N166" s="85" t="s">
        <v>1498</v>
      </c>
    </row>
    <row r="167" ht="15.0" hidden="1" customHeight="1">
      <c r="A167" s="84">
        <v>46174.17251875</v>
      </c>
      <c r="B167" s="85" t="s">
        <v>377</v>
      </c>
      <c r="C167" s="85">
        <v>9.0</v>
      </c>
      <c r="D167" s="85">
        <v>5.0</v>
      </c>
      <c r="E167" s="85" t="s">
        <v>378</v>
      </c>
      <c r="F167" s="85" t="s">
        <v>379</v>
      </c>
      <c r="G167" s="85" t="s">
        <v>1137</v>
      </c>
      <c r="H167" s="85" t="s">
        <v>1138</v>
      </c>
      <c r="I167" s="85" t="s">
        <v>334</v>
      </c>
      <c r="J167" s="13"/>
      <c r="K167" s="13"/>
      <c r="L167" s="13"/>
      <c r="M167" s="13"/>
      <c r="N167" s="85" t="s">
        <v>1498</v>
      </c>
    </row>
    <row r="168" ht="15.0" hidden="1" customHeight="1">
      <c r="A168" s="84">
        <v>46174.17251875</v>
      </c>
      <c r="B168" s="85" t="s">
        <v>377</v>
      </c>
      <c r="C168" s="85">
        <v>9.0</v>
      </c>
      <c r="D168" s="85">
        <v>5.0</v>
      </c>
      <c r="E168" s="85" t="s">
        <v>378</v>
      </c>
      <c r="F168" s="85" t="s">
        <v>379</v>
      </c>
      <c r="G168" s="85" t="s">
        <v>1140</v>
      </c>
      <c r="H168" s="85" t="s">
        <v>1141</v>
      </c>
      <c r="I168" s="85" t="s">
        <v>334</v>
      </c>
      <c r="J168" s="13"/>
      <c r="K168" s="13"/>
      <c r="L168" s="13"/>
      <c r="M168" s="13"/>
      <c r="N168" s="85" t="s">
        <v>1498</v>
      </c>
    </row>
    <row r="169" ht="15.0" hidden="1" customHeight="1">
      <c r="A169" s="84">
        <v>46174.17251875</v>
      </c>
      <c r="B169" s="85" t="s">
        <v>377</v>
      </c>
      <c r="C169" s="85">
        <v>9.0</v>
      </c>
      <c r="D169" s="85">
        <v>5.0</v>
      </c>
      <c r="E169" s="85" t="s">
        <v>378</v>
      </c>
      <c r="F169" s="85" t="s">
        <v>379</v>
      </c>
      <c r="G169" s="85" t="s">
        <v>1143</v>
      </c>
      <c r="H169" s="85" t="s">
        <v>1144</v>
      </c>
      <c r="I169" s="85" t="s">
        <v>334</v>
      </c>
      <c r="J169" s="13"/>
      <c r="K169" s="13"/>
      <c r="L169" s="13"/>
      <c r="M169" s="13"/>
      <c r="N169" s="85" t="s">
        <v>1498</v>
      </c>
    </row>
    <row r="170" ht="15.0" hidden="1" customHeight="1">
      <c r="A170" s="84">
        <v>46174.17251875</v>
      </c>
      <c r="B170" s="85" t="s">
        <v>377</v>
      </c>
      <c r="C170" s="85">
        <v>9.0</v>
      </c>
      <c r="D170" s="85">
        <v>5.0</v>
      </c>
      <c r="E170" s="85" t="s">
        <v>378</v>
      </c>
      <c r="F170" s="85" t="s">
        <v>379</v>
      </c>
      <c r="G170" s="85" t="s">
        <v>1146</v>
      </c>
      <c r="H170" s="85" t="s">
        <v>1147</v>
      </c>
      <c r="I170" s="85" t="s">
        <v>334</v>
      </c>
      <c r="J170" s="13"/>
      <c r="K170" s="13"/>
      <c r="L170" s="13"/>
      <c r="M170" s="13"/>
      <c r="N170" s="85" t="s">
        <v>1498</v>
      </c>
    </row>
    <row r="171" ht="15.0" hidden="1" customHeight="1">
      <c r="A171" s="84">
        <v>46174.17251875</v>
      </c>
      <c r="B171" s="85" t="s">
        <v>377</v>
      </c>
      <c r="C171" s="85">
        <v>9.0</v>
      </c>
      <c r="D171" s="85">
        <v>5.0</v>
      </c>
      <c r="E171" s="85" t="s">
        <v>378</v>
      </c>
      <c r="F171" s="85" t="s">
        <v>379</v>
      </c>
      <c r="G171" s="85" t="s">
        <v>1149</v>
      </c>
      <c r="H171" s="85" t="s">
        <v>1151</v>
      </c>
      <c r="I171" s="85" t="s">
        <v>334</v>
      </c>
      <c r="J171" s="13"/>
      <c r="K171" s="13"/>
      <c r="L171" s="13"/>
      <c r="M171" s="13"/>
      <c r="N171" s="85" t="s">
        <v>1498</v>
      </c>
    </row>
    <row r="172" ht="15.0" hidden="1" customHeight="1">
      <c r="A172" s="84">
        <v>46174.17251875</v>
      </c>
      <c r="B172" s="85" t="s">
        <v>377</v>
      </c>
      <c r="C172" s="85">
        <v>9.0</v>
      </c>
      <c r="D172" s="85">
        <v>5.0</v>
      </c>
      <c r="E172" s="85" t="s">
        <v>378</v>
      </c>
      <c r="F172" s="85" t="s">
        <v>379</v>
      </c>
      <c r="G172" s="85" t="s">
        <v>1153</v>
      </c>
      <c r="H172" s="85" t="s">
        <v>1154</v>
      </c>
      <c r="I172" s="85" t="s">
        <v>334</v>
      </c>
      <c r="J172" s="13"/>
      <c r="K172" s="13"/>
      <c r="L172" s="13"/>
      <c r="M172" s="13"/>
      <c r="N172" s="85" t="s">
        <v>1498</v>
      </c>
    </row>
    <row r="173" ht="15.0" hidden="1" customHeight="1">
      <c r="A173" s="84">
        <v>46174.17251875</v>
      </c>
      <c r="B173" s="85" t="s">
        <v>377</v>
      </c>
      <c r="C173" s="85">
        <v>9.0</v>
      </c>
      <c r="D173" s="85">
        <v>5.0</v>
      </c>
      <c r="E173" s="85" t="s">
        <v>378</v>
      </c>
      <c r="F173" s="85" t="s">
        <v>379</v>
      </c>
      <c r="G173" s="85" t="s">
        <v>1156</v>
      </c>
      <c r="H173" s="85" t="s">
        <v>1157</v>
      </c>
      <c r="I173" s="85" t="s">
        <v>334</v>
      </c>
      <c r="J173" s="13"/>
      <c r="K173" s="13"/>
      <c r="L173" s="13"/>
      <c r="M173" s="13"/>
      <c r="N173" s="85" t="s">
        <v>1498</v>
      </c>
    </row>
    <row r="174" ht="15.0" hidden="1" customHeight="1">
      <c r="A174" s="84">
        <v>46174.17251875</v>
      </c>
      <c r="B174" s="85" t="s">
        <v>377</v>
      </c>
      <c r="C174" s="85">
        <v>9.0</v>
      </c>
      <c r="D174" s="85">
        <v>5.0</v>
      </c>
      <c r="E174" s="85" t="s">
        <v>378</v>
      </c>
      <c r="F174" s="85" t="s">
        <v>379</v>
      </c>
      <c r="G174" s="85" t="s">
        <v>1159</v>
      </c>
      <c r="H174" s="85" t="s">
        <v>1160</v>
      </c>
      <c r="I174" s="85" t="s">
        <v>334</v>
      </c>
      <c r="J174" s="13"/>
      <c r="K174" s="13"/>
      <c r="L174" s="13"/>
      <c r="M174" s="13"/>
      <c r="N174" s="85" t="s">
        <v>1498</v>
      </c>
    </row>
    <row r="175" ht="15.0" hidden="1" customHeight="1">
      <c r="A175" s="84">
        <v>46174.17251875</v>
      </c>
      <c r="B175" s="85" t="s">
        <v>377</v>
      </c>
      <c r="C175" s="85">
        <v>9.0</v>
      </c>
      <c r="D175" s="85">
        <v>5.0</v>
      </c>
      <c r="E175" s="85" t="s">
        <v>378</v>
      </c>
      <c r="F175" s="85" t="s">
        <v>379</v>
      </c>
      <c r="G175" s="85" t="s">
        <v>1162</v>
      </c>
      <c r="H175" s="85" t="s">
        <v>1163</v>
      </c>
      <c r="I175" s="85" t="s">
        <v>334</v>
      </c>
      <c r="J175" s="13"/>
      <c r="K175" s="13"/>
      <c r="L175" s="13"/>
      <c r="M175" s="13"/>
      <c r="N175" s="85" t="s">
        <v>1498</v>
      </c>
    </row>
    <row r="176" ht="15.0" hidden="1" customHeight="1">
      <c r="A176" s="84">
        <v>46174.17251875</v>
      </c>
      <c r="B176" s="85" t="s">
        <v>377</v>
      </c>
      <c r="C176" s="85">
        <v>9.0</v>
      </c>
      <c r="D176" s="85">
        <v>5.0</v>
      </c>
      <c r="E176" s="85" t="s">
        <v>378</v>
      </c>
      <c r="F176" s="85" t="s">
        <v>379</v>
      </c>
      <c r="G176" s="85" t="s">
        <v>1165</v>
      </c>
      <c r="H176" s="85" t="s">
        <v>1167</v>
      </c>
      <c r="I176" s="85" t="s">
        <v>334</v>
      </c>
      <c r="J176" s="13"/>
      <c r="K176" s="13"/>
      <c r="L176" s="13"/>
      <c r="M176" s="13"/>
      <c r="N176" s="85" t="s">
        <v>1498</v>
      </c>
    </row>
    <row r="177" ht="15.0" hidden="1" customHeight="1">
      <c r="A177" s="84">
        <v>46174.17251875</v>
      </c>
      <c r="B177" s="85" t="s">
        <v>377</v>
      </c>
      <c r="C177" s="85">
        <v>9.0</v>
      </c>
      <c r="D177" s="85">
        <v>5.0</v>
      </c>
      <c r="E177" s="85" t="s">
        <v>378</v>
      </c>
      <c r="F177" s="85" t="s">
        <v>379</v>
      </c>
      <c r="G177" s="85" t="s">
        <v>1169</v>
      </c>
      <c r="H177" s="85" t="s">
        <v>1170</v>
      </c>
      <c r="I177" s="85" t="s">
        <v>334</v>
      </c>
      <c r="J177" s="13"/>
      <c r="K177" s="13"/>
      <c r="L177" s="13"/>
      <c r="M177" s="13"/>
      <c r="N177" s="85" t="s">
        <v>1498</v>
      </c>
    </row>
    <row r="178" ht="15.0" hidden="1" customHeight="1">
      <c r="A178" s="84">
        <v>46174.17251875</v>
      </c>
      <c r="B178" s="85" t="s">
        <v>377</v>
      </c>
      <c r="C178" s="85">
        <v>9.0</v>
      </c>
      <c r="D178" s="85">
        <v>5.0</v>
      </c>
      <c r="E178" s="85" t="s">
        <v>378</v>
      </c>
      <c r="F178" s="85" t="s">
        <v>379</v>
      </c>
      <c r="G178" s="85" t="s">
        <v>1172</v>
      </c>
      <c r="H178" s="85" t="s">
        <v>1173</v>
      </c>
      <c r="I178" s="85" t="s">
        <v>334</v>
      </c>
      <c r="J178" s="13"/>
      <c r="K178" s="13"/>
      <c r="L178" s="13"/>
      <c r="M178" s="13"/>
      <c r="N178" s="85" t="s">
        <v>1498</v>
      </c>
    </row>
    <row r="179" ht="15.0" hidden="1" customHeight="1">
      <c r="A179" s="84">
        <v>46174.17251875</v>
      </c>
      <c r="B179" s="85" t="s">
        <v>377</v>
      </c>
      <c r="C179" s="85">
        <v>9.0</v>
      </c>
      <c r="D179" s="85">
        <v>5.0</v>
      </c>
      <c r="E179" s="85" t="s">
        <v>378</v>
      </c>
      <c r="F179" s="85" t="s">
        <v>379</v>
      </c>
      <c r="G179" s="85" t="s">
        <v>1175</v>
      </c>
      <c r="H179" s="85" t="s">
        <v>1176</v>
      </c>
      <c r="I179" s="85" t="s">
        <v>334</v>
      </c>
      <c r="J179" s="13"/>
      <c r="K179" s="13"/>
      <c r="L179" s="13"/>
      <c r="M179" s="13"/>
      <c r="N179" s="85" t="s">
        <v>1498</v>
      </c>
    </row>
    <row r="180" ht="15.0" hidden="1" customHeight="1">
      <c r="A180" s="84">
        <v>46174.17251875</v>
      </c>
      <c r="B180" s="85" t="s">
        <v>377</v>
      </c>
      <c r="C180" s="85">
        <v>9.0</v>
      </c>
      <c r="D180" s="85">
        <v>5.0</v>
      </c>
      <c r="E180" s="85" t="s">
        <v>378</v>
      </c>
      <c r="F180" s="85" t="s">
        <v>379</v>
      </c>
      <c r="G180" s="85" t="s">
        <v>1178</v>
      </c>
      <c r="H180" s="85" t="s">
        <v>1179</v>
      </c>
      <c r="I180" s="85" t="s">
        <v>334</v>
      </c>
      <c r="J180" s="13"/>
      <c r="K180" s="13"/>
      <c r="L180" s="13"/>
      <c r="M180" s="13"/>
      <c r="N180" s="85" t="s">
        <v>1498</v>
      </c>
    </row>
    <row r="181" ht="15.0" hidden="1" customHeight="1">
      <c r="A181" s="84">
        <v>46174.17251875</v>
      </c>
      <c r="B181" s="85" t="s">
        <v>377</v>
      </c>
      <c r="C181" s="85">
        <v>9.0</v>
      </c>
      <c r="D181" s="85">
        <v>5.0</v>
      </c>
      <c r="E181" s="85" t="s">
        <v>378</v>
      </c>
      <c r="F181" s="85" t="s">
        <v>379</v>
      </c>
      <c r="G181" s="85" t="s">
        <v>1181</v>
      </c>
      <c r="H181" s="85" t="s">
        <v>1182</v>
      </c>
      <c r="I181" s="85" t="s">
        <v>334</v>
      </c>
      <c r="J181" s="13"/>
      <c r="K181" s="13"/>
      <c r="L181" s="13"/>
      <c r="M181" s="13"/>
      <c r="N181" s="85" t="s">
        <v>1498</v>
      </c>
    </row>
    <row r="182" ht="15.0" hidden="1" customHeight="1">
      <c r="A182" s="84">
        <v>46174.17251875</v>
      </c>
      <c r="B182" s="85" t="s">
        <v>377</v>
      </c>
      <c r="C182" s="85">
        <v>9.0</v>
      </c>
      <c r="D182" s="85">
        <v>5.0</v>
      </c>
      <c r="E182" s="85" t="s">
        <v>378</v>
      </c>
      <c r="F182" s="85" t="s">
        <v>379</v>
      </c>
      <c r="G182" s="85" t="s">
        <v>1184</v>
      </c>
      <c r="H182" s="85" t="s">
        <v>1185</v>
      </c>
      <c r="I182" s="85" t="s">
        <v>334</v>
      </c>
      <c r="J182" s="13"/>
      <c r="K182" s="13"/>
      <c r="L182" s="13"/>
      <c r="M182" s="13"/>
      <c r="N182" s="85" t="s">
        <v>1498</v>
      </c>
    </row>
    <row r="183" ht="15.0" hidden="1" customHeight="1">
      <c r="A183" s="84">
        <v>46174.17251875</v>
      </c>
      <c r="B183" s="85" t="s">
        <v>377</v>
      </c>
      <c r="C183" s="85">
        <v>9.0</v>
      </c>
      <c r="D183" s="85">
        <v>5.0</v>
      </c>
      <c r="E183" s="85" t="s">
        <v>378</v>
      </c>
      <c r="F183" s="85" t="s">
        <v>379</v>
      </c>
      <c r="G183" s="85" t="s">
        <v>1187</v>
      </c>
      <c r="H183" s="85" t="s">
        <v>1188</v>
      </c>
      <c r="I183" s="85" t="s">
        <v>334</v>
      </c>
      <c r="J183" s="13"/>
      <c r="K183" s="13"/>
      <c r="L183" s="13"/>
      <c r="M183" s="13"/>
      <c r="N183" s="85" t="s">
        <v>1498</v>
      </c>
    </row>
    <row r="184" ht="15.0" hidden="1" customHeight="1">
      <c r="A184" s="84">
        <v>46174.17251875</v>
      </c>
      <c r="B184" s="85" t="s">
        <v>377</v>
      </c>
      <c r="C184" s="85">
        <v>9.0</v>
      </c>
      <c r="D184" s="85">
        <v>5.0</v>
      </c>
      <c r="E184" s="85" t="s">
        <v>378</v>
      </c>
      <c r="F184" s="85" t="s">
        <v>379</v>
      </c>
      <c r="G184" s="85" t="s">
        <v>1190</v>
      </c>
      <c r="H184" s="85" t="s">
        <v>1191</v>
      </c>
      <c r="I184" s="85" t="s">
        <v>334</v>
      </c>
      <c r="J184" s="13"/>
      <c r="K184" s="13"/>
      <c r="L184" s="13"/>
      <c r="M184" s="13"/>
      <c r="N184" s="85" t="s">
        <v>1498</v>
      </c>
    </row>
    <row r="185" ht="15.0" hidden="1" customHeight="1">
      <c r="A185" s="84">
        <v>46174.18301127315</v>
      </c>
      <c r="B185" s="85" t="s">
        <v>381</v>
      </c>
      <c r="C185" s="85">
        <v>1.0</v>
      </c>
      <c r="D185" s="85">
        <v>2.0</v>
      </c>
      <c r="E185" s="85" t="s">
        <v>332</v>
      </c>
      <c r="F185" s="85" t="s">
        <v>382</v>
      </c>
      <c r="G185" s="85" t="s">
        <v>667</v>
      </c>
      <c r="H185" s="85" t="s">
        <v>669</v>
      </c>
      <c r="I185" s="85" t="s">
        <v>334</v>
      </c>
      <c r="J185" s="13"/>
      <c r="K185" s="13"/>
      <c r="L185" s="13"/>
      <c r="M185" s="13"/>
      <c r="N185" s="85" t="s">
        <v>1499</v>
      </c>
    </row>
    <row r="186" ht="15.0" hidden="1" customHeight="1">
      <c r="A186" s="84">
        <v>46174.18301127315</v>
      </c>
      <c r="B186" s="85" t="s">
        <v>381</v>
      </c>
      <c r="C186" s="85">
        <v>1.0</v>
      </c>
      <c r="D186" s="85">
        <v>2.0</v>
      </c>
      <c r="E186" s="85" t="s">
        <v>332</v>
      </c>
      <c r="F186" s="85" t="s">
        <v>382</v>
      </c>
      <c r="G186" s="85" t="s">
        <v>671</v>
      </c>
      <c r="H186" s="85" t="s">
        <v>672</v>
      </c>
      <c r="I186" s="85" t="s">
        <v>334</v>
      </c>
      <c r="J186" s="13"/>
      <c r="K186" s="13"/>
      <c r="L186" s="13"/>
      <c r="M186" s="13"/>
      <c r="N186" s="85" t="s">
        <v>1499</v>
      </c>
    </row>
    <row r="187" ht="15.0" hidden="1" customHeight="1">
      <c r="A187" s="84">
        <v>46174.18301127315</v>
      </c>
      <c r="B187" s="85" t="s">
        <v>381</v>
      </c>
      <c r="C187" s="85">
        <v>1.0</v>
      </c>
      <c r="D187" s="85">
        <v>2.0</v>
      </c>
      <c r="E187" s="85" t="s">
        <v>332</v>
      </c>
      <c r="F187" s="85" t="s">
        <v>382</v>
      </c>
      <c r="G187" s="85" t="s">
        <v>673</v>
      </c>
      <c r="H187" s="85" t="s">
        <v>674</v>
      </c>
      <c r="I187" s="85" t="s">
        <v>334</v>
      </c>
      <c r="J187" s="13"/>
      <c r="K187" s="13"/>
      <c r="L187" s="13"/>
      <c r="M187" s="13"/>
      <c r="N187" s="85" t="s">
        <v>1499</v>
      </c>
    </row>
    <row r="188" ht="15.0" hidden="1" customHeight="1">
      <c r="A188" s="84">
        <v>46174.18301127315</v>
      </c>
      <c r="B188" s="85" t="s">
        <v>381</v>
      </c>
      <c r="C188" s="85">
        <v>1.0</v>
      </c>
      <c r="D188" s="85">
        <v>2.0</v>
      </c>
      <c r="E188" s="85" t="s">
        <v>332</v>
      </c>
      <c r="F188" s="85" t="s">
        <v>382</v>
      </c>
      <c r="G188" s="85" t="s">
        <v>676</v>
      </c>
      <c r="H188" s="85" t="s">
        <v>677</v>
      </c>
      <c r="I188" s="85" t="s">
        <v>334</v>
      </c>
      <c r="J188" s="13"/>
      <c r="K188" s="13"/>
      <c r="L188" s="13"/>
      <c r="M188" s="13"/>
      <c r="N188" s="85" t="s">
        <v>1499</v>
      </c>
    </row>
    <row r="189" ht="15.0" hidden="1" customHeight="1">
      <c r="A189" s="84">
        <v>46174.18301127315</v>
      </c>
      <c r="B189" s="85" t="s">
        <v>381</v>
      </c>
      <c r="C189" s="85">
        <v>1.0</v>
      </c>
      <c r="D189" s="85">
        <v>2.0</v>
      </c>
      <c r="E189" s="85" t="s">
        <v>332</v>
      </c>
      <c r="F189" s="85" t="s">
        <v>382</v>
      </c>
      <c r="G189" s="85" t="s">
        <v>678</v>
      </c>
      <c r="H189" s="85" t="s">
        <v>679</v>
      </c>
      <c r="I189" s="85" t="s">
        <v>334</v>
      </c>
      <c r="J189" s="13"/>
      <c r="K189" s="13"/>
      <c r="L189" s="13"/>
      <c r="M189" s="13"/>
      <c r="N189" s="85" t="s">
        <v>1499</v>
      </c>
    </row>
    <row r="190" ht="15.0" hidden="1" customHeight="1">
      <c r="A190" s="84">
        <v>46174.19339305555</v>
      </c>
      <c r="B190" s="85" t="s">
        <v>383</v>
      </c>
      <c r="C190" s="85">
        <v>6.0</v>
      </c>
      <c r="D190" s="85" t="s">
        <v>338</v>
      </c>
      <c r="E190" s="85" t="s">
        <v>351</v>
      </c>
      <c r="F190" s="85" t="s">
        <v>357</v>
      </c>
      <c r="G190" s="85" t="s">
        <v>888</v>
      </c>
      <c r="H190" s="85" t="s">
        <v>889</v>
      </c>
      <c r="I190" s="85" t="s">
        <v>334</v>
      </c>
      <c r="J190" s="13"/>
      <c r="K190" s="13"/>
      <c r="L190" s="13"/>
      <c r="M190" s="13"/>
      <c r="N190" s="85" t="s">
        <v>1490</v>
      </c>
    </row>
    <row r="191" ht="15.0" hidden="1" customHeight="1">
      <c r="A191" s="84">
        <v>46174.211721898144</v>
      </c>
      <c r="B191" s="85" t="s">
        <v>384</v>
      </c>
      <c r="C191" s="85">
        <v>15.0</v>
      </c>
      <c r="D191" s="85">
        <v>40.0</v>
      </c>
      <c r="E191" s="85" t="s">
        <v>345</v>
      </c>
      <c r="F191" s="85" t="s">
        <v>340</v>
      </c>
      <c r="G191" s="85" t="s">
        <v>1372</v>
      </c>
      <c r="H191" s="85" t="s">
        <v>1374</v>
      </c>
      <c r="I191" s="85" t="s">
        <v>334</v>
      </c>
      <c r="J191" s="13"/>
      <c r="K191" s="13"/>
      <c r="L191" s="13"/>
      <c r="M191" s="85" t="s">
        <v>1500</v>
      </c>
      <c r="N191" s="85" t="s">
        <v>1501</v>
      </c>
    </row>
    <row r="192" ht="15.0" customHeight="1">
      <c r="A192" s="84">
        <v>46174.211721898144</v>
      </c>
      <c r="B192" s="85" t="s">
        <v>384</v>
      </c>
      <c r="C192" s="85">
        <v>15.0</v>
      </c>
      <c r="D192" s="85">
        <v>40.0</v>
      </c>
      <c r="E192" s="85" t="s">
        <v>345</v>
      </c>
      <c r="F192" s="85" t="s">
        <v>340</v>
      </c>
      <c r="G192" s="85" t="s">
        <v>1376</v>
      </c>
      <c r="H192" s="85" t="s">
        <v>1377</v>
      </c>
      <c r="I192" s="85" t="s">
        <v>352</v>
      </c>
      <c r="J192" s="13"/>
      <c r="K192" s="13"/>
      <c r="L192" s="13"/>
      <c r="M192" s="85" t="s">
        <v>1500</v>
      </c>
      <c r="N192" s="85" t="s">
        <v>1501</v>
      </c>
    </row>
    <row r="193" ht="15.0" hidden="1" customHeight="1">
      <c r="A193" s="84">
        <v>46174.211721898144</v>
      </c>
      <c r="B193" s="85" t="s">
        <v>384</v>
      </c>
      <c r="C193" s="85">
        <v>15.0</v>
      </c>
      <c r="D193" s="85">
        <v>40.0</v>
      </c>
      <c r="E193" s="85" t="s">
        <v>345</v>
      </c>
      <c r="F193" s="85" t="s">
        <v>340</v>
      </c>
      <c r="G193" s="85" t="s">
        <v>1379</v>
      </c>
      <c r="H193" s="85" t="s">
        <v>1381</v>
      </c>
      <c r="I193" s="85" t="s">
        <v>373</v>
      </c>
      <c r="J193" s="13"/>
      <c r="K193" s="13"/>
      <c r="L193" s="13"/>
      <c r="M193" s="85" t="s">
        <v>1500</v>
      </c>
      <c r="N193" s="85" t="s">
        <v>1501</v>
      </c>
    </row>
    <row r="194" ht="15.0" hidden="1" customHeight="1">
      <c r="A194" s="84">
        <v>46174.211721898144</v>
      </c>
      <c r="B194" s="85" t="s">
        <v>384</v>
      </c>
      <c r="C194" s="85">
        <v>15.0</v>
      </c>
      <c r="D194" s="85">
        <v>40.0</v>
      </c>
      <c r="E194" s="85" t="s">
        <v>345</v>
      </c>
      <c r="F194" s="85" t="s">
        <v>340</v>
      </c>
      <c r="G194" s="85" t="s">
        <v>1383</v>
      </c>
      <c r="H194" s="85" t="s">
        <v>1384</v>
      </c>
      <c r="I194" s="85" t="s">
        <v>385</v>
      </c>
      <c r="J194" s="13"/>
      <c r="K194" s="13"/>
      <c r="L194" s="13"/>
      <c r="M194" s="85" t="s">
        <v>1500</v>
      </c>
      <c r="N194" s="85" t="s">
        <v>1501</v>
      </c>
    </row>
    <row r="195" ht="15.0" hidden="1" customHeight="1">
      <c r="A195" s="84">
        <v>46174.211721898144</v>
      </c>
      <c r="B195" s="85" t="s">
        <v>384</v>
      </c>
      <c r="C195" s="85">
        <v>15.0</v>
      </c>
      <c r="D195" s="85">
        <v>40.0</v>
      </c>
      <c r="E195" s="85" t="s">
        <v>345</v>
      </c>
      <c r="F195" s="85" t="s">
        <v>340</v>
      </c>
      <c r="G195" s="85" t="s">
        <v>1386</v>
      </c>
      <c r="H195" s="85" t="s">
        <v>1387</v>
      </c>
      <c r="I195" s="85" t="s">
        <v>373</v>
      </c>
      <c r="J195" s="13"/>
      <c r="K195" s="13"/>
      <c r="L195" s="13"/>
      <c r="M195" s="85" t="s">
        <v>1500</v>
      </c>
      <c r="N195" s="85" t="s">
        <v>1501</v>
      </c>
    </row>
    <row r="196" ht="15.0" customHeight="1">
      <c r="A196" s="84">
        <v>46174.211721898144</v>
      </c>
      <c r="B196" s="85" t="s">
        <v>384</v>
      </c>
      <c r="C196" s="85">
        <v>15.0</v>
      </c>
      <c r="D196" s="85">
        <v>40.0</v>
      </c>
      <c r="E196" s="85" t="s">
        <v>345</v>
      </c>
      <c r="F196" s="85" t="s">
        <v>340</v>
      </c>
      <c r="G196" s="85" t="s">
        <v>1389</v>
      </c>
      <c r="H196" s="85" t="s">
        <v>1390</v>
      </c>
      <c r="I196" s="85" t="s">
        <v>352</v>
      </c>
      <c r="J196" s="13"/>
      <c r="K196" s="13"/>
      <c r="L196" s="13"/>
      <c r="M196" s="85" t="s">
        <v>1500</v>
      </c>
      <c r="N196" s="85" t="s">
        <v>1501</v>
      </c>
    </row>
    <row r="197" ht="15.0" hidden="1" customHeight="1">
      <c r="A197" s="84">
        <v>46174.211721898144</v>
      </c>
      <c r="B197" s="85" t="s">
        <v>384</v>
      </c>
      <c r="C197" s="85">
        <v>15.0</v>
      </c>
      <c r="D197" s="85">
        <v>40.0</v>
      </c>
      <c r="E197" s="85" t="s">
        <v>345</v>
      </c>
      <c r="F197" s="85" t="s">
        <v>340</v>
      </c>
      <c r="G197" s="85" t="s">
        <v>1392</v>
      </c>
      <c r="H197" s="85" t="s">
        <v>1393</v>
      </c>
      <c r="I197" s="85" t="s">
        <v>334</v>
      </c>
      <c r="J197" s="13"/>
      <c r="K197" s="13"/>
      <c r="L197" s="13"/>
      <c r="M197" s="85" t="s">
        <v>1500</v>
      </c>
      <c r="N197" s="85" t="s">
        <v>1501</v>
      </c>
    </row>
    <row r="198" ht="15.0" customHeight="1">
      <c r="A198" s="84">
        <v>46174.211721898144</v>
      </c>
      <c r="B198" s="85" t="s">
        <v>384</v>
      </c>
      <c r="C198" s="85">
        <v>15.0</v>
      </c>
      <c r="D198" s="85">
        <v>40.0</v>
      </c>
      <c r="E198" s="85" t="s">
        <v>345</v>
      </c>
      <c r="F198" s="85" t="s">
        <v>340</v>
      </c>
      <c r="G198" s="85" t="s">
        <v>1395</v>
      </c>
      <c r="H198" s="85" t="s">
        <v>1397</v>
      </c>
      <c r="I198" s="85" t="s">
        <v>352</v>
      </c>
      <c r="J198" s="13"/>
      <c r="K198" s="13"/>
      <c r="L198" s="13"/>
      <c r="M198" s="85" t="s">
        <v>1500</v>
      </c>
      <c r="N198" s="85" t="s">
        <v>1501</v>
      </c>
    </row>
    <row r="199" ht="15.0" hidden="1" customHeight="1">
      <c r="A199" s="84">
        <v>46174.211721898144</v>
      </c>
      <c r="B199" s="85" t="s">
        <v>384</v>
      </c>
      <c r="C199" s="85">
        <v>15.0</v>
      </c>
      <c r="D199" s="85">
        <v>40.0</v>
      </c>
      <c r="E199" s="85" t="s">
        <v>345</v>
      </c>
      <c r="F199" s="85" t="s">
        <v>340</v>
      </c>
      <c r="G199" s="85" t="s">
        <v>1399</v>
      </c>
      <c r="H199" s="85" t="s">
        <v>1400</v>
      </c>
      <c r="I199" s="85" t="s">
        <v>373</v>
      </c>
      <c r="J199" s="13"/>
      <c r="K199" s="13"/>
      <c r="L199" s="13"/>
      <c r="M199" s="85" t="s">
        <v>1500</v>
      </c>
      <c r="N199" s="85" t="s">
        <v>1501</v>
      </c>
    </row>
    <row r="200" ht="15.0" hidden="1" customHeight="1">
      <c r="A200" s="84">
        <v>46174.211721898144</v>
      </c>
      <c r="B200" s="85" t="s">
        <v>384</v>
      </c>
      <c r="C200" s="85">
        <v>15.0</v>
      </c>
      <c r="D200" s="85">
        <v>40.0</v>
      </c>
      <c r="E200" s="85" t="s">
        <v>345</v>
      </c>
      <c r="F200" s="85" t="s">
        <v>340</v>
      </c>
      <c r="G200" s="85" t="s">
        <v>1402</v>
      </c>
      <c r="H200" s="85" t="s">
        <v>1403</v>
      </c>
      <c r="I200" s="85" t="s">
        <v>385</v>
      </c>
      <c r="J200" s="13"/>
      <c r="K200" s="13"/>
      <c r="L200" s="13"/>
      <c r="M200" s="85" t="s">
        <v>1500</v>
      </c>
      <c r="N200" s="85" t="s">
        <v>1501</v>
      </c>
    </row>
    <row r="201" ht="15.0" hidden="1" customHeight="1">
      <c r="A201" s="84">
        <v>46174.211721898144</v>
      </c>
      <c r="B201" s="85" t="s">
        <v>384</v>
      </c>
      <c r="C201" s="85">
        <v>15.0</v>
      </c>
      <c r="D201" s="85">
        <v>40.0</v>
      </c>
      <c r="E201" s="85" t="s">
        <v>345</v>
      </c>
      <c r="F201" s="85" t="s">
        <v>340</v>
      </c>
      <c r="G201" s="85" t="s">
        <v>1405</v>
      </c>
      <c r="H201" s="85" t="s">
        <v>1406</v>
      </c>
      <c r="I201" s="85" t="s">
        <v>373</v>
      </c>
      <c r="J201" s="13"/>
      <c r="K201" s="13"/>
      <c r="L201" s="13"/>
      <c r="M201" s="85" t="s">
        <v>1500</v>
      </c>
      <c r="N201" s="85" t="s">
        <v>1501</v>
      </c>
    </row>
    <row r="202" ht="15.0" customHeight="1">
      <c r="A202" s="84">
        <v>46174.211721898144</v>
      </c>
      <c r="B202" s="85" t="s">
        <v>384</v>
      </c>
      <c r="C202" s="85">
        <v>15.0</v>
      </c>
      <c r="D202" s="85">
        <v>40.0</v>
      </c>
      <c r="E202" s="85" t="s">
        <v>345</v>
      </c>
      <c r="F202" s="85" t="s">
        <v>340</v>
      </c>
      <c r="G202" s="85" t="s">
        <v>1408</v>
      </c>
      <c r="H202" s="85" t="s">
        <v>1409</v>
      </c>
      <c r="I202" s="85" t="s">
        <v>352</v>
      </c>
      <c r="J202" s="13"/>
      <c r="K202" s="13"/>
      <c r="L202" s="13"/>
      <c r="M202" s="85" t="s">
        <v>1500</v>
      </c>
      <c r="N202" s="85" t="s">
        <v>1501</v>
      </c>
    </row>
    <row r="203" ht="15.0" hidden="1" customHeight="1">
      <c r="A203" s="84">
        <v>46174.211721898144</v>
      </c>
      <c r="B203" s="85" t="s">
        <v>384</v>
      </c>
      <c r="C203" s="85">
        <v>15.0</v>
      </c>
      <c r="D203" s="85">
        <v>40.0</v>
      </c>
      <c r="E203" s="85" t="s">
        <v>345</v>
      </c>
      <c r="F203" s="85" t="s">
        <v>340</v>
      </c>
      <c r="G203" s="85" t="s">
        <v>1411</v>
      </c>
      <c r="H203" s="85" t="s">
        <v>1413</v>
      </c>
      <c r="I203" s="85" t="s">
        <v>334</v>
      </c>
      <c r="J203" s="13"/>
      <c r="K203" s="13"/>
      <c r="L203" s="13"/>
      <c r="M203" s="85" t="s">
        <v>1500</v>
      </c>
      <c r="N203" s="85" t="s">
        <v>1501</v>
      </c>
    </row>
    <row r="204" ht="15.0" customHeight="1">
      <c r="A204" s="84">
        <v>46174.211721898144</v>
      </c>
      <c r="B204" s="85" t="s">
        <v>384</v>
      </c>
      <c r="C204" s="85">
        <v>15.0</v>
      </c>
      <c r="D204" s="85">
        <v>40.0</v>
      </c>
      <c r="E204" s="85" t="s">
        <v>345</v>
      </c>
      <c r="F204" s="85" t="s">
        <v>340</v>
      </c>
      <c r="G204" s="85" t="s">
        <v>1415</v>
      </c>
      <c r="H204" s="85" t="s">
        <v>1416</v>
      </c>
      <c r="I204" s="85" t="s">
        <v>352</v>
      </c>
      <c r="J204" s="13"/>
      <c r="K204" s="13"/>
      <c r="L204" s="13"/>
      <c r="M204" s="85" t="s">
        <v>1500</v>
      </c>
      <c r="N204" s="85" t="s">
        <v>1501</v>
      </c>
    </row>
    <row r="205" ht="15.0" hidden="1" customHeight="1">
      <c r="A205" s="84">
        <v>46174.211721898144</v>
      </c>
      <c r="B205" s="85" t="s">
        <v>384</v>
      </c>
      <c r="C205" s="85">
        <v>15.0</v>
      </c>
      <c r="D205" s="85">
        <v>40.0</v>
      </c>
      <c r="E205" s="85" t="s">
        <v>345</v>
      </c>
      <c r="F205" s="85" t="s">
        <v>340</v>
      </c>
      <c r="G205" s="85" t="s">
        <v>1418</v>
      </c>
      <c r="H205" s="85" t="s">
        <v>1419</v>
      </c>
      <c r="I205" s="85" t="s">
        <v>373</v>
      </c>
      <c r="J205" s="13"/>
      <c r="K205" s="13"/>
      <c r="L205" s="13"/>
      <c r="M205" s="85" t="s">
        <v>1500</v>
      </c>
      <c r="N205" s="85" t="s">
        <v>1501</v>
      </c>
    </row>
    <row r="206" ht="15.0" hidden="1" customHeight="1">
      <c r="A206" s="84">
        <v>46174.211721898144</v>
      </c>
      <c r="B206" s="85" t="s">
        <v>384</v>
      </c>
      <c r="C206" s="85">
        <v>15.0</v>
      </c>
      <c r="D206" s="85">
        <v>40.0</v>
      </c>
      <c r="E206" s="85" t="s">
        <v>345</v>
      </c>
      <c r="F206" s="85" t="s">
        <v>340</v>
      </c>
      <c r="G206" s="85" t="s">
        <v>1421</v>
      </c>
      <c r="H206" s="85" t="s">
        <v>1422</v>
      </c>
      <c r="I206" s="85" t="s">
        <v>385</v>
      </c>
      <c r="J206" s="13"/>
      <c r="K206" s="13"/>
      <c r="L206" s="13"/>
      <c r="M206" s="85" t="s">
        <v>1500</v>
      </c>
      <c r="N206" s="85" t="s">
        <v>1501</v>
      </c>
    </row>
    <row r="207" ht="15.0" hidden="1" customHeight="1">
      <c r="A207" s="84">
        <v>46174.211721898144</v>
      </c>
      <c r="B207" s="85" t="s">
        <v>384</v>
      </c>
      <c r="C207" s="85">
        <v>15.0</v>
      </c>
      <c r="D207" s="85">
        <v>40.0</v>
      </c>
      <c r="E207" s="85" t="s">
        <v>345</v>
      </c>
      <c r="F207" s="85" t="s">
        <v>340</v>
      </c>
      <c r="G207" s="85" t="s">
        <v>1424</v>
      </c>
      <c r="H207" s="85" t="s">
        <v>1426</v>
      </c>
      <c r="I207" s="85" t="s">
        <v>373</v>
      </c>
      <c r="J207" s="13"/>
      <c r="K207" s="13"/>
      <c r="L207" s="13"/>
      <c r="M207" s="85" t="s">
        <v>1500</v>
      </c>
      <c r="N207" s="85" t="s">
        <v>1501</v>
      </c>
    </row>
    <row r="208" ht="15.0" customHeight="1">
      <c r="A208" s="84">
        <v>46174.211721898144</v>
      </c>
      <c r="B208" s="85" t="s">
        <v>384</v>
      </c>
      <c r="C208" s="85">
        <v>15.0</v>
      </c>
      <c r="D208" s="85">
        <v>40.0</v>
      </c>
      <c r="E208" s="85" t="s">
        <v>345</v>
      </c>
      <c r="F208" s="85" t="s">
        <v>340</v>
      </c>
      <c r="G208" s="85" t="s">
        <v>1428</v>
      </c>
      <c r="H208" s="85" t="s">
        <v>1429</v>
      </c>
      <c r="I208" s="85" t="s">
        <v>352</v>
      </c>
      <c r="J208" s="13"/>
      <c r="K208" s="13"/>
      <c r="L208" s="13"/>
      <c r="M208" s="85" t="s">
        <v>1500</v>
      </c>
      <c r="N208" s="85" t="s">
        <v>1501</v>
      </c>
    </row>
    <row r="209" ht="15.0" hidden="1" customHeight="1">
      <c r="A209" s="84">
        <v>46174.211721898144</v>
      </c>
      <c r="B209" s="85" t="s">
        <v>384</v>
      </c>
      <c r="C209" s="85">
        <v>15.0</v>
      </c>
      <c r="D209" s="85">
        <v>40.0</v>
      </c>
      <c r="E209" s="85" t="s">
        <v>345</v>
      </c>
      <c r="F209" s="85" t="s">
        <v>340</v>
      </c>
      <c r="G209" s="85" t="s">
        <v>1431</v>
      </c>
      <c r="H209" s="85" t="s">
        <v>1432</v>
      </c>
      <c r="I209" s="85" t="s">
        <v>334</v>
      </c>
      <c r="J209" s="13"/>
      <c r="K209" s="13"/>
      <c r="L209" s="13"/>
      <c r="M209" s="85" t="s">
        <v>1500</v>
      </c>
      <c r="N209" s="85" t="s">
        <v>1501</v>
      </c>
    </row>
    <row r="210" ht="15.0" customHeight="1">
      <c r="A210" s="84">
        <v>46174.211721898144</v>
      </c>
      <c r="B210" s="85" t="s">
        <v>384</v>
      </c>
      <c r="C210" s="85">
        <v>15.0</v>
      </c>
      <c r="D210" s="85">
        <v>40.0</v>
      </c>
      <c r="E210" s="85" t="s">
        <v>345</v>
      </c>
      <c r="F210" s="85" t="s">
        <v>340</v>
      </c>
      <c r="G210" s="85" t="s">
        <v>1434</v>
      </c>
      <c r="H210" s="85" t="s">
        <v>1435</v>
      </c>
      <c r="I210" s="85" t="s">
        <v>352</v>
      </c>
      <c r="J210" s="13"/>
      <c r="K210" s="13"/>
      <c r="L210" s="13"/>
      <c r="M210" s="85" t="s">
        <v>1500</v>
      </c>
      <c r="N210" s="85" t="s">
        <v>1501</v>
      </c>
    </row>
    <row r="211" ht="15.0" hidden="1" customHeight="1">
      <c r="A211" s="84">
        <v>46174.211721898144</v>
      </c>
      <c r="B211" s="85" t="s">
        <v>384</v>
      </c>
      <c r="C211" s="85">
        <v>15.0</v>
      </c>
      <c r="D211" s="85">
        <v>40.0</v>
      </c>
      <c r="E211" s="85" t="s">
        <v>345</v>
      </c>
      <c r="F211" s="85" t="s">
        <v>340</v>
      </c>
      <c r="G211" s="85" t="s">
        <v>1437</v>
      </c>
      <c r="H211" s="85" t="s">
        <v>1438</v>
      </c>
      <c r="I211" s="85" t="s">
        <v>373</v>
      </c>
      <c r="J211" s="13"/>
      <c r="K211" s="13"/>
      <c r="L211" s="13"/>
      <c r="M211" s="85" t="s">
        <v>1500</v>
      </c>
      <c r="N211" s="85" t="s">
        <v>1501</v>
      </c>
    </row>
    <row r="212" ht="15.0" hidden="1" customHeight="1">
      <c r="A212" s="84">
        <v>46174.211721898144</v>
      </c>
      <c r="B212" s="85" t="s">
        <v>384</v>
      </c>
      <c r="C212" s="85">
        <v>15.0</v>
      </c>
      <c r="D212" s="85">
        <v>40.0</v>
      </c>
      <c r="E212" s="85" t="s">
        <v>345</v>
      </c>
      <c r="F212" s="85" t="s">
        <v>340</v>
      </c>
      <c r="G212" s="85" t="s">
        <v>1440</v>
      </c>
      <c r="H212" s="85" t="s">
        <v>1442</v>
      </c>
      <c r="I212" s="85" t="s">
        <v>385</v>
      </c>
      <c r="J212" s="13"/>
      <c r="K212" s="13"/>
      <c r="L212" s="13"/>
      <c r="M212" s="85" t="s">
        <v>1500</v>
      </c>
      <c r="N212" s="85" t="s">
        <v>1501</v>
      </c>
    </row>
    <row r="213" ht="15.0" hidden="1" customHeight="1">
      <c r="A213" s="84">
        <v>46174.211721898144</v>
      </c>
      <c r="B213" s="85" t="s">
        <v>384</v>
      </c>
      <c r="C213" s="85">
        <v>15.0</v>
      </c>
      <c r="D213" s="85">
        <v>40.0</v>
      </c>
      <c r="E213" s="85" t="s">
        <v>345</v>
      </c>
      <c r="F213" s="85" t="s">
        <v>340</v>
      </c>
      <c r="G213" s="85" t="s">
        <v>1444</v>
      </c>
      <c r="H213" s="85" t="s">
        <v>1445</v>
      </c>
      <c r="I213" s="85" t="s">
        <v>373</v>
      </c>
      <c r="J213" s="13"/>
      <c r="K213" s="13"/>
      <c r="L213" s="13"/>
      <c r="M213" s="85" t="s">
        <v>1500</v>
      </c>
      <c r="N213" s="85" t="s">
        <v>1501</v>
      </c>
    </row>
    <row r="214" ht="15.0" customHeight="1">
      <c r="A214" s="84">
        <v>46174.211721898144</v>
      </c>
      <c r="B214" s="85" t="s">
        <v>384</v>
      </c>
      <c r="C214" s="85">
        <v>15.0</v>
      </c>
      <c r="D214" s="85">
        <v>40.0</v>
      </c>
      <c r="E214" s="85" t="s">
        <v>345</v>
      </c>
      <c r="F214" s="85" t="s">
        <v>340</v>
      </c>
      <c r="G214" s="85" t="s">
        <v>1447</v>
      </c>
      <c r="H214" s="85" t="s">
        <v>1449</v>
      </c>
      <c r="I214" s="85" t="s">
        <v>352</v>
      </c>
      <c r="J214" s="13"/>
      <c r="K214" s="13"/>
      <c r="L214" s="13"/>
      <c r="M214" s="85" t="s">
        <v>1500</v>
      </c>
      <c r="N214" s="85" t="s">
        <v>1501</v>
      </c>
    </row>
    <row r="215" ht="15.0" hidden="1" customHeight="1">
      <c r="A215" s="84">
        <v>46174.211721898144</v>
      </c>
      <c r="B215" s="85" t="s">
        <v>384</v>
      </c>
      <c r="C215" s="85">
        <v>15.0</v>
      </c>
      <c r="D215" s="85">
        <v>40.0</v>
      </c>
      <c r="E215" s="85" t="s">
        <v>345</v>
      </c>
      <c r="F215" s="85" t="s">
        <v>340</v>
      </c>
      <c r="G215" s="85" t="s">
        <v>1451</v>
      </c>
      <c r="H215" s="85" t="s">
        <v>1452</v>
      </c>
      <c r="I215" s="85" t="s">
        <v>334</v>
      </c>
      <c r="J215" s="13"/>
      <c r="K215" s="13"/>
      <c r="L215" s="13"/>
      <c r="M215" s="85" t="s">
        <v>1500</v>
      </c>
      <c r="N215" s="85" t="s">
        <v>1501</v>
      </c>
    </row>
    <row r="216" ht="15.0" customHeight="1">
      <c r="A216" s="84">
        <v>46174.211721898144</v>
      </c>
      <c r="B216" s="85" t="s">
        <v>384</v>
      </c>
      <c r="C216" s="85">
        <v>15.0</v>
      </c>
      <c r="D216" s="85">
        <v>40.0</v>
      </c>
      <c r="E216" s="85" t="s">
        <v>345</v>
      </c>
      <c r="F216" s="85" t="s">
        <v>340</v>
      </c>
      <c r="G216" s="85" t="s">
        <v>1454</v>
      </c>
      <c r="H216" s="85" t="s">
        <v>1455</v>
      </c>
      <c r="I216" s="85" t="s">
        <v>352</v>
      </c>
      <c r="J216" s="13"/>
      <c r="K216" s="13"/>
      <c r="L216" s="13"/>
      <c r="M216" s="85" t="s">
        <v>1500</v>
      </c>
      <c r="N216" s="85" t="s">
        <v>1501</v>
      </c>
    </row>
    <row r="217" ht="15.0" hidden="1" customHeight="1">
      <c r="A217" s="84">
        <v>46174.211721898144</v>
      </c>
      <c r="B217" s="85" t="s">
        <v>384</v>
      </c>
      <c r="C217" s="85">
        <v>15.0</v>
      </c>
      <c r="D217" s="85">
        <v>40.0</v>
      </c>
      <c r="E217" s="85" t="s">
        <v>345</v>
      </c>
      <c r="F217" s="85" t="s">
        <v>340</v>
      </c>
      <c r="G217" s="85" t="s">
        <v>1457</v>
      </c>
      <c r="H217" s="85" t="s">
        <v>1458</v>
      </c>
      <c r="I217" s="85" t="s">
        <v>373</v>
      </c>
      <c r="J217" s="13"/>
      <c r="K217" s="13"/>
      <c r="L217" s="13"/>
      <c r="M217" s="85" t="s">
        <v>1500</v>
      </c>
      <c r="N217" s="85" t="s">
        <v>1501</v>
      </c>
    </row>
    <row r="218" ht="15.0" hidden="1" customHeight="1">
      <c r="A218" s="84">
        <v>46174.211721898144</v>
      </c>
      <c r="B218" s="85" t="s">
        <v>384</v>
      </c>
      <c r="C218" s="85">
        <v>15.0</v>
      </c>
      <c r="D218" s="85">
        <v>40.0</v>
      </c>
      <c r="E218" s="85" t="s">
        <v>345</v>
      </c>
      <c r="F218" s="85" t="s">
        <v>340</v>
      </c>
      <c r="G218" s="85" t="s">
        <v>1460</v>
      </c>
      <c r="H218" s="85" t="s">
        <v>1461</v>
      </c>
      <c r="I218" s="85" t="s">
        <v>385</v>
      </c>
      <c r="J218" s="13"/>
      <c r="K218" s="13"/>
      <c r="L218" s="13"/>
      <c r="M218" s="85" t="s">
        <v>1500</v>
      </c>
      <c r="N218" s="85" t="s">
        <v>1501</v>
      </c>
    </row>
    <row r="219" ht="15.0" hidden="1" customHeight="1">
      <c r="A219" s="84">
        <v>46174.211721898144</v>
      </c>
      <c r="B219" s="85" t="s">
        <v>384</v>
      </c>
      <c r="C219" s="85">
        <v>15.0</v>
      </c>
      <c r="D219" s="85">
        <v>40.0</v>
      </c>
      <c r="E219" s="85" t="s">
        <v>345</v>
      </c>
      <c r="F219" s="85" t="s">
        <v>340</v>
      </c>
      <c r="G219" s="85" t="s">
        <v>1463</v>
      </c>
      <c r="H219" s="85" t="s">
        <v>1464</v>
      </c>
      <c r="I219" s="85" t="s">
        <v>373</v>
      </c>
      <c r="J219" s="13"/>
      <c r="K219" s="13"/>
      <c r="L219" s="13"/>
      <c r="M219" s="85" t="s">
        <v>1500</v>
      </c>
      <c r="N219" s="85" t="s">
        <v>1501</v>
      </c>
    </row>
    <row r="220" ht="15.0" customHeight="1">
      <c r="A220" s="84">
        <v>46174.211721898144</v>
      </c>
      <c r="B220" s="85" t="s">
        <v>384</v>
      </c>
      <c r="C220" s="85">
        <v>15.0</v>
      </c>
      <c r="D220" s="85">
        <v>40.0</v>
      </c>
      <c r="E220" s="85" t="s">
        <v>345</v>
      </c>
      <c r="F220" s="85" t="s">
        <v>340</v>
      </c>
      <c r="G220" s="85" t="s">
        <v>1466</v>
      </c>
      <c r="H220" s="85" t="s">
        <v>1468</v>
      </c>
      <c r="I220" s="85" t="s">
        <v>352</v>
      </c>
      <c r="J220" s="13"/>
      <c r="K220" s="13"/>
      <c r="L220" s="13"/>
      <c r="M220" s="85" t="s">
        <v>1500</v>
      </c>
      <c r="N220" s="85" t="s">
        <v>1501</v>
      </c>
    </row>
    <row r="221" ht="15.0" hidden="1" customHeight="1">
      <c r="A221" s="84">
        <v>46174.211721898144</v>
      </c>
      <c r="B221" s="85" t="s">
        <v>384</v>
      </c>
      <c r="C221" s="85">
        <v>15.0</v>
      </c>
      <c r="D221" s="85">
        <v>40.0</v>
      </c>
      <c r="E221" s="85" t="s">
        <v>345</v>
      </c>
      <c r="F221" s="85" t="s">
        <v>340</v>
      </c>
      <c r="G221" s="85" t="s">
        <v>1470</v>
      </c>
      <c r="H221" s="85" t="s">
        <v>1471</v>
      </c>
      <c r="I221" s="85" t="s">
        <v>334</v>
      </c>
      <c r="J221" s="13"/>
      <c r="K221" s="13"/>
      <c r="L221" s="13"/>
      <c r="M221" s="85" t="s">
        <v>1500</v>
      </c>
      <c r="N221" s="85" t="s">
        <v>1501</v>
      </c>
    </row>
    <row r="222" ht="15.0" customHeight="1">
      <c r="A222" s="84">
        <v>46174.211721898144</v>
      </c>
      <c r="B222" s="85" t="s">
        <v>384</v>
      </c>
      <c r="C222" s="85">
        <v>15.0</v>
      </c>
      <c r="D222" s="85">
        <v>40.0</v>
      </c>
      <c r="E222" s="85" t="s">
        <v>345</v>
      </c>
      <c r="F222" s="85" t="s">
        <v>340</v>
      </c>
      <c r="G222" s="85" t="s">
        <v>1473</v>
      </c>
      <c r="H222" s="85" t="s">
        <v>1474</v>
      </c>
      <c r="I222" s="85" t="s">
        <v>352</v>
      </c>
      <c r="J222" s="13"/>
      <c r="K222" s="13"/>
      <c r="L222" s="13"/>
      <c r="M222" s="85" t="s">
        <v>1500</v>
      </c>
      <c r="N222" s="85" t="s">
        <v>1501</v>
      </c>
    </row>
    <row r="223" ht="15.0" hidden="1" customHeight="1">
      <c r="A223" s="84">
        <v>46174.211721898144</v>
      </c>
      <c r="B223" s="85" t="s">
        <v>384</v>
      </c>
      <c r="C223" s="85">
        <v>15.0</v>
      </c>
      <c r="D223" s="85">
        <v>40.0</v>
      </c>
      <c r="E223" s="85" t="s">
        <v>345</v>
      </c>
      <c r="F223" s="85" t="s">
        <v>340</v>
      </c>
      <c r="G223" s="85" t="s">
        <v>1476</v>
      </c>
      <c r="H223" s="85" t="s">
        <v>1478</v>
      </c>
      <c r="I223" s="85" t="s">
        <v>373</v>
      </c>
      <c r="J223" s="13"/>
      <c r="K223" s="13"/>
      <c r="L223" s="13"/>
      <c r="M223" s="85" t="s">
        <v>1500</v>
      </c>
      <c r="N223" s="85" t="s">
        <v>1501</v>
      </c>
    </row>
    <row r="224" ht="15.0" hidden="1" customHeight="1">
      <c r="A224" s="84">
        <v>46174.25019388889</v>
      </c>
      <c r="B224" s="85" t="s">
        <v>389</v>
      </c>
      <c r="C224" s="85">
        <v>14.0</v>
      </c>
      <c r="D224" s="85">
        <v>39.0</v>
      </c>
      <c r="E224" s="85" t="s">
        <v>390</v>
      </c>
      <c r="F224" s="85" t="s">
        <v>346</v>
      </c>
      <c r="G224" s="85" t="s">
        <v>1292</v>
      </c>
      <c r="H224" s="85" t="s">
        <v>1294</v>
      </c>
      <c r="I224" s="85" t="s">
        <v>334</v>
      </c>
      <c r="J224" s="13"/>
      <c r="K224" s="13"/>
      <c r="L224" s="13"/>
      <c r="M224" s="85" t="s">
        <v>1502</v>
      </c>
      <c r="N224" s="85" t="s">
        <v>1503</v>
      </c>
    </row>
    <row r="225" ht="15.0" customHeight="1">
      <c r="A225" s="84">
        <v>46174.25019388889</v>
      </c>
      <c r="B225" s="85" t="s">
        <v>389</v>
      </c>
      <c r="C225" s="85">
        <v>14.0</v>
      </c>
      <c r="D225" s="85">
        <v>39.0</v>
      </c>
      <c r="E225" s="85" t="s">
        <v>390</v>
      </c>
      <c r="F225" s="85" t="s">
        <v>346</v>
      </c>
      <c r="G225" s="85" t="s">
        <v>1296</v>
      </c>
      <c r="H225" s="85" t="s">
        <v>1297</v>
      </c>
      <c r="I225" s="85" t="s">
        <v>352</v>
      </c>
      <c r="J225" s="13"/>
      <c r="K225" s="13"/>
      <c r="L225" s="13"/>
      <c r="M225" s="85" t="s">
        <v>1502</v>
      </c>
      <c r="N225" s="85" t="s">
        <v>1503</v>
      </c>
    </row>
    <row r="226" ht="15.0" hidden="1" customHeight="1">
      <c r="A226" s="84">
        <v>46174.25019388889</v>
      </c>
      <c r="B226" s="85" t="s">
        <v>389</v>
      </c>
      <c r="C226" s="85">
        <v>14.0</v>
      </c>
      <c r="D226" s="85">
        <v>39.0</v>
      </c>
      <c r="E226" s="85" t="s">
        <v>390</v>
      </c>
      <c r="F226" s="85" t="s">
        <v>346</v>
      </c>
      <c r="G226" s="85" t="s">
        <v>1299</v>
      </c>
      <c r="H226" s="85" t="s">
        <v>1300</v>
      </c>
      <c r="I226" s="85" t="s">
        <v>373</v>
      </c>
      <c r="J226" s="13"/>
      <c r="K226" s="13"/>
      <c r="L226" s="13"/>
      <c r="M226" s="85" t="s">
        <v>1502</v>
      </c>
      <c r="N226" s="85" t="s">
        <v>1503</v>
      </c>
    </row>
    <row r="227" ht="15.0" hidden="1" customHeight="1">
      <c r="A227" s="84">
        <v>46174.25019388889</v>
      </c>
      <c r="B227" s="85" t="s">
        <v>389</v>
      </c>
      <c r="C227" s="85">
        <v>14.0</v>
      </c>
      <c r="D227" s="85">
        <v>39.0</v>
      </c>
      <c r="E227" s="85" t="s">
        <v>390</v>
      </c>
      <c r="F227" s="85" t="s">
        <v>346</v>
      </c>
      <c r="G227" s="85" t="s">
        <v>1302</v>
      </c>
      <c r="H227" s="85" t="s">
        <v>1303</v>
      </c>
      <c r="I227" s="85" t="s">
        <v>385</v>
      </c>
      <c r="J227" s="13"/>
      <c r="K227" s="13"/>
      <c r="L227" s="13"/>
      <c r="M227" s="85" t="s">
        <v>1502</v>
      </c>
      <c r="N227" s="85" t="s">
        <v>1503</v>
      </c>
    </row>
    <row r="228" ht="15.0" hidden="1" customHeight="1">
      <c r="A228" s="84">
        <v>46174.25019388889</v>
      </c>
      <c r="B228" s="85" t="s">
        <v>389</v>
      </c>
      <c r="C228" s="85">
        <v>14.0</v>
      </c>
      <c r="D228" s="85">
        <v>39.0</v>
      </c>
      <c r="E228" s="85" t="s">
        <v>390</v>
      </c>
      <c r="F228" s="85" t="s">
        <v>346</v>
      </c>
      <c r="G228" s="85" t="s">
        <v>1305</v>
      </c>
      <c r="H228" s="85" t="s">
        <v>1307</v>
      </c>
      <c r="I228" s="85" t="s">
        <v>373</v>
      </c>
      <c r="J228" s="13"/>
      <c r="K228" s="13"/>
      <c r="L228" s="13"/>
      <c r="M228" s="85" t="s">
        <v>1502</v>
      </c>
      <c r="N228" s="85" t="s">
        <v>1503</v>
      </c>
    </row>
    <row r="229" ht="15.0" customHeight="1">
      <c r="A229" s="84">
        <v>46174.25019388889</v>
      </c>
      <c r="B229" s="85" t="s">
        <v>389</v>
      </c>
      <c r="C229" s="85">
        <v>14.0</v>
      </c>
      <c r="D229" s="85">
        <v>39.0</v>
      </c>
      <c r="E229" s="85" t="s">
        <v>390</v>
      </c>
      <c r="F229" s="85" t="s">
        <v>346</v>
      </c>
      <c r="G229" s="85" t="s">
        <v>1309</v>
      </c>
      <c r="H229" s="85" t="s">
        <v>1310</v>
      </c>
      <c r="I229" s="85" t="s">
        <v>352</v>
      </c>
      <c r="J229" s="13"/>
      <c r="K229" s="13"/>
      <c r="L229" s="13"/>
      <c r="M229" s="85" t="s">
        <v>1502</v>
      </c>
      <c r="N229" s="85" t="s">
        <v>1503</v>
      </c>
    </row>
    <row r="230" ht="15.0" hidden="1" customHeight="1">
      <c r="A230" s="84">
        <v>46174.25019388889</v>
      </c>
      <c r="B230" s="85" t="s">
        <v>389</v>
      </c>
      <c r="C230" s="85">
        <v>14.0</v>
      </c>
      <c r="D230" s="85">
        <v>39.0</v>
      </c>
      <c r="E230" s="85" t="s">
        <v>390</v>
      </c>
      <c r="F230" s="85" t="s">
        <v>346</v>
      </c>
      <c r="G230" s="85" t="s">
        <v>1312</v>
      </c>
      <c r="H230" s="85" t="s">
        <v>1314</v>
      </c>
      <c r="I230" s="85" t="s">
        <v>334</v>
      </c>
      <c r="J230" s="13"/>
      <c r="K230" s="13"/>
      <c r="L230" s="13"/>
      <c r="M230" s="85" t="s">
        <v>1502</v>
      </c>
      <c r="N230" s="85" t="s">
        <v>1503</v>
      </c>
    </row>
    <row r="231" ht="15.0" customHeight="1">
      <c r="A231" s="84">
        <v>46174.25019388889</v>
      </c>
      <c r="B231" s="85" t="s">
        <v>389</v>
      </c>
      <c r="C231" s="85">
        <v>14.0</v>
      </c>
      <c r="D231" s="85">
        <v>39.0</v>
      </c>
      <c r="E231" s="85" t="s">
        <v>390</v>
      </c>
      <c r="F231" s="85" t="s">
        <v>346</v>
      </c>
      <c r="G231" s="85" t="s">
        <v>1316</v>
      </c>
      <c r="H231" s="85" t="s">
        <v>1317</v>
      </c>
      <c r="I231" s="85" t="s">
        <v>352</v>
      </c>
      <c r="J231" s="13"/>
      <c r="K231" s="13"/>
      <c r="L231" s="13"/>
      <c r="M231" s="85" t="s">
        <v>1502</v>
      </c>
      <c r="N231" s="85" t="s">
        <v>1503</v>
      </c>
    </row>
    <row r="232" ht="15.0" hidden="1" customHeight="1">
      <c r="A232" s="84">
        <v>46174.25019388889</v>
      </c>
      <c r="B232" s="85" t="s">
        <v>389</v>
      </c>
      <c r="C232" s="85">
        <v>14.0</v>
      </c>
      <c r="D232" s="85">
        <v>39.0</v>
      </c>
      <c r="E232" s="85" t="s">
        <v>390</v>
      </c>
      <c r="F232" s="85" t="s">
        <v>346</v>
      </c>
      <c r="G232" s="85" t="s">
        <v>1319</v>
      </c>
      <c r="H232" s="85" t="s">
        <v>1320</v>
      </c>
      <c r="I232" s="85" t="s">
        <v>373</v>
      </c>
      <c r="J232" s="13"/>
      <c r="K232" s="13"/>
      <c r="L232" s="13"/>
      <c r="M232" s="85" t="s">
        <v>1502</v>
      </c>
      <c r="N232" s="85" t="s">
        <v>1503</v>
      </c>
    </row>
    <row r="233" ht="15.0" hidden="1" customHeight="1">
      <c r="A233" s="84">
        <v>46174.25019388889</v>
      </c>
      <c r="B233" s="85" t="s">
        <v>389</v>
      </c>
      <c r="C233" s="85">
        <v>14.0</v>
      </c>
      <c r="D233" s="85">
        <v>39.0</v>
      </c>
      <c r="E233" s="85" t="s">
        <v>390</v>
      </c>
      <c r="F233" s="85" t="s">
        <v>346</v>
      </c>
      <c r="G233" s="85" t="s">
        <v>1322</v>
      </c>
      <c r="H233" s="85" t="s">
        <v>1323</v>
      </c>
      <c r="I233" s="85" t="s">
        <v>385</v>
      </c>
      <c r="J233" s="13"/>
      <c r="K233" s="13"/>
      <c r="L233" s="13"/>
      <c r="M233" s="85" t="s">
        <v>1502</v>
      </c>
      <c r="N233" s="85" t="s">
        <v>1503</v>
      </c>
    </row>
    <row r="234" ht="15.0" hidden="1" customHeight="1">
      <c r="A234" s="84">
        <v>46174.25019388889</v>
      </c>
      <c r="B234" s="85" t="s">
        <v>389</v>
      </c>
      <c r="C234" s="85">
        <v>14.0</v>
      </c>
      <c r="D234" s="85">
        <v>39.0</v>
      </c>
      <c r="E234" s="85" t="s">
        <v>390</v>
      </c>
      <c r="F234" s="85" t="s">
        <v>346</v>
      </c>
      <c r="G234" s="85" t="s">
        <v>1325</v>
      </c>
      <c r="H234" s="85" t="s">
        <v>1326</v>
      </c>
      <c r="I234" s="85" t="s">
        <v>373</v>
      </c>
      <c r="J234" s="13"/>
      <c r="K234" s="13"/>
      <c r="L234" s="13"/>
      <c r="M234" s="85" t="s">
        <v>1502</v>
      </c>
      <c r="N234" s="85" t="s">
        <v>1503</v>
      </c>
    </row>
    <row r="235" ht="15.0" customHeight="1">
      <c r="A235" s="84">
        <v>46174.25019388889</v>
      </c>
      <c r="B235" s="85" t="s">
        <v>389</v>
      </c>
      <c r="C235" s="85">
        <v>14.0</v>
      </c>
      <c r="D235" s="85">
        <v>39.0</v>
      </c>
      <c r="E235" s="85" t="s">
        <v>390</v>
      </c>
      <c r="F235" s="85" t="s">
        <v>346</v>
      </c>
      <c r="G235" s="85" t="s">
        <v>1328</v>
      </c>
      <c r="H235" s="85" t="s">
        <v>1330</v>
      </c>
      <c r="I235" s="85" t="s">
        <v>352</v>
      </c>
      <c r="J235" s="13"/>
      <c r="K235" s="13"/>
      <c r="L235" s="13"/>
      <c r="M235" s="85" t="s">
        <v>1502</v>
      </c>
      <c r="N235" s="85" t="s">
        <v>1503</v>
      </c>
    </row>
    <row r="236" ht="15.0" hidden="1" customHeight="1">
      <c r="A236" s="84">
        <v>46174.25019388889</v>
      </c>
      <c r="B236" s="85" t="s">
        <v>389</v>
      </c>
      <c r="C236" s="85">
        <v>14.0</v>
      </c>
      <c r="D236" s="85">
        <v>39.0</v>
      </c>
      <c r="E236" s="85" t="s">
        <v>390</v>
      </c>
      <c r="F236" s="85" t="s">
        <v>346</v>
      </c>
      <c r="G236" s="85" t="s">
        <v>1332</v>
      </c>
      <c r="H236" s="85" t="s">
        <v>1333</v>
      </c>
      <c r="I236" s="85" t="s">
        <v>334</v>
      </c>
      <c r="J236" s="13"/>
      <c r="K236" s="13"/>
      <c r="L236" s="13"/>
      <c r="M236" s="85" t="s">
        <v>1502</v>
      </c>
      <c r="N236" s="85" t="s">
        <v>1503</v>
      </c>
    </row>
    <row r="237" ht="15.0" customHeight="1">
      <c r="A237" s="84">
        <v>46174.25019388889</v>
      </c>
      <c r="B237" s="85" t="s">
        <v>389</v>
      </c>
      <c r="C237" s="85">
        <v>14.0</v>
      </c>
      <c r="D237" s="85">
        <v>39.0</v>
      </c>
      <c r="E237" s="85" t="s">
        <v>390</v>
      </c>
      <c r="F237" s="85" t="s">
        <v>346</v>
      </c>
      <c r="G237" s="85" t="s">
        <v>1335</v>
      </c>
      <c r="H237" s="85" t="s">
        <v>1337</v>
      </c>
      <c r="I237" s="85" t="s">
        <v>352</v>
      </c>
      <c r="J237" s="13"/>
      <c r="K237" s="13"/>
      <c r="L237" s="13"/>
      <c r="M237" s="85" t="s">
        <v>1502</v>
      </c>
      <c r="N237" s="85" t="s">
        <v>1503</v>
      </c>
    </row>
    <row r="238" ht="15.0" hidden="1" customHeight="1">
      <c r="A238" s="84">
        <v>46174.25019388889</v>
      </c>
      <c r="B238" s="85" t="s">
        <v>389</v>
      </c>
      <c r="C238" s="85">
        <v>14.0</v>
      </c>
      <c r="D238" s="85">
        <v>39.0</v>
      </c>
      <c r="E238" s="85" t="s">
        <v>390</v>
      </c>
      <c r="F238" s="85" t="s">
        <v>346</v>
      </c>
      <c r="G238" s="85" t="s">
        <v>1339</v>
      </c>
      <c r="H238" s="85" t="s">
        <v>1340</v>
      </c>
      <c r="I238" s="85" t="s">
        <v>373</v>
      </c>
      <c r="J238" s="13"/>
      <c r="K238" s="13"/>
      <c r="L238" s="13"/>
      <c r="M238" s="85" t="s">
        <v>1502</v>
      </c>
      <c r="N238" s="85" t="s">
        <v>1503</v>
      </c>
    </row>
    <row r="239" ht="15.0" hidden="1" customHeight="1">
      <c r="A239" s="84">
        <v>46174.25019388889</v>
      </c>
      <c r="B239" s="85" t="s">
        <v>389</v>
      </c>
      <c r="C239" s="85">
        <v>14.0</v>
      </c>
      <c r="D239" s="85">
        <v>39.0</v>
      </c>
      <c r="E239" s="85" t="s">
        <v>390</v>
      </c>
      <c r="F239" s="85" t="s">
        <v>346</v>
      </c>
      <c r="G239" s="85" t="s">
        <v>1342</v>
      </c>
      <c r="H239" s="85" t="s">
        <v>1343</v>
      </c>
      <c r="I239" s="85" t="s">
        <v>385</v>
      </c>
      <c r="J239" s="13"/>
      <c r="K239" s="13"/>
      <c r="L239" s="13"/>
      <c r="M239" s="85" t="s">
        <v>1502</v>
      </c>
      <c r="N239" s="85" t="s">
        <v>1503</v>
      </c>
    </row>
    <row r="240" ht="15.0" hidden="1" customHeight="1">
      <c r="A240" s="84">
        <v>46174.25019388889</v>
      </c>
      <c r="B240" s="85" t="s">
        <v>389</v>
      </c>
      <c r="C240" s="85">
        <v>14.0</v>
      </c>
      <c r="D240" s="85">
        <v>39.0</v>
      </c>
      <c r="E240" s="85" t="s">
        <v>390</v>
      </c>
      <c r="F240" s="85" t="s">
        <v>346</v>
      </c>
      <c r="G240" s="85" t="s">
        <v>1345</v>
      </c>
      <c r="H240" s="85" t="s">
        <v>1347</v>
      </c>
      <c r="I240" s="85" t="s">
        <v>373</v>
      </c>
      <c r="J240" s="13"/>
      <c r="K240" s="13"/>
      <c r="L240" s="13"/>
      <c r="M240" s="85" t="s">
        <v>1502</v>
      </c>
      <c r="N240" s="85" t="s">
        <v>1503</v>
      </c>
    </row>
    <row r="241" ht="15.0" customHeight="1">
      <c r="A241" s="84">
        <v>46174.25019388889</v>
      </c>
      <c r="B241" s="85" t="s">
        <v>389</v>
      </c>
      <c r="C241" s="85">
        <v>14.0</v>
      </c>
      <c r="D241" s="85">
        <v>39.0</v>
      </c>
      <c r="E241" s="85" t="s">
        <v>390</v>
      </c>
      <c r="F241" s="85" t="s">
        <v>346</v>
      </c>
      <c r="G241" s="85" t="s">
        <v>1349</v>
      </c>
      <c r="H241" s="85" t="s">
        <v>1350</v>
      </c>
      <c r="I241" s="85" t="s">
        <v>352</v>
      </c>
      <c r="J241" s="13"/>
      <c r="K241" s="13"/>
      <c r="L241" s="13"/>
      <c r="M241" s="85" t="s">
        <v>1502</v>
      </c>
      <c r="N241" s="85" t="s">
        <v>1503</v>
      </c>
    </row>
    <row r="242" ht="15.0" hidden="1" customHeight="1">
      <c r="A242" s="84">
        <v>46174.25019388889</v>
      </c>
      <c r="B242" s="85" t="s">
        <v>389</v>
      </c>
      <c r="C242" s="85">
        <v>14.0</v>
      </c>
      <c r="D242" s="85">
        <v>39.0</v>
      </c>
      <c r="E242" s="85" t="s">
        <v>390</v>
      </c>
      <c r="F242" s="85" t="s">
        <v>346</v>
      </c>
      <c r="G242" s="85" t="s">
        <v>1352</v>
      </c>
      <c r="H242" s="85" t="s">
        <v>1353</v>
      </c>
      <c r="I242" s="85" t="s">
        <v>334</v>
      </c>
      <c r="J242" s="13"/>
      <c r="K242" s="13"/>
      <c r="L242" s="13"/>
      <c r="M242" s="85" t="s">
        <v>1502</v>
      </c>
      <c r="N242" s="85" t="s">
        <v>1503</v>
      </c>
    </row>
    <row r="243" ht="15.0" customHeight="1">
      <c r="A243" s="84">
        <v>46174.25019388889</v>
      </c>
      <c r="B243" s="85" t="s">
        <v>389</v>
      </c>
      <c r="C243" s="85">
        <v>14.0</v>
      </c>
      <c r="D243" s="85">
        <v>39.0</v>
      </c>
      <c r="E243" s="85" t="s">
        <v>390</v>
      </c>
      <c r="F243" s="85" t="s">
        <v>346</v>
      </c>
      <c r="G243" s="85" t="s">
        <v>1355</v>
      </c>
      <c r="H243" s="85" t="s">
        <v>1357</v>
      </c>
      <c r="I243" s="85" t="s">
        <v>352</v>
      </c>
      <c r="J243" s="13"/>
      <c r="K243" s="13"/>
      <c r="L243" s="13"/>
      <c r="M243" s="85" t="s">
        <v>1502</v>
      </c>
      <c r="N243" s="85" t="s">
        <v>1503</v>
      </c>
    </row>
    <row r="244" ht="15.0" hidden="1" customHeight="1">
      <c r="A244" s="84">
        <v>46174.25019388889</v>
      </c>
      <c r="B244" s="85" t="s">
        <v>389</v>
      </c>
      <c r="C244" s="85">
        <v>14.0</v>
      </c>
      <c r="D244" s="85">
        <v>39.0</v>
      </c>
      <c r="E244" s="85" t="s">
        <v>390</v>
      </c>
      <c r="F244" s="85" t="s">
        <v>346</v>
      </c>
      <c r="G244" s="85" t="s">
        <v>1359</v>
      </c>
      <c r="H244" s="85" t="s">
        <v>1360</v>
      </c>
      <c r="I244" s="85" t="s">
        <v>373</v>
      </c>
      <c r="J244" s="13"/>
      <c r="K244" s="13"/>
      <c r="L244" s="13"/>
      <c r="M244" s="85" t="s">
        <v>1502</v>
      </c>
      <c r="N244" s="85" t="s">
        <v>1503</v>
      </c>
    </row>
    <row r="245" ht="15.0" hidden="1" customHeight="1">
      <c r="A245" s="84">
        <v>46174.25019388889</v>
      </c>
      <c r="B245" s="85" t="s">
        <v>389</v>
      </c>
      <c r="C245" s="85">
        <v>14.0</v>
      </c>
      <c r="D245" s="85">
        <v>39.0</v>
      </c>
      <c r="E245" s="85" t="s">
        <v>390</v>
      </c>
      <c r="F245" s="85" t="s">
        <v>346</v>
      </c>
      <c r="G245" s="85" t="s">
        <v>1362</v>
      </c>
      <c r="H245" s="85" t="s">
        <v>1363</v>
      </c>
      <c r="I245" s="85" t="s">
        <v>385</v>
      </c>
      <c r="J245" s="13"/>
      <c r="K245" s="13"/>
      <c r="L245" s="13"/>
      <c r="M245" s="85" t="s">
        <v>1502</v>
      </c>
      <c r="N245" s="85" t="s">
        <v>1503</v>
      </c>
    </row>
    <row r="246" ht="15.0" hidden="1" customHeight="1">
      <c r="A246" s="84">
        <v>46174.25019388889</v>
      </c>
      <c r="B246" s="85" t="s">
        <v>389</v>
      </c>
      <c r="C246" s="85">
        <v>14.0</v>
      </c>
      <c r="D246" s="85">
        <v>39.0</v>
      </c>
      <c r="E246" s="85" t="s">
        <v>390</v>
      </c>
      <c r="F246" s="85" t="s">
        <v>346</v>
      </c>
      <c r="G246" s="85" t="s">
        <v>1365</v>
      </c>
      <c r="H246" s="85" t="s">
        <v>1367</v>
      </c>
      <c r="I246" s="85" t="s">
        <v>373</v>
      </c>
      <c r="J246" s="13"/>
      <c r="K246" s="13"/>
      <c r="L246" s="13"/>
      <c r="M246" s="85" t="s">
        <v>1502</v>
      </c>
      <c r="N246" s="85" t="s">
        <v>1503</v>
      </c>
    </row>
    <row r="247" ht="15.0" customHeight="1">
      <c r="A247" s="84">
        <v>46174.25019388889</v>
      </c>
      <c r="B247" s="85" t="s">
        <v>389</v>
      </c>
      <c r="C247" s="85">
        <v>14.0</v>
      </c>
      <c r="D247" s="85">
        <v>39.0</v>
      </c>
      <c r="E247" s="85" t="s">
        <v>390</v>
      </c>
      <c r="F247" s="85" t="s">
        <v>346</v>
      </c>
      <c r="G247" s="85" t="s">
        <v>1369</v>
      </c>
      <c r="H247" s="85" t="s">
        <v>1370</v>
      </c>
      <c r="I247" s="85" t="s">
        <v>352</v>
      </c>
      <c r="J247" s="13"/>
      <c r="K247" s="13"/>
      <c r="L247" s="13"/>
      <c r="M247" s="85" t="s">
        <v>1502</v>
      </c>
      <c r="N247" s="85" t="s">
        <v>1503</v>
      </c>
    </row>
    <row r="248" ht="15.0" customHeight="1">
      <c r="A248" s="84">
        <v>46174.94499916666</v>
      </c>
      <c r="B248" s="85" t="s">
        <v>394</v>
      </c>
      <c r="C248" s="85">
        <v>6.0</v>
      </c>
      <c r="D248" s="85">
        <v>7.0</v>
      </c>
      <c r="E248" s="85" t="s">
        <v>351</v>
      </c>
      <c r="F248" s="85" t="s">
        <v>357</v>
      </c>
      <c r="G248" s="85" t="s">
        <v>876</v>
      </c>
      <c r="H248" s="85" t="s">
        <v>877</v>
      </c>
      <c r="I248" s="85" t="s">
        <v>352</v>
      </c>
      <c r="J248" s="13"/>
      <c r="K248" s="13"/>
      <c r="L248" s="13"/>
      <c r="M248" s="13"/>
      <c r="N248" s="85" t="s">
        <v>1504</v>
      </c>
    </row>
    <row r="249" ht="15.0" hidden="1" customHeight="1">
      <c r="A249" s="84">
        <v>46174.94499916666</v>
      </c>
      <c r="B249" s="85" t="s">
        <v>394</v>
      </c>
      <c r="C249" s="85">
        <v>6.0</v>
      </c>
      <c r="D249" s="85">
        <v>7.0</v>
      </c>
      <c r="E249" s="85" t="s">
        <v>351</v>
      </c>
      <c r="F249" s="85" t="s">
        <v>357</v>
      </c>
      <c r="G249" s="85" t="s">
        <v>879</v>
      </c>
      <c r="H249" s="85" t="s">
        <v>880</v>
      </c>
      <c r="I249" s="85" t="s">
        <v>334</v>
      </c>
      <c r="J249" s="13"/>
      <c r="K249" s="13"/>
      <c r="L249" s="13"/>
      <c r="M249" s="13"/>
      <c r="N249" s="85" t="s">
        <v>1504</v>
      </c>
    </row>
    <row r="250" ht="15.0" hidden="1" customHeight="1">
      <c r="A250" s="84">
        <v>46174.94499916666</v>
      </c>
      <c r="B250" s="85" t="s">
        <v>394</v>
      </c>
      <c r="C250" s="85">
        <v>6.0</v>
      </c>
      <c r="D250" s="85">
        <v>7.0</v>
      </c>
      <c r="E250" s="85" t="s">
        <v>351</v>
      </c>
      <c r="F250" s="85" t="s">
        <v>357</v>
      </c>
      <c r="G250" s="85" t="s">
        <v>923</v>
      </c>
      <c r="H250" s="85" t="s">
        <v>924</v>
      </c>
      <c r="I250" s="85" t="s">
        <v>373</v>
      </c>
      <c r="J250" s="13"/>
      <c r="K250" s="13"/>
      <c r="L250" s="13"/>
      <c r="M250" s="13"/>
      <c r="N250" s="85" t="s">
        <v>1504</v>
      </c>
    </row>
    <row r="251" ht="15.0" hidden="1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 ht="15.0" hidden="1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 ht="15.0" hidden="1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ht="15.0" hidden="1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 ht="15.0" hidden="1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 ht="15.0" hidden="1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ht="15.0" hidden="1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ht="15.0" hidden="1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 ht="15.0" hidden="1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 ht="15.0" hidden="1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 ht="15.0" hidden="1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5.0" hidden="1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ht="15.0" hidden="1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ht="15.0" hidden="1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 ht="15.0" hidden="1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 ht="15.0" hidden="1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 ht="15.0" hidden="1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 ht="15.0" hidden="1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 ht="15.0" hidden="1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ht="15.0" hidden="1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ht="15.0" hidden="1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 ht="15.0" hidden="1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 ht="15.0" hidden="1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 ht="15.0" hidden="1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 ht="15.0" hidden="1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 ht="15.0" hidden="1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 ht="15.0" hidden="1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ht="15.0" hidden="1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ht="15.0" hidden="1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ht="15.0" hidden="1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 ht="15.0" hidden="1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 ht="15.0" hidden="1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 ht="15.0" hidden="1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 ht="15.0" hidden="1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ht="15.0" hidden="1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ht="15.0" hidden="1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 ht="15.0" hidden="1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 ht="15.0" hidden="1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 ht="15.0" hidden="1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 ht="15.0" hidden="1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 ht="15.0" hidden="1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ht="15.0" hidden="1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ht="15.0" hidden="1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 ht="15.0" hidden="1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 ht="15.0" hidden="1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 ht="15.0" hidden="1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 ht="15.0" hidden="1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ht="15.0" hidden="1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ht="15.0" hidden="1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ht="15.0" hidden="1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ht="15.0" hidden="1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ht="15.0" hidden="1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 ht="15.0" hidden="1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 ht="15.0" hidden="1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ht="15.0" hidden="1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 ht="15.0" hidden="1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 ht="15.0" hidden="1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ht="15.0" hidden="1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ht="15.0" hidden="1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 ht="15.0" hidden="1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ht="15.0" hidden="1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 ht="15.0" hidden="1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 ht="15.0" hidden="1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 ht="15.0" hidden="1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ht="15.0" hidden="1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 ht="15.0" hidden="1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 ht="15.0" hidden="1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 ht="15.0" hidden="1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 ht="15.0" hidden="1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 ht="15.0" hidden="1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 ht="15.0" hidden="1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ht="15.0" hidden="1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ht="15.0" hidden="1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 ht="15.0" hidden="1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ht="15.0" hidden="1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 ht="15.0" hidden="1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 ht="15.0" hidden="1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 ht="15.0" hidden="1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 ht="15.0" hidden="1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 ht="15.0" hidden="1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 ht="15.0" hidden="1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 ht="15.0" hidden="1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 ht="15.0" hidden="1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 ht="15.0" hidden="1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 ht="15.0" hidden="1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 ht="15.0" hidden="1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 ht="15.0" hidden="1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 ht="15.0" hidden="1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 ht="15.0" hidden="1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 ht="15.0" hidden="1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 ht="15.0" hidden="1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 ht="15.0" hidden="1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 ht="15.0" hidden="1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 ht="15.0" hidden="1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 ht="15.0" hidden="1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 ht="15.0" hidden="1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 ht="15.0" hidden="1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 ht="15.0" hidden="1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 ht="15.0" hidden="1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 ht="15.0" hidden="1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 ht="15.0" hidden="1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 ht="15.0" hidden="1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 ht="15.0" hidden="1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 ht="15.0" hidden="1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 ht="15.0" hidden="1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 ht="15.0" hidden="1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 ht="15.0" hidden="1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 ht="15.0" hidden="1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 ht="15.0" hidden="1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 ht="15.0" hidden="1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ht="15.0" hidden="1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 ht="15.0" hidden="1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ht="15.0" hidden="1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 ht="15.0" hidden="1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 ht="15.0" hidden="1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 ht="15.0" hidden="1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ht="15.0" hidden="1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 ht="15.0" hidden="1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 ht="15.0" hidden="1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 ht="15.0" hidden="1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ht="15.0" hidden="1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 ht="15.0" hidden="1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 ht="15.0" hidden="1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 ht="15.0" hidden="1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ht="15.0" hidden="1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 ht="15.0" hidden="1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ht="15.0" hidden="1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ht="15.0" hidden="1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ht="15.0" hidden="1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ht="15.0" hidden="1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ht="15.0" hidden="1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ht="15.0" hidden="1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ht="15.0" hidden="1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ht="15.0" hidden="1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ht="15.0" hidden="1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 ht="15.0" hidden="1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ht="15.0" hidden="1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 ht="15.0" hidden="1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ht="15.0" hidden="1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ht="15.0" hidden="1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ht="15.0" hidden="1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ht="15.0" hidden="1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ht="15.0" hidden="1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 ht="15.0" hidden="1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ht="15.0" hidden="1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ht="15.0" hidden="1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ht="15.0" hidden="1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 ht="15.0" hidden="1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ht="15.0" hidden="1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 ht="15.0" hidden="1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ht="15.0" hidden="1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ht="15.0" hidden="1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ht="15.0" hidden="1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 ht="15.0" hidden="1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ht="15.0" hidden="1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 ht="15.0" hidden="1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ht="15.0" hidden="1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ht="15.0" hidden="1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ht="15.0" hidden="1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ht="15.0" hidden="1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ht="15.0" hidden="1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ht="15.0" hidden="1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ht="15.0" hidden="1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 ht="15.0" hidden="1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ht="15.0" hidden="1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 ht="15.0" hidden="1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ht="15.0" hidden="1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 ht="15.0" hidden="1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ht="15.0" hidden="1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 ht="15.0" hidden="1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ht="15.0" hidden="1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 ht="15.0" hidden="1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ht="15.0" hidden="1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ht="15.0" hidden="1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ht="15.0" hidden="1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ht="15.0" hidden="1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ht="15.0" hidden="1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 ht="15.0" hidden="1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ht="15.0" hidden="1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 ht="15.0" hidden="1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ht="15.0" hidden="1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 ht="15.0" hidden="1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ht="15.0" hidden="1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ht="15.0" hidden="1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ht="15.0" hidden="1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ht="15.0" hidden="1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ht="15.0" hidden="1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 ht="15.0" hidden="1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ht="15.0" hidden="1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ht="15.0" hidden="1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ht="15.0" hidden="1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 ht="15.0" hidden="1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ht="15.0" hidden="1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ht="15.0" hidden="1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ht="15.0" hidden="1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ht="15.0" hidden="1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ht="15.0" hidden="1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ht="15.0" hidden="1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ht="15.0" hidden="1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ht="15.0" hidden="1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ht="15.0" hidden="1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ht="15.0" hidden="1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ht="15.0" hidden="1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ht="15.0" hidden="1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ht="15.0" hidden="1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ht="15.0" hidden="1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ht="15.0" hidden="1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ht="15.0" hidden="1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ht="15.0" hidden="1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ht="15.0" hidden="1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ht="15.0" hidden="1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ht="15.0" hidden="1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ht="15.0" hidden="1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ht="15.0" hidden="1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ht="15.0" hidden="1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ht="15.0" hidden="1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ht="15.0" hidden="1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ht="15.0" hidden="1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ht="15.0" hidden="1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ht="15.0" hidden="1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ht="15.0" hidden="1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ht="15.0" hidden="1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ht="15.0" hidden="1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ht="15.0" hidden="1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ht="15.0" hidden="1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ht="15.0" hidden="1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ht="15.0" hidden="1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ht="15.0" hidden="1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ht="15.0" hidden="1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ht="15.0" hidden="1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ht="15.0" hidden="1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ht="15.0" hidden="1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ht="15.0" hidden="1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ht="15.0" hidden="1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ht="15.0" hidden="1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ht="15.0" hidden="1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ht="15.0" hidden="1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ht="15.0" hidden="1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ht="15.0" hidden="1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ht="15.0" hidden="1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ht="15.0" hidden="1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ht="15.0" hidden="1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ht="15.0" hidden="1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ht="15.0" hidden="1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ht="15.0" hidden="1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ht="15.0" hidden="1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ht="15.0" hidden="1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ht="15.0" hidden="1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ht="15.0" hidden="1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ht="15.0" hidden="1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ht="15.0" hidden="1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ht="15.0" hidden="1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ht="15.0" hidden="1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ht="15.0" hidden="1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ht="15.0" hidden="1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ht="15.0" hidden="1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ht="15.0" hidden="1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ht="15.0" hidden="1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ht="15.0" hidden="1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ht="15.0" hidden="1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ht="15.0" hidden="1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ht="15.0" hidden="1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ht="15.0" hidden="1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ht="15.0" hidden="1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ht="15.0" hidden="1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ht="15.0" hidden="1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ht="15.0" hidden="1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ht="15.0" hidden="1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ht="15.0" hidden="1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ht="15.0" hidden="1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ht="15.0" hidden="1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ht="15.0" hidden="1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ht="15.0" hidden="1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ht="15.0" hidden="1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ht="15.0" hidden="1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ht="15.0" hidden="1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ht="15.0" hidden="1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ht="15.0" hidden="1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ht="15.0" hidden="1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ht="15.0" hidden="1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ht="15.0" hidden="1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ht="15.0" hidden="1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ht="15.0" hidden="1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ht="15.0" hidden="1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ht="15.0" hidden="1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ht="15.0" hidden="1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ht="15.0" hidden="1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ht="15.0" hidden="1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ht="15.0" hidden="1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ht="15.0" hidden="1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ht="15.0" hidden="1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ht="15.0" hidden="1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ht="15.0" hidden="1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ht="15.0" hidden="1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ht="15.0" hidden="1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ht="15.0" hidden="1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ht="15.0" hidden="1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ht="15.0" hidden="1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ht="15.0" hidden="1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 ht="15.0" hidden="1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 ht="15.0" hidden="1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ht="15.0" hidden="1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ht="15.0" hidden="1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ht="15.0" hidden="1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 ht="15.0" hidden="1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 ht="15.0" hidden="1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 ht="15.0" hidden="1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ht="15.0" hidden="1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ht="15.0" hidden="1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ht="15.0" hidden="1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 ht="15.0" hidden="1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ht="15.0" hidden="1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 ht="15.0" hidden="1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 ht="15.0" hidden="1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 ht="15.0" hidden="1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ht="15.0" hidden="1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ht="15.0" hidden="1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ht="15.0" hidden="1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ht="15.0" hidden="1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 ht="15.0" hidden="1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 ht="15.0" hidden="1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 ht="15.0" hidden="1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 ht="15.0" hidden="1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ht="15.0" hidden="1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ht="15.0" hidden="1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ht="15.0" hidden="1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 ht="15.0" hidden="1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 ht="15.0" hidden="1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 ht="15.0" hidden="1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 ht="15.0" hidden="1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ht="15.0" hidden="1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 ht="15.0" hidden="1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ht="15.0" hidden="1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 ht="15.0" hidden="1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 ht="15.0" hidden="1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 ht="15.0" hidden="1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ht="15.0" hidden="1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ht="15.0" hidden="1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 ht="15.0" hidden="1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ht="15.0" hidden="1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ht="15.0" hidden="1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 ht="15.0" hidden="1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 ht="15.0" hidden="1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ht="15.0" hidden="1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 ht="15.0" hidden="1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 ht="15.0" hidden="1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ht="15.0" hidden="1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 ht="15.0" hidden="1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 ht="15.0" hidden="1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 ht="15.0" hidden="1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 ht="15.0" hidden="1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 ht="15.0" hidden="1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 ht="15.0" hidden="1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ht="15.0" hidden="1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 ht="15.0" hidden="1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 ht="15.0" hidden="1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 ht="15.0" hidden="1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 ht="15.0" hidden="1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 ht="15.0" hidden="1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ht="15.0" hidden="1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 ht="15.0" hidden="1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 ht="15.0" hidden="1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ht="15.0" hidden="1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 ht="15.0" hidden="1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 ht="15.0" hidden="1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 ht="15.0" hidden="1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ht="15.0" hidden="1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 ht="15.0" hidden="1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 ht="15.0" hidden="1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 ht="15.0" hidden="1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 ht="15.0" hidden="1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 ht="15.0" hidden="1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 ht="15.0" hidden="1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 ht="15.0" hidden="1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 ht="15.0" hidden="1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 ht="15.0" hidden="1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 ht="15.0" hidden="1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 ht="15.0" hidden="1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 ht="15.0" hidden="1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 ht="15.0" hidden="1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 ht="15.0" hidden="1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 ht="15.0" hidden="1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 ht="15.0" hidden="1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 ht="15.0" hidden="1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 ht="15.0" hidden="1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 ht="15.0" hidden="1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 ht="15.0" hidden="1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 ht="15.0" hidden="1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 ht="15.0" hidden="1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 ht="15.0" hidden="1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 ht="15.0" hidden="1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 ht="15.0" hidden="1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 ht="15.0" hidden="1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 ht="15.0" hidden="1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 ht="15.0" hidden="1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 ht="15.0" hidden="1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 ht="15.0" hidden="1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 ht="15.0" hidden="1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 ht="15.0" hidden="1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 ht="15.0" hidden="1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 ht="15.0" hidden="1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 ht="15.0" hidden="1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 ht="15.0" hidden="1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 ht="15.0" hidden="1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 ht="15.0" hidden="1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 ht="15.0" hidden="1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 ht="15.0" hidden="1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 ht="15.0" hidden="1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 ht="15.0" hidden="1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 ht="15.0" hidden="1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 ht="15.0" hidden="1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ht="15.0" hidden="1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 ht="15.0" hidden="1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 ht="15.0" hidden="1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 ht="15.0" hidden="1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 ht="15.0" hidden="1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 ht="15.0" hidden="1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 ht="15.0" hidden="1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 ht="15.0" hidden="1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 ht="15.0" hidden="1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 ht="15.0" hidden="1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 ht="15.0" hidden="1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 ht="15.0" hidden="1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 ht="15.0" hidden="1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 ht="15.0" hidden="1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 ht="15.0" hidden="1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 ht="15.0" hidden="1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 ht="15.0" hidden="1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 ht="15.0" hidden="1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 ht="15.0" hidden="1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 ht="15.0" hidden="1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 ht="15.0" hidden="1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 ht="15.0" hidden="1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 ht="15.0" hidden="1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 ht="15.0" hidden="1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 ht="15.0" hidden="1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 ht="15.0" hidden="1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 ht="15.0" hidden="1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 ht="15.0" hidden="1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 ht="15.0" hidden="1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 ht="15.0" hidden="1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 ht="15.0" hidden="1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 ht="15.0" hidden="1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 ht="15.0" hidden="1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 ht="15.0" hidden="1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 ht="15.0" hidden="1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 ht="15.0" hidden="1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 ht="15.0" hidden="1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 ht="15.0" hidden="1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 ht="15.0" hidden="1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 ht="15.0" hidden="1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 ht="15.0" hidden="1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 ht="15.0" hidden="1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 ht="15.0" hidden="1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 ht="15.0" hidden="1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 ht="15.0" hidden="1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 ht="15.0" hidden="1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 ht="15.0" hidden="1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 ht="15.0" hidden="1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 ht="15.0" hidden="1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 ht="15.0" hidden="1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 ht="15.0" hidden="1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 ht="15.0" hidden="1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 ht="15.0" hidden="1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 ht="15.0" hidden="1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 ht="15.0" hidden="1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 ht="15.0" hidden="1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 ht="15.0" hidden="1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 ht="15.0" hidden="1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 ht="15.0" hidden="1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 ht="15.0" hidden="1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 ht="15.0" hidden="1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 ht="15.0" hidden="1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 ht="15.0" hidden="1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 ht="15.0" hidden="1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 ht="15.0" hidden="1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 ht="15.0" hidden="1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 ht="15.0" hidden="1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 ht="15.0" hidden="1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 ht="15.0" hidden="1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 ht="15.0" hidden="1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 ht="15.0" hidden="1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 ht="15.0" hidden="1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 ht="15.0" hidden="1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 ht="15.0" hidden="1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 ht="15.0" hidden="1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 ht="15.0" hidden="1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 ht="15.0" hidden="1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 ht="15.0" hidden="1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 ht="15.0" hidden="1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 ht="15.0" hidden="1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 ht="15.0" hidden="1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 ht="15.0" hidden="1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 ht="15.0" hidden="1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 ht="15.0" hidden="1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 ht="15.0" hidden="1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 ht="15.0" hidden="1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 ht="15.0" hidden="1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 ht="15.0" hidden="1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 ht="15.0" hidden="1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 ht="15.0" hidden="1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 ht="15.0" hidden="1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 ht="15.0" hidden="1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 ht="15.0" hidden="1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 ht="15.0" hidden="1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 ht="15.0" hidden="1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 ht="15.0" hidden="1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 ht="15.0" hidden="1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 ht="15.0" hidden="1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 ht="15.0" hidden="1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 ht="15.0" hidden="1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 ht="15.0" hidden="1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 ht="15.0" hidden="1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 ht="15.0" hidden="1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 ht="15.0" hidden="1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 ht="15.0" hidden="1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 ht="15.0" hidden="1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 ht="15.0" hidden="1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 ht="15.0" hidden="1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 ht="15.0" hidden="1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 ht="15.0" hidden="1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 ht="15.0" hidden="1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 ht="15.0" hidden="1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 ht="15.0" hidden="1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 ht="15.0" hidden="1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 ht="15.0" hidden="1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 ht="15.0" hidden="1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 ht="15.0" hidden="1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 ht="15.0" hidden="1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 ht="15.0" hidden="1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 ht="15.0" hidden="1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 ht="15.0" hidden="1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 ht="15.0" hidden="1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 ht="15.0" hidden="1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 ht="15.0" hidden="1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 ht="15.0" hidden="1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 ht="15.0" hidden="1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 ht="15.0" hidden="1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 ht="15.0" hidden="1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 ht="15.0" hidden="1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 ht="15.0" hidden="1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 ht="15.0" hidden="1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 ht="15.0" hidden="1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 ht="15.0" hidden="1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 ht="15.0" hidden="1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 ht="15.0" hidden="1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 ht="15.0" hidden="1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 ht="15.0" hidden="1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 ht="15.0" hidden="1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 ht="15.0" hidden="1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 ht="15.0" hidden="1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 ht="15.0" hidden="1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 ht="15.0" hidden="1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 ht="15.0" hidden="1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 ht="15.0" hidden="1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 ht="15.0" hidden="1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 ht="15.0" hidden="1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 ht="15.0" hidden="1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 ht="15.0" hidden="1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 ht="15.0" hidden="1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ht="15.0" hidden="1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 ht="15.0" hidden="1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 ht="15.0" hidden="1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 ht="15.0" hidden="1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 ht="15.0" hidden="1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 ht="15.0" hidden="1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 ht="15.0" hidden="1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 ht="15.0" hidden="1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 ht="15.0" hidden="1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 ht="15.0" hidden="1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 ht="15.0" hidden="1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 ht="15.0" hidden="1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 ht="15.0" hidden="1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 ht="15.0" hidden="1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 ht="15.0" hidden="1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 ht="15.0" hidden="1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 ht="15.0" hidden="1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 ht="15.0" hidden="1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 ht="15.0" hidden="1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 ht="15.0" hidden="1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 ht="15.0" hidden="1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 ht="15.0" hidden="1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 ht="15.0" hidden="1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 ht="15.0" hidden="1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 ht="15.0" hidden="1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 ht="15.0" hidden="1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 ht="15.0" hidden="1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 ht="15.0" hidden="1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 ht="15.0" hidden="1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 ht="15.0" hidden="1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 ht="15.0" hidden="1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 ht="15.0" hidden="1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 ht="15.0" hidden="1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 ht="15.0" hidden="1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 ht="15.0" hidden="1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 ht="15.0" hidden="1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 ht="15.0" hidden="1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 ht="15.0" hidden="1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 ht="15.0" hidden="1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 ht="15.0" hidden="1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 ht="15.0" hidden="1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 ht="15.0" hidden="1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 ht="15.0" hidden="1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 ht="15.0" hidden="1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 ht="15.0" hidden="1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 ht="15.0" hidden="1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 ht="15.0" hidden="1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 ht="15.0" hidden="1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 ht="15.0" hidden="1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 ht="15.0" hidden="1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 ht="15.0" hidden="1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 ht="15.0" hidden="1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 ht="15.0" hidden="1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 ht="15.0" hidden="1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 ht="15.0" hidden="1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 ht="15.0" hidden="1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 ht="15.0" hidden="1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 ht="15.0" hidden="1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 ht="15.0" hidden="1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 ht="15.0" hidden="1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 ht="15.0" hidden="1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 ht="15.0" hidden="1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 ht="15.0" hidden="1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 ht="15.0" hidden="1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 ht="15.0" hidden="1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 ht="15.0" hidden="1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 ht="15.0" hidden="1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 ht="15.0" hidden="1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 ht="15.0" hidden="1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 ht="15.0" hidden="1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 ht="15.0" hidden="1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 ht="15.0" hidden="1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 ht="15.0" hidden="1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 ht="15.0" hidden="1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 ht="15.0" hidden="1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 ht="15.0" hidden="1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 ht="15.0" hidden="1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 ht="15.0" hidden="1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 ht="15.0" hidden="1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 ht="15.0" hidden="1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 ht="15.0" hidden="1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 ht="15.0" hidden="1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 ht="15.0" hidden="1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 ht="15.0" hidden="1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 ht="15.0" hidden="1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 ht="15.0" hidden="1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 ht="15.0" hidden="1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 ht="15.0" hidden="1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 ht="15.0" hidden="1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 ht="15.0" hidden="1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 ht="15.0" hidden="1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 ht="15.0" hidden="1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 ht="15.0" hidden="1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 ht="15.0" hidden="1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ht="15.0" hidden="1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 ht="15.0" hidden="1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ht="15.0" hidden="1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ht="15.0" hidden="1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 ht="15.0" hidden="1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ht="15.0" hidden="1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 ht="15.0" hidden="1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 ht="15.0" hidden="1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ht="15.0" hidden="1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ht="15.0" hidden="1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ht="15.0" hidden="1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 ht="15.0" hidden="1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 ht="15.0" hidden="1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ht="15.0" hidden="1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 ht="15.0" hidden="1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ht="15.0" hidden="1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 ht="15.0" hidden="1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ht="15.0" hidden="1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 ht="15.0" hidden="1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 ht="15.0" hidden="1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 ht="15.0" hidden="1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 ht="15.0" hidden="1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 ht="15.0" hidden="1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 ht="15.0" hidden="1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 ht="15.0" hidden="1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 ht="15.0" hidden="1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 ht="15.0" hidden="1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 ht="15.0" hidden="1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 ht="15.0" hidden="1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 ht="15.0" hidden="1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ht="15.0" hidden="1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 ht="15.0" hidden="1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 ht="15.0" hidden="1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 ht="15.0" hidden="1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 ht="15.0" hidden="1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 ht="15.0" hidden="1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 ht="15.0" hidden="1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 ht="15.0" hidden="1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 ht="15.0" hidden="1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 ht="15.0" hidden="1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 ht="15.0" hidden="1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 ht="15.0" hidden="1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 ht="15.0" hidden="1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 ht="15.0" hidden="1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 ht="15.0" hidden="1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 ht="15.0" hidden="1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 ht="15.0" hidden="1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 ht="15.0" hidden="1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 ht="15.0" hidden="1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 ht="15.0" hidden="1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 ht="15.0" hidden="1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 ht="15.0" hidden="1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 ht="15.0" hidden="1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 ht="15.0" hidden="1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 ht="15.0" hidden="1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 ht="15.0" hidden="1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 ht="15.0" hidden="1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 ht="15.0" hidden="1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 ht="15.0" hidden="1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 ht="15.0" hidden="1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 ht="15.0" hidden="1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 ht="15.0" hidden="1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 ht="15.0" hidden="1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 ht="15.0" hidden="1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 ht="15.0" hidden="1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 ht="15.0" hidden="1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 ht="15.0" hidden="1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 ht="15.0" hidden="1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 ht="15.0" hidden="1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 ht="15.0" hidden="1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 ht="15.0" hidden="1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 ht="15.0" hidden="1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 ht="15.0" hidden="1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 ht="15.0" hidden="1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 ht="15.0" hidden="1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 ht="15.0" hidden="1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 ht="15.0" hidden="1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 ht="15.0" hidden="1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 ht="15.0" hidden="1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 ht="15.0" hidden="1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 ht="15.0" hidden="1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 ht="15.0" hidden="1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 ht="15.0" hidden="1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 ht="15.0" hidden="1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 ht="15.0" hidden="1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 ht="15.0" hidden="1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 ht="15.0" hidden="1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 ht="15.0" hidden="1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 ht="15.0" hidden="1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 ht="15.0" hidden="1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 ht="15.0" hidden="1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 ht="15.0" hidden="1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 ht="15.0" hidden="1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 ht="15.0" hidden="1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 ht="15.0" hidden="1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  <row r="1000" ht="15.0" hidden="1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  <row r="1001" ht="15.0" hidden="1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</row>
    <row r="1002" ht="15.75" hidden="1" customHeight="1">
      <c r="A1002" s="84"/>
      <c r="B1002" s="85"/>
      <c r="C1002" s="85"/>
      <c r="D1002" s="85"/>
      <c r="E1002" s="85"/>
      <c r="F1002" s="85"/>
      <c r="G1002" s="85"/>
      <c r="H1002" s="85"/>
      <c r="I1002" s="85"/>
      <c r="J1002" s="13"/>
      <c r="K1002" s="13"/>
      <c r="L1002" s="13"/>
      <c r="M1002" s="85"/>
      <c r="N1002" s="85"/>
    </row>
    <row r="1003" ht="15.75" hidden="1" customHeight="1">
      <c r="A1003" s="84"/>
      <c r="B1003" s="85"/>
      <c r="C1003" s="85"/>
      <c r="D1003" s="85"/>
      <c r="E1003" s="85"/>
      <c r="F1003" s="85"/>
      <c r="G1003" s="85"/>
      <c r="H1003" s="85"/>
      <c r="I1003" s="85"/>
      <c r="J1003" s="13"/>
      <c r="K1003" s="13"/>
      <c r="L1003" s="13"/>
      <c r="M1003" s="85"/>
      <c r="N1003" s="85"/>
    </row>
    <row r="1004" ht="15.75" hidden="1" customHeight="1">
      <c r="A1004" s="84"/>
      <c r="B1004" s="85"/>
      <c r="C1004" s="85"/>
      <c r="D1004" s="85"/>
      <c r="E1004" s="85"/>
      <c r="F1004" s="85"/>
      <c r="G1004" s="85"/>
      <c r="H1004" s="85"/>
      <c r="I1004" s="85"/>
      <c r="J1004" s="13"/>
      <c r="K1004" s="13"/>
      <c r="L1004" s="13"/>
      <c r="M1004" s="85"/>
      <c r="N1004" s="85"/>
    </row>
    <row r="1005" ht="15.75" hidden="1" customHeight="1">
      <c r="A1005" s="84"/>
      <c r="B1005" s="85"/>
      <c r="C1005" s="85"/>
      <c r="D1005" s="85"/>
      <c r="E1005" s="85"/>
      <c r="F1005" s="85"/>
      <c r="G1005" s="85"/>
      <c r="H1005" s="85"/>
      <c r="I1005" s="85"/>
      <c r="J1005" s="13"/>
      <c r="K1005" s="13"/>
      <c r="L1005" s="13"/>
      <c r="M1005" s="85"/>
      <c r="N1005" s="85"/>
    </row>
    <row r="1006" ht="15.75" hidden="1" customHeight="1">
      <c r="A1006" s="84"/>
      <c r="B1006" s="85"/>
      <c r="C1006" s="85"/>
      <c r="D1006" s="85"/>
      <c r="E1006" s="85"/>
      <c r="F1006" s="85"/>
      <c r="G1006" s="85"/>
      <c r="H1006" s="85"/>
      <c r="I1006" s="85"/>
      <c r="J1006" s="13"/>
      <c r="K1006" s="13"/>
      <c r="L1006" s="13"/>
      <c r="M1006" s="85"/>
      <c r="N1006" s="85"/>
    </row>
    <row r="1007" ht="15.75" hidden="1" customHeight="1">
      <c r="A1007" s="84"/>
      <c r="B1007" s="85"/>
      <c r="C1007" s="85"/>
      <c r="D1007" s="85"/>
      <c r="E1007" s="85"/>
      <c r="F1007" s="85"/>
      <c r="G1007" s="85"/>
      <c r="H1007" s="85"/>
      <c r="I1007" s="85"/>
      <c r="J1007" s="13"/>
      <c r="K1007" s="13"/>
      <c r="L1007" s="13"/>
      <c r="M1007" s="85"/>
      <c r="N1007" s="85"/>
    </row>
    <row r="1008" ht="15.75" hidden="1" customHeight="1">
      <c r="A1008" s="84"/>
      <c r="B1008" s="85"/>
      <c r="C1008" s="85"/>
      <c r="D1008" s="85"/>
      <c r="E1008" s="85"/>
      <c r="F1008" s="85"/>
      <c r="G1008" s="85"/>
      <c r="H1008" s="85"/>
      <c r="I1008" s="85"/>
      <c r="J1008" s="13"/>
      <c r="K1008" s="13"/>
      <c r="L1008" s="13"/>
      <c r="M1008" s="85"/>
      <c r="N1008" s="85"/>
    </row>
    <row r="1009" ht="15.75" hidden="1" customHeight="1">
      <c r="A1009" s="84"/>
      <c r="B1009" s="85"/>
      <c r="C1009" s="85"/>
      <c r="D1009" s="85"/>
      <c r="E1009" s="85"/>
      <c r="F1009" s="85"/>
      <c r="G1009" s="85"/>
      <c r="H1009" s="85"/>
      <c r="I1009" s="85"/>
      <c r="J1009" s="13"/>
      <c r="K1009" s="13"/>
      <c r="L1009" s="13"/>
      <c r="M1009" s="85"/>
      <c r="N1009" s="85"/>
    </row>
    <row r="1010" ht="15.75" hidden="1" customHeight="1">
      <c r="A1010" s="84"/>
      <c r="B1010" s="85"/>
      <c r="C1010" s="85"/>
      <c r="D1010" s="85"/>
      <c r="E1010" s="85"/>
      <c r="F1010" s="85"/>
      <c r="G1010" s="85"/>
      <c r="H1010" s="85"/>
      <c r="I1010" s="85"/>
      <c r="J1010" s="13"/>
      <c r="K1010" s="13"/>
      <c r="L1010" s="13"/>
      <c r="M1010" s="85"/>
      <c r="N1010" s="85"/>
    </row>
    <row r="1011" ht="15.75" hidden="1" customHeight="1">
      <c r="A1011" s="84"/>
      <c r="B1011" s="85"/>
      <c r="C1011" s="85"/>
      <c r="D1011" s="85"/>
      <c r="E1011" s="85"/>
      <c r="F1011" s="85"/>
      <c r="G1011" s="85"/>
      <c r="H1011" s="85"/>
      <c r="I1011" s="85"/>
      <c r="J1011" s="13"/>
      <c r="K1011" s="13"/>
      <c r="L1011" s="13"/>
      <c r="M1011" s="85"/>
      <c r="N1011" s="85"/>
    </row>
    <row r="1012" ht="15.75" hidden="1" customHeight="1">
      <c r="A1012" s="84"/>
      <c r="B1012" s="85"/>
      <c r="C1012" s="85"/>
      <c r="D1012" s="85"/>
      <c r="E1012" s="85"/>
      <c r="F1012" s="85"/>
      <c r="G1012" s="85"/>
      <c r="H1012" s="85"/>
      <c r="I1012" s="85"/>
      <c r="J1012" s="13"/>
      <c r="K1012" s="13"/>
      <c r="L1012" s="13"/>
      <c r="M1012" s="85"/>
      <c r="N1012" s="85"/>
    </row>
    <row r="1013" ht="15.75" hidden="1" customHeight="1">
      <c r="A1013" s="84"/>
      <c r="B1013" s="85"/>
      <c r="C1013" s="85"/>
      <c r="D1013" s="85"/>
      <c r="E1013" s="85"/>
      <c r="F1013" s="85"/>
      <c r="G1013" s="85"/>
      <c r="H1013" s="85"/>
      <c r="I1013" s="85"/>
      <c r="J1013" s="13"/>
      <c r="K1013" s="13"/>
      <c r="L1013" s="13"/>
      <c r="M1013" s="85"/>
      <c r="N1013" s="85"/>
    </row>
    <row r="1014" ht="15.75" hidden="1" customHeight="1">
      <c r="A1014" s="84"/>
      <c r="B1014" s="85"/>
      <c r="C1014" s="85"/>
      <c r="D1014" s="85"/>
      <c r="E1014" s="85"/>
      <c r="F1014" s="85"/>
      <c r="G1014" s="85"/>
      <c r="H1014" s="85"/>
      <c r="I1014" s="85"/>
      <c r="J1014" s="13"/>
      <c r="K1014" s="13"/>
      <c r="L1014" s="13"/>
      <c r="M1014" s="85"/>
      <c r="N1014" s="85"/>
    </row>
    <row r="1015" ht="15.75" hidden="1" customHeight="1">
      <c r="A1015" s="84"/>
      <c r="B1015" s="85"/>
      <c r="C1015" s="85"/>
      <c r="D1015" s="85"/>
      <c r="E1015" s="85"/>
      <c r="F1015" s="85"/>
      <c r="G1015" s="85"/>
      <c r="H1015" s="85"/>
      <c r="I1015" s="85"/>
      <c r="J1015" s="13"/>
      <c r="K1015" s="13"/>
      <c r="L1015" s="13"/>
      <c r="M1015" s="85"/>
      <c r="N1015" s="85"/>
    </row>
    <row r="1016" ht="15.75" hidden="1" customHeight="1">
      <c r="A1016" s="84"/>
      <c r="B1016" s="85"/>
      <c r="C1016" s="85"/>
      <c r="D1016" s="85"/>
      <c r="E1016" s="85"/>
      <c r="F1016" s="85"/>
      <c r="G1016" s="85"/>
      <c r="H1016" s="85"/>
      <c r="I1016" s="85"/>
      <c r="J1016" s="13"/>
      <c r="K1016" s="13"/>
      <c r="L1016" s="13"/>
      <c r="M1016" s="85"/>
      <c r="N1016" s="85"/>
    </row>
    <row r="1017" ht="15.75" hidden="1" customHeight="1">
      <c r="A1017" s="84"/>
      <c r="B1017" s="85"/>
      <c r="C1017" s="85"/>
      <c r="D1017" s="85"/>
      <c r="E1017" s="85"/>
      <c r="F1017" s="85"/>
      <c r="G1017" s="85"/>
      <c r="H1017" s="85"/>
      <c r="I1017" s="85"/>
      <c r="J1017" s="13"/>
      <c r="K1017" s="13"/>
      <c r="L1017" s="13"/>
      <c r="M1017" s="85"/>
      <c r="N1017" s="85"/>
    </row>
    <row r="1018" ht="15.75" hidden="1" customHeight="1">
      <c r="A1018" s="84"/>
      <c r="B1018" s="85"/>
      <c r="C1018" s="85"/>
      <c r="D1018" s="85"/>
      <c r="E1018" s="85"/>
      <c r="F1018" s="85"/>
      <c r="G1018" s="85"/>
      <c r="H1018" s="85"/>
      <c r="I1018" s="85"/>
      <c r="J1018" s="13"/>
      <c r="K1018" s="13"/>
      <c r="L1018" s="13"/>
      <c r="M1018" s="85"/>
      <c r="N1018" s="85"/>
    </row>
    <row r="1019" ht="15.75" hidden="1" customHeight="1">
      <c r="A1019" s="84"/>
      <c r="B1019" s="85"/>
      <c r="C1019" s="85"/>
      <c r="D1019" s="85"/>
      <c r="E1019" s="85"/>
      <c r="F1019" s="85"/>
      <c r="G1019" s="85"/>
      <c r="H1019" s="85"/>
      <c r="I1019" s="85"/>
      <c r="J1019" s="13"/>
      <c r="K1019" s="13"/>
      <c r="L1019" s="13"/>
      <c r="M1019" s="85"/>
      <c r="N1019" s="85"/>
    </row>
    <row r="1020" ht="15.75" hidden="1" customHeight="1">
      <c r="A1020" s="84"/>
      <c r="B1020" s="85"/>
      <c r="C1020" s="85"/>
      <c r="D1020" s="85"/>
      <c r="E1020" s="85"/>
      <c r="F1020" s="85"/>
      <c r="G1020" s="85"/>
      <c r="H1020" s="85"/>
      <c r="I1020" s="85"/>
      <c r="J1020" s="13"/>
      <c r="K1020" s="13"/>
      <c r="L1020" s="13"/>
      <c r="M1020" s="85"/>
      <c r="N1020" s="85"/>
    </row>
    <row r="1021" ht="15.75" hidden="1" customHeight="1">
      <c r="A1021" s="84"/>
      <c r="B1021" s="85"/>
      <c r="C1021" s="85"/>
      <c r="D1021" s="85"/>
      <c r="E1021" s="85"/>
      <c r="F1021" s="85"/>
      <c r="G1021" s="85"/>
      <c r="H1021" s="85"/>
      <c r="I1021" s="85"/>
      <c r="J1021" s="13"/>
      <c r="K1021" s="13"/>
      <c r="L1021" s="13"/>
      <c r="M1021" s="85"/>
      <c r="N1021" s="85"/>
    </row>
    <row r="1022" ht="15.75" hidden="1" customHeight="1">
      <c r="A1022" s="84"/>
      <c r="B1022" s="85"/>
      <c r="C1022" s="85"/>
      <c r="D1022" s="85"/>
      <c r="E1022" s="85"/>
      <c r="F1022" s="85"/>
      <c r="G1022" s="85"/>
      <c r="H1022" s="85"/>
      <c r="I1022" s="85"/>
      <c r="J1022" s="13"/>
      <c r="K1022" s="13"/>
      <c r="L1022" s="13"/>
      <c r="M1022" s="85"/>
      <c r="N1022" s="85"/>
    </row>
    <row r="1023" ht="15.75" hidden="1" customHeight="1">
      <c r="A1023" s="84"/>
      <c r="B1023" s="85"/>
      <c r="C1023" s="85"/>
      <c r="D1023" s="85"/>
      <c r="E1023" s="85"/>
      <c r="F1023" s="85"/>
      <c r="G1023" s="85"/>
      <c r="H1023" s="85"/>
      <c r="I1023" s="85"/>
      <c r="J1023" s="13"/>
      <c r="K1023" s="13"/>
      <c r="L1023" s="13"/>
      <c r="M1023" s="85"/>
      <c r="N1023" s="85"/>
    </row>
    <row r="1024" ht="15.75" hidden="1" customHeight="1">
      <c r="A1024" s="84"/>
      <c r="B1024" s="85"/>
      <c r="C1024" s="85"/>
      <c r="D1024" s="85"/>
      <c r="E1024" s="85"/>
      <c r="F1024" s="85"/>
      <c r="G1024" s="85"/>
      <c r="H1024" s="85"/>
      <c r="I1024" s="85"/>
      <c r="J1024" s="13"/>
      <c r="K1024" s="13"/>
      <c r="L1024" s="13"/>
      <c r="M1024" s="85"/>
      <c r="N1024" s="85"/>
    </row>
    <row r="1025" ht="15.75" hidden="1" customHeight="1">
      <c r="A1025" s="84"/>
      <c r="B1025" s="85"/>
      <c r="C1025" s="85"/>
      <c r="D1025" s="85"/>
      <c r="E1025" s="85"/>
      <c r="F1025" s="85"/>
      <c r="G1025" s="85"/>
      <c r="H1025" s="85"/>
      <c r="I1025" s="85"/>
      <c r="J1025" s="13"/>
      <c r="K1025" s="13"/>
      <c r="L1025" s="13"/>
      <c r="M1025" s="85"/>
      <c r="N1025" s="85"/>
    </row>
    <row r="1026" ht="15.75" hidden="1" customHeight="1">
      <c r="A1026" s="84"/>
      <c r="B1026" s="85"/>
      <c r="C1026" s="85"/>
      <c r="D1026" s="85"/>
      <c r="E1026" s="85"/>
      <c r="F1026" s="85"/>
      <c r="G1026" s="85"/>
      <c r="H1026" s="85"/>
      <c r="I1026" s="85"/>
      <c r="J1026" s="13"/>
      <c r="K1026" s="13"/>
      <c r="L1026" s="13"/>
      <c r="M1026" s="85"/>
      <c r="N1026" s="85"/>
    </row>
    <row r="1027" ht="15.75" hidden="1" customHeight="1">
      <c r="A1027" s="84"/>
      <c r="B1027" s="85"/>
      <c r="C1027" s="85"/>
      <c r="D1027" s="85"/>
      <c r="E1027" s="85"/>
      <c r="F1027" s="85"/>
      <c r="G1027" s="85"/>
      <c r="H1027" s="85"/>
      <c r="I1027" s="85"/>
      <c r="J1027" s="13"/>
      <c r="K1027" s="13"/>
      <c r="L1027" s="13"/>
      <c r="M1027" s="85"/>
      <c r="N1027" s="85"/>
    </row>
    <row r="1028" ht="15.75" hidden="1" customHeight="1">
      <c r="A1028" s="84"/>
      <c r="B1028" s="85"/>
      <c r="C1028" s="85"/>
      <c r="D1028" s="85"/>
      <c r="E1028" s="85"/>
      <c r="F1028" s="85"/>
      <c r="G1028" s="85"/>
      <c r="H1028" s="85"/>
      <c r="I1028" s="85"/>
      <c r="J1028" s="13"/>
      <c r="K1028" s="13"/>
      <c r="L1028" s="13"/>
      <c r="M1028" s="85"/>
      <c r="N1028" s="85"/>
    </row>
    <row r="1029" ht="15.75" hidden="1" customHeight="1">
      <c r="A1029" s="84"/>
      <c r="B1029" s="85"/>
      <c r="C1029" s="85"/>
      <c r="D1029" s="85"/>
      <c r="E1029" s="85"/>
      <c r="F1029" s="85"/>
      <c r="G1029" s="85"/>
      <c r="H1029" s="85"/>
      <c r="I1029" s="85"/>
      <c r="J1029" s="13"/>
      <c r="K1029" s="13"/>
      <c r="L1029" s="13"/>
      <c r="M1029" s="85"/>
      <c r="N1029" s="85"/>
    </row>
    <row r="1030" ht="15.75" hidden="1" customHeight="1">
      <c r="A1030" s="84"/>
      <c r="B1030" s="85"/>
      <c r="C1030" s="85"/>
      <c r="D1030" s="85"/>
      <c r="E1030" s="85"/>
      <c r="F1030" s="85"/>
      <c r="G1030" s="85"/>
      <c r="H1030" s="85"/>
      <c r="I1030" s="85"/>
      <c r="J1030" s="13"/>
      <c r="K1030" s="13"/>
      <c r="L1030" s="13"/>
      <c r="M1030" s="85"/>
      <c r="N1030" s="85"/>
    </row>
    <row r="1031" ht="15.75" hidden="1" customHeight="1">
      <c r="A1031" s="84"/>
      <c r="B1031" s="85"/>
      <c r="C1031" s="85"/>
      <c r="D1031" s="85"/>
      <c r="E1031" s="85"/>
      <c r="F1031" s="85"/>
      <c r="G1031" s="85"/>
      <c r="H1031" s="85"/>
      <c r="I1031" s="85"/>
      <c r="J1031" s="13"/>
      <c r="K1031" s="13"/>
      <c r="L1031" s="13"/>
      <c r="M1031" s="85"/>
      <c r="N1031" s="85"/>
    </row>
    <row r="1032" ht="15.75" hidden="1" customHeight="1">
      <c r="A1032" s="84"/>
      <c r="B1032" s="85"/>
      <c r="C1032" s="85"/>
      <c r="D1032" s="85"/>
      <c r="E1032" s="85"/>
      <c r="F1032" s="85"/>
      <c r="G1032" s="85"/>
      <c r="H1032" s="85"/>
      <c r="I1032" s="85"/>
      <c r="J1032" s="13"/>
      <c r="K1032" s="13"/>
      <c r="L1032" s="13"/>
      <c r="M1032" s="85"/>
      <c r="N1032" s="85"/>
    </row>
    <row r="1033" ht="15.75" hidden="1" customHeight="1">
      <c r="A1033" s="84"/>
      <c r="B1033" s="85"/>
      <c r="C1033" s="85"/>
      <c r="D1033" s="85"/>
      <c r="E1033" s="85"/>
      <c r="F1033" s="85"/>
      <c r="G1033" s="85"/>
      <c r="H1033" s="85"/>
      <c r="I1033" s="85"/>
      <c r="J1033" s="13"/>
      <c r="K1033" s="13"/>
      <c r="L1033" s="13"/>
      <c r="M1033" s="85"/>
      <c r="N1033" s="85"/>
    </row>
    <row r="1034" ht="15.75" hidden="1" customHeight="1">
      <c r="A1034" s="84"/>
      <c r="B1034" s="85"/>
      <c r="C1034" s="85"/>
      <c r="D1034" s="85"/>
      <c r="E1034" s="85"/>
      <c r="F1034" s="85"/>
      <c r="G1034" s="85"/>
      <c r="H1034" s="85"/>
      <c r="I1034" s="85"/>
      <c r="J1034" s="13"/>
      <c r="K1034" s="13"/>
      <c r="L1034" s="13"/>
      <c r="M1034" s="85"/>
      <c r="N1034" s="85"/>
    </row>
    <row r="1035" ht="15.75" hidden="1" customHeight="1">
      <c r="A1035" s="84"/>
      <c r="B1035" s="85"/>
      <c r="C1035" s="85"/>
      <c r="D1035" s="85"/>
      <c r="E1035" s="85"/>
      <c r="F1035" s="85"/>
      <c r="G1035" s="85"/>
      <c r="H1035" s="85"/>
      <c r="I1035" s="85"/>
      <c r="J1035" s="13"/>
      <c r="K1035" s="13"/>
      <c r="L1035" s="13"/>
      <c r="M1035" s="85"/>
      <c r="N1035" s="85"/>
    </row>
    <row r="1036" ht="15.75" hidden="1" customHeight="1">
      <c r="A1036" s="84"/>
      <c r="B1036" s="85"/>
      <c r="C1036" s="85"/>
      <c r="D1036" s="85"/>
      <c r="E1036" s="85"/>
      <c r="F1036" s="85"/>
      <c r="G1036" s="85"/>
      <c r="H1036" s="85"/>
      <c r="I1036" s="85"/>
      <c r="J1036" s="13"/>
      <c r="K1036" s="13"/>
      <c r="L1036" s="13"/>
      <c r="M1036" s="85"/>
      <c r="N1036" s="85"/>
    </row>
    <row r="1037" ht="15.75" hidden="1" customHeight="1">
      <c r="A1037" s="84"/>
      <c r="B1037" s="85"/>
      <c r="C1037" s="85"/>
      <c r="D1037" s="85"/>
      <c r="E1037" s="85"/>
      <c r="F1037" s="85"/>
      <c r="G1037" s="85"/>
      <c r="H1037" s="85"/>
      <c r="I1037" s="85"/>
      <c r="J1037" s="13"/>
      <c r="K1037" s="13"/>
      <c r="L1037" s="13"/>
      <c r="M1037" s="85"/>
      <c r="N1037" s="85"/>
    </row>
    <row r="1038" ht="15.75" hidden="1" customHeight="1">
      <c r="A1038" s="84"/>
      <c r="B1038" s="85"/>
      <c r="C1038" s="85"/>
      <c r="D1038" s="85"/>
      <c r="E1038" s="85"/>
      <c r="F1038" s="85"/>
      <c r="G1038" s="85"/>
      <c r="H1038" s="85"/>
      <c r="I1038" s="85"/>
      <c r="J1038" s="13"/>
      <c r="K1038" s="13"/>
      <c r="L1038" s="13"/>
      <c r="M1038" s="85"/>
      <c r="N1038" s="85"/>
    </row>
    <row r="1039" ht="15.75" hidden="1" customHeight="1">
      <c r="A1039" s="84"/>
      <c r="B1039" s="85"/>
      <c r="C1039" s="85"/>
      <c r="D1039" s="85"/>
      <c r="E1039" s="85"/>
      <c r="F1039" s="85"/>
      <c r="G1039" s="85"/>
      <c r="H1039" s="85"/>
      <c r="I1039" s="85"/>
      <c r="J1039" s="13"/>
      <c r="K1039" s="13"/>
      <c r="L1039" s="13"/>
      <c r="M1039" s="85"/>
      <c r="N1039" s="85"/>
    </row>
    <row r="1040" ht="15.75" hidden="1" customHeight="1">
      <c r="A1040" s="84"/>
      <c r="B1040" s="85"/>
      <c r="C1040" s="85"/>
      <c r="D1040" s="85"/>
      <c r="E1040" s="85"/>
      <c r="F1040" s="85"/>
      <c r="G1040" s="85"/>
      <c r="H1040" s="85"/>
      <c r="I1040" s="85"/>
      <c r="J1040" s="13"/>
      <c r="K1040" s="13"/>
      <c r="L1040" s="13"/>
      <c r="M1040" s="85"/>
      <c r="N1040" s="85"/>
    </row>
    <row r="1041" ht="15.75" hidden="1" customHeight="1">
      <c r="A1041" s="84"/>
      <c r="B1041" s="85"/>
      <c r="C1041" s="85"/>
      <c r="D1041" s="85"/>
      <c r="E1041" s="85"/>
      <c r="F1041" s="85"/>
      <c r="G1041" s="85"/>
      <c r="H1041" s="85"/>
      <c r="I1041" s="85"/>
      <c r="J1041" s="13"/>
      <c r="K1041" s="13"/>
      <c r="L1041" s="13"/>
      <c r="M1041" s="85"/>
      <c r="N1041" s="85"/>
    </row>
    <row r="1042" ht="15.75" hidden="1" customHeight="1">
      <c r="A1042" s="84"/>
      <c r="B1042" s="85"/>
      <c r="C1042" s="85"/>
      <c r="D1042" s="85"/>
      <c r="E1042" s="85"/>
      <c r="F1042" s="85"/>
      <c r="G1042" s="85"/>
      <c r="H1042" s="85"/>
      <c r="I1042" s="85"/>
      <c r="J1042" s="13"/>
      <c r="K1042" s="13"/>
      <c r="L1042" s="13"/>
      <c r="M1042" s="85"/>
      <c r="N1042" s="85"/>
    </row>
    <row r="1043" ht="15.75" hidden="1" customHeight="1">
      <c r="A1043" s="84"/>
      <c r="B1043" s="85"/>
      <c r="C1043" s="85"/>
      <c r="D1043" s="85"/>
      <c r="E1043" s="85"/>
      <c r="F1043" s="85"/>
      <c r="G1043" s="85"/>
      <c r="H1043" s="85"/>
      <c r="I1043" s="85"/>
      <c r="J1043" s="13"/>
      <c r="K1043" s="13"/>
      <c r="L1043" s="13"/>
      <c r="M1043" s="85"/>
      <c r="N1043" s="85"/>
    </row>
    <row r="1044" ht="15.75" hidden="1" customHeight="1">
      <c r="A1044" s="84"/>
      <c r="B1044" s="85"/>
      <c r="C1044" s="85"/>
      <c r="D1044" s="85"/>
      <c r="E1044" s="85"/>
      <c r="F1044" s="85"/>
      <c r="G1044" s="85"/>
      <c r="H1044" s="85"/>
      <c r="I1044" s="85"/>
      <c r="J1044" s="13"/>
      <c r="K1044" s="13"/>
      <c r="L1044" s="13"/>
      <c r="M1044" s="85"/>
      <c r="N1044" s="85"/>
    </row>
    <row r="1045" ht="15.75" hidden="1" customHeight="1">
      <c r="A1045" s="84"/>
      <c r="B1045" s="85"/>
      <c r="C1045" s="85"/>
      <c r="D1045" s="85"/>
      <c r="E1045" s="85"/>
      <c r="F1045" s="85"/>
      <c r="G1045" s="85"/>
      <c r="H1045" s="85"/>
      <c r="I1045" s="85"/>
      <c r="J1045" s="13"/>
      <c r="K1045" s="13"/>
      <c r="L1045" s="13"/>
      <c r="M1045" s="85"/>
      <c r="N1045" s="85"/>
    </row>
    <row r="1046" ht="15.75" hidden="1" customHeight="1">
      <c r="A1046" s="84"/>
      <c r="B1046" s="85"/>
      <c r="C1046" s="85"/>
      <c r="D1046" s="85"/>
      <c r="E1046" s="85"/>
      <c r="F1046" s="85"/>
      <c r="G1046" s="85"/>
      <c r="H1046" s="85"/>
      <c r="I1046" s="85"/>
      <c r="J1046" s="13"/>
      <c r="K1046" s="13"/>
      <c r="L1046" s="13"/>
      <c r="M1046" s="85"/>
      <c r="N1046" s="85"/>
    </row>
    <row r="1047" ht="15.75" hidden="1" customHeight="1">
      <c r="A1047" s="84"/>
      <c r="B1047" s="85"/>
      <c r="C1047" s="85"/>
      <c r="D1047" s="85"/>
      <c r="E1047" s="85"/>
      <c r="F1047" s="85"/>
      <c r="G1047" s="85"/>
      <c r="H1047" s="85"/>
      <c r="I1047" s="85"/>
      <c r="J1047" s="13"/>
      <c r="K1047" s="13"/>
      <c r="L1047" s="13"/>
      <c r="M1047" s="85"/>
      <c r="N1047" s="85"/>
    </row>
    <row r="1048" ht="15.75" hidden="1" customHeight="1">
      <c r="A1048" s="84"/>
      <c r="B1048" s="85"/>
      <c r="C1048" s="85"/>
      <c r="D1048" s="85"/>
      <c r="E1048" s="85"/>
      <c r="F1048" s="85"/>
      <c r="G1048" s="85"/>
      <c r="H1048" s="85"/>
      <c r="I1048" s="85"/>
      <c r="J1048" s="13"/>
      <c r="K1048" s="13"/>
      <c r="L1048" s="13"/>
      <c r="M1048" s="85"/>
      <c r="N1048" s="85"/>
    </row>
    <row r="1049" ht="15.75" hidden="1" customHeight="1">
      <c r="A1049" s="84"/>
      <c r="B1049" s="85"/>
      <c r="C1049" s="85"/>
      <c r="D1049" s="85"/>
      <c r="E1049" s="85"/>
      <c r="F1049" s="85"/>
      <c r="G1049" s="85"/>
      <c r="H1049" s="85"/>
      <c r="I1049" s="85"/>
      <c r="J1049" s="13"/>
      <c r="K1049" s="13"/>
      <c r="L1049" s="13"/>
      <c r="M1049" s="85"/>
      <c r="N1049" s="85"/>
    </row>
    <row r="1050" ht="15.75" hidden="1" customHeight="1">
      <c r="A1050" s="84"/>
      <c r="B1050" s="85"/>
      <c r="C1050" s="85"/>
      <c r="D1050" s="85"/>
      <c r="E1050" s="85"/>
      <c r="F1050" s="85"/>
      <c r="G1050" s="85"/>
      <c r="H1050" s="85"/>
      <c r="I1050" s="85"/>
      <c r="J1050" s="13"/>
      <c r="K1050" s="13"/>
      <c r="L1050" s="13"/>
      <c r="M1050" s="85"/>
      <c r="N1050" s="85"/>
    </row>
    <row r="1051" ht="15.75" hidden="1" customHeight="1">
      <c r="A1051" s="84"/>
      <c r="B1051" s="85"/>
      <c r="C1051" s="85"/>
      <c r="D1051" s="85"/>
      <c r="E1051" s="85"/>
      <c r="F1051" s="85"/>
      <c r="G1051" s="85"/>
      <c r="H1051" s="85"/>
      <c r="I1051" s="85"/>
      <c r="J1051" s="13"/>
      <c r="K1051" s="13"/>
      <c r="L1051" s="13"/>
      <c r="M1051" s="85"/>
      <c r="N1051" s="85"/>
    </row>
    <row r="1052" ht="15.75" hidden="1" customHeight="1">
      <c r="A1052" s="84"/>
      <c r="B1052" s="85"/>
      <c r="C1052" s="85"/>
      <c r="D1052" s="85"/>
      <c r="E1052" s="85"/>
      <c r="F1052" s="85"/>
      <c r="G1052" s="85"/>
      <c r="H1052" s="85"/>
      <c r="I1052" s="85"/>
      <c r="J1052" s="13"/>
      <c r="K1052" s="13"/>
      <c r="L1052" s="13"/>
      <c r="M1052" s="85"/>
      <c r="N1052" s="85"/>
    </row>
    <row r="1053" ht="15.75" hidden="1" customHeight="1">
      <c r="A1053" s="84"/>
      <c r="B1053" s="85"/>
      <c r="C1053" s="85"/>
      <c r="D1053" s="85"/>
      <c r="E1053" s="85"/>
      <c r="F1053" s="85"/>
      <c r="G1053" s="85"/>
      <c r="H1053" s="85"/>
      <c r="I1053" s="85"/>
      <c r="J1053" s="13"/>
      <c r="K1053" s="13"/>
      <c r="L1053" s="13"/>
      <c r="M1053" s="85"/>
      <c r="N1053" s="85"/>
    </row>
    <row r="1054" ht="15.75" hidden="1" customHeight="1">
      <c r="A1054" s="84"/>
      <c r="B1054" s="85"/>
      <c r="C1054" s="85"/>
      <c r="D1054" s="85"/>
      <c r="E1054" s="85"/>
      <c r="F1054" s="85"/>
      <c r="G1054" s="85"/>
      <c r="H1054" s="85"/>
      <c r="I1054" s="85"/>
      <c r="J1054" s="13"/>
      <c r="K1054" s="13"/>
      <c r="L1054" s="13"/>
      <c r="M1054" s="85"/>
      <c r="N1054" s="85"/>
    </row>
    <row r="1055" ht="15.75" hidden="1" customHeight="1">
      <c r="A1055" s="84"/>
      <c r="B1055" s="85"/>
      <c r="C1055" s="85"/>
      <c r="D1055" s="85"/>
      <c r="E1055" s="85"/>
      <c r="F1055" s="85"/>
      <c r="G1055" s="85"/>
      <c r="H1055" s="85"/>
      <c r="I1055" s="85"/>
      <c r="J1055" s="13"/>
      <c r="K1055" s="13"/>
      <c r="L1055" s="13"/>
      <c r="M1055" s="85"/>
      <c r="N1055" s="85"/>
    </row>
    <row r="1056" ht="15.75" hidden="1" customHeight="1">
      <c r="A1056" s="84"/>
      <c r="B1056" s="85"/>
      <c r="C1056" s="85"/>
      <c r="D1056" s="85"/>
      <c r="E1056" s="85"/>
      <c r="F1056" s="85"/>
      <c r="G1056" s="85"/>
      <c r="H1056" s="85"/>
      <c r="I1056" s="85"/>
      <c r="J1056" s="13"/>
      <c r="K1056" s="13"/>
      <c r="L1056" s="13"/>
      <c r="M1056" s="85"/>
      <c r="N1056" s="85"/>
    </row>
    <row r="1057" ht="15.75" hidden="1" customHeight="1">
      <c r="A1057" s="84"/>
      <c r="B1057" s="85"/>
      <c r="C1057" s="85"/>
      <c r="D1057" s="85"/>
      <c r="E1057" s="85"/>
      <c r="F1057" s="85"/>
      <c r="G1057" s="85"/>
      <c r="H1057" s="85"/>
      <c r="I1057" s="85"/>
      <c r="J1057" s="13"/>
      <c r="K1057" s="13"/>
      <c r="L1057" s="13"/>
      <c r="M1057" s="85"/>
      <c r="N1057" s="85"/>
    </row>
    <row r="1058" ht="15.75" hidden="1" customHeight="1">
      <c r="A1058" s="84"/>
      <c r="B1058" s="85"/>
      <c r="C1058" s="85"/>
      <c r="D1058" s="85"/>
      <c r="E1058" s="85"/>
      <c r="F1058" s="85"/>
      <c r="G1058" s="85"/>
      <c r="H1058" s="85"/>
      <c r="I1058" s="85"/>
      <c r="J1058" s="13"/>
      <c r="K1058" s="13"/>
      <c r="L1058" s="13"/>
      <c r="M1058" s="85"/>
      <c r="N1058" s="85"/>
    </row>
    <row r="1059" ht="15.75" hidden="1" customHeight="1">
      <c r="A1059" s="84"/>
      <c r="B1059" s="85"/>
      <c r="C1059" s="85"/>
      <c r="D1059" s="85"/>
      <c r="E1059" s="85"/>
      <c r="F1059" s="85"/>
      <c r="G1059" s="85"/>
      <c r="H1059" s="85"/>
      <c r="I1059" s="85"/>
      <c r="J1059" s="13"/>
      <c r="K1059" s="13"/>
      <c r="L1059" s="13"/>
      <c r="M1059" s="85"/>
      <c r="N1059" s="85"/>
    </row>
    <row r="1060" ht="15.75" hidden="1" customHeight="1">
      <c r="A1060" s="84"/>
      <c r="B1060" s="85"/>
      <c r="C1060" s="85"/>
      <c r="D1060" s="85"/>
      <c r="E1060" s="85"/>
      <c r="F1060" s="85"/>
      <c r="G1060" s="85"/>
      <c r="H1060" s="85"/>
      <c r="I1060" s="85"/>
      <c r="J1060" s="13"/>
      <c r="K1060" s="13"/>
      <c r="L1060" s="13"/>
      <c r="M1060" s="85"/>
      <c r="N1060" s="85"/>
    </row>
    <row r="1061" ht="15.75" hidden="1" customHeight="1">
      <c r="A1061" s="84"/>
      <c r="B1061" s="85"/>
      <c r="C1061" s="85"/>
      <c r="D1061" s="85"/>
      <c r="E1061" s="85"/>
      <c r="F1061" s="85"/>
      <c r="G1061" s="85"/>
      <c r="H1061" s="85"/>
      <c r="I1061" s="85"/>
      <c r="J1061" s="13"/>
      <c r="K1061" s="13"/>
      <c r="L1061" s="13"/>
      <c r="M1061" s="85"/>
      <c r="N1061" s="85"/>
    </row>
    <row r="1062" ht="15.75" hidden="1" customHeight="1">
      <c r="A1062" s="84"/>
      <c r="B1062" s="85"/>
      <c r="C1062" s="85"/>
      <c r="D1062" s="85"/>
      <c r="E1062" s="85"/>
      <c r="F1062" s="85"/>
      <c r="G1062" s="85"/>
      <c r="H1062" s="85"/>
      <c r="I1062" s="85"/>
      <c r="J1062" s="13"/>
      <c r="K1062" s="13"/>
      <c r="L1062" s="13"/>
      <c r="M1062" s="85"/>
      <c r="N1062" s="85"/>
    </row>
    <row r="1063" ht="15.75" hidden="1" customHeight="1">
      <c r="A1063" s="84"/>
      <c r="B1063" s="85"/>
      <c r="C1063" s="85"/>
      <c r="D1063" s="85"/>
      <c r="E1063" s="85"/>
      <c r="F1063" s="85"/>
      <c r="G1063" s="85"/>
      <c r="H1063" s="85"/>
      <c r="I1063" s="85"/>
      <c r="J1063" s="13"/>
      <c r="K1063" s="13"/>
      <c r="L1063" s="13"/>
      <c r="M1063" s="85"/>
      <c r="N1063" s="85"/>
    </row>
    <row r="1064" ht="15.75" hidden="1" customHeight="1">
      <c r="A1064" s="84"/>
      <c r="B1064" s="85"/>
      <c r="C1064" s="85"/>
      <c r="D1064" s="85"/>
      <c r="E1064" s="85"/>
      <c r="F1064" s="85"/>
      <c r="G1064" s="85"/>
      <c r="H1064" s="85"/>
      <c r="I1064" s="85"/>
      <c r="J1064" s="13"/>
      <c r="K1064" s="13"/>
      <c r="L1064" s="13"/>
      <c r="M1064" s="85"/>
      <c r="N1064" s="85"/>
    </row>
    <row r="1065" ht="15.75" hidden="1" customHeight="1">
      <c r="A1065" s="84"/>
      <c r="B1065" s="85"/>
      <c r="C1065" s="85"/>
      <c r="D1065" s="85"/>
      <c r="E1065" s="85"/>
      <c r="F1065" s="85"/>
      <c r="G1065" s="85"/>
      <c r="H1065" s="85"/>
      <c r="I1065" s="85"/>
      <c r="J1065" s="13"/>
      <c r="K1065" s="13"/>
      <c r="L1065" s="13"/>
      <c r="M1065" s="85"/>
      <c r="N1065" s="85"/>
    </row>
    <row r="1066" ht="15.75" hidden="1" customHeight="1">
      <c r="A1066" s="84"/>
      <c r="B1066" s="85"/>
      <c r="C1066" s="85"/>
      <c r="D1066" s="85"/>
      <c r="E1066" s="85"/>
      <c r="F1066" s="85"/>
      <c r="G1066" s="85"/>
      <c r="H1066" s="85"/>
      <c r="I1066" s="85"/>
      <c r="J1066" s="13"/>
      <c r="K1066" s="13"/>
      <c r="L1066" s="13"/>
      <c r="M1066" s="85"/>
      <c r="N1066" s="85"/>
    </row>
    <row r="1067" ht="15.75" hidden="1" customHeight="1">
      <c r="A1067" s="84"/>
      <c r="B1067" s="85"/>
      <c r="C1067" s="85"/>
      <c r="D1067" s="85"/>
      <c r="E1067" s="85"/>
      <c r="F1067" s="85"/>
      <c r="G1067" s="85"/>
      <c r="H1067" s="85"/>
      <c r="I1067" s="85"/>
      <c r="J1067" s="13"/>
      <c r="K1067" s="13"/>
      <c r="L1067" s="13"/>
      <c r="M1067" s="85"/>
      <c r="N1067" s="85"/>
    </row>
    <row r="1068" ht="15.75" hidden="1" customHeight="1">
      <c r="A1068" s="84"/>
      <c r="B1068" s="85"/>
      <c r="C1068" s="85"/>
      <c r="D1068" s="85"/>
      <c r="E1068" s="85"/>
      <c r="F1068" s="85"/>
      <c r="G1068" s="85"/>
      <c r="H1068" s="85"/>
      <c r="I1068" s="85"/>
      <c r="J1068" s="13"/>
      <c r="K1068" s="13"/>
      <c r="L1068" s="13"/>
      <c r="M1068" s="85"/>
      <c r="N1068" s="85"/>
    </row>
    <row r="1069" ht="15.75" hidden="1" customHeight="1">
      <c r="A1069" s="84"/>
      <c r="B1069" s="85"/>
      <c r="C1069" s="85"/>
      <c r="D1069" s="85"/>
      <c r="E1069" s="85"/>
      <c r="F1069" s="85"/>
      <c r="G1069" s="85"/>
      <c r="H1069" s="85"/>
      <c r="I1069" s="85"/>
      <c r="J1069" s="13"/>
      <c r="K1069" s="13"/>
      <c r="L1069" s="13"/>
      <c r="M1069" s="85"/>
      <c r="N1069" s="85"/>
    </row>
    <row r="1070" ht="15.75" hidden="1" customHeight="1">
      <c r="A1070" s="84"/>
      <c r="B1070" s="85"/>
      <c r="C1070" s="85"/>
      <c r="D1070" s="85"/>
      <c r="E1070" s="85"/>
      <c r="F1070" s="85"/>
      <c r="G1070" s="85"/>
      <c r="H1070" s="85"/>
      <c r="I1070" s="85"/>
      <c r="J1070" s="13"/>
      <c r="K1070" s="13"/>
      <c r="L1070" s="13"/>
      <c r="M1070" s="85"/>
      <c r="N1070" s="85"/>
    </row>
    <row r="1071" ht="15.75" hidden="1" customHeight="1">
      <c r="A1071" s="84"/>
      <c r="B1071" s="85"/>
      <c r="C1071" s="85"/>
      <c r="D1071" s="85"/>
      <c r="E1071" s="85"/>
      <c r="F1071" s="85"/>
      <c r="G1071" s="85"/>
      <c r="H1071" s="85"/>
      <c r="I1071" s="85"/>
      <c r="J1071" s="13"/>
      <c r="K1071" s="13"/>
      <c r="L1071" s="13"/>
      <c r="M1071" s="85"/>
      <c r="N1071" s="85"/>
    </row>
    <row r="1072" ht="15.75" hidden="1" customHeight="1">
      <c r="A1072" s="84"/>
      <c r="B1072" s="85"/>
      <c r="C1072" s="85"/>
      <c r="D1072" s="85"/>
      <c r="E1072" s="85"/>
      <c r="F1072" s="85"/>
      <c r="G1072" s="85"/>
      <c r="H1072" s="85"/>
      <c r="I1072" s="85"/>
      <c r="J1072" s="13"/>
      <c r="K1072" s="13"/>
      <c r="L1072" s="13"/>
      <c r="M1072" s="85"/>
      <c r="N1072" s="85"/>
    </row>
    <row r="1073" ht="15.75" hidden="1" customHeight="1">
      <c r="A1073" s="84"/>
      <c r="B1073" s="85"/>
      <c r="C1073" s="85"/>
      <c r="D1073" s="85"/>
      <c r="E1073" s="85"/>
      <c r="F1073" s="85"/>
      <c r="G1073" s="85"/>
      <c r="H1073" s="85"/>
      <c r="I1073" s="85"/>
      <c r="J1073" s="13"/>
      <c r="K1073" s="13"/>
      <c r="L1073" s="13"/>
      <c r="M1073" s="85"/>
      <c r="N1073" s="85"/>
    </row>
    <row r="1074" ht="15.75" hidden="1" customHeight="1">
      <c r="A1074" s="84"/>
      <c r="B1074" s="85"/>
      <c r="C1074" s="85"/>
      <c r="D1074" s="85"/>
      <c r="E1074" s="85"/>
      <c r="F1074" s="85"/>
      <c r="G1074" s="85"/>
      <c r="H1074" s="85"/>
      <c r="I1074" s="85"/>
      <c r="J1074" s="13"/>
      <c r="K1074" s="13"/>
      <c r="L1074" s="13"/>
      <c r="M1074" s="85"/>
      <c r="N1074" s="85"/>
    </row>
    <row r="1075" ht="15.75" hidden="1" customHeight="1">
      <c r="A1075" s="84"/>
      <c r="B1075" s="85"/>
      <c r="C1075" s="85"/>
      <c r="D1075" s="85"/>
      <c r="E1075" s="85"/>
      <c r="F1075" s="85"/>
      <c r="G1075" s="85"/>
      <c r="H1075" s="85"/>
      <c r="I1075" s="85"/>
      <c r="J1075" s="13"/>
      <c r="K1075" s="13"/>
      <c r="L1075" s="13"/>
      <c r="M1075" s="85"/>
      <c r="N1075" s="85"/>
    </row>
    <row r="1076" ht="15.75" hidden="1" customHeight="1">
      <c r="A1076" s="84"/>
      <c r="B1076" s="85"/>
      <c r="C1076" s="85"/>
      <c r="D1076" s="85"/>
      <c r="E1076" s="85"/>
      <c r="F1076" s="85"/>
      <c r="G1076" s="85"/>
      <c r="H1076" s="85"/>
      <c r="I1076" s="85"/>
      <c r="J1076" s="13"/>
      <c r="K1076" s="13"/>
      <c r="L1076" s="13"/>
      <c r="M1076" s="85"/>
      <c r="N1076" s="85"/>
    </row>
    <row r="1077" ht="15.75" hidden="1" customHeight="1">
      <c r="A1077" s="84"/>
      <c r="B1077" s="85"/>
      <c r="C1077" s="85"/>
      <c r="D1077" s="85"/>
      <c r="E1077" s="85"/>
      <c r="F1077" s="85"/>
      <c r="G1077" s="85"/>
      <c r="H1077" s="85"/>
      <c r="I1077" s="85"/>
      <c r="J1077" s="13"/>
      <c r="K1077" s="13"/>
      <c r="L1077" s="13"/>
      <c r="M1077" s="85"/>
      <c r="N1077" s="85"/>
    </row>
    <row r="1078" ht="15.75" hidden="1" customHeight="1">
      <c r="A1078" s="84"/>
      <c r="B1078" s="85"/>
      <c r="C1078" s="85"/>
      <c r="D1078" s="85"/>
      <c r="E1078" s="85"/>
      <c r="F1078" s="85"/>
      <c r="G1078" s="85"/>
      <c r="H1078" s="85"/>
      <c r="I1078" s="85"/>
      <c r="J1078" s="13"/>
      <c r="K1078" s="13"/>
      <c r="L1078" s="13"/>
      <c r="M1078" s="85"/>
      <c r="N1078" s="85"/>
    </row>
    <row r="1079" ht="15.75" hidden="1" customHeight="1">
      <c r="A1079" s="84"/>
      <c r="B1079" s="85"/>
      <c r="C1079" s="85"/>
      <c r="D1079" s="85"/>
      <c r="E1079" s="85"/>
      <c r="F1079" s="85"/>
      <c r="G1079" s="85"/>
      <c r="H1079" s="85"/>
      <c r="I1079" s="85"/>
      <c r="J1079" s="13"/>
      <c r="K1079" s="13"/>
      <c r="L1079" s="13"/>
      <c r="M1079" s="85"/>
      <c r="N1079" s="85"/>
    </row>
    <row r="1080" ht="15.75" hidden="1" customHeight="1">
      <c r="A1080" s="84"/>
      <c r="B1080" s="85"/>
      <c r="C1080" s="85"/>
      <c r="D1080" s="85"/>
      <c r="E1080" s="85"/>
      <c r="F1080" s="85"/>
      <c r="G1080" s="85"/>
      <c r="H1080" s="85"/>
      <c r="I1080" s="85"/>
      <c r="J1080" s="13"/>
      <c r="K1080" s="13"/>
      <c r="L1080" s="13"/>
      <c r="M1080" s="85"/>
      <c r="N1080" s="85"/>
    </row>
    <row r="1081" ht="15.75" hidden="1" customHeight="1">
      <c r="A1081" s="84"/>
      <c r="B1081" s="85"/>
      <c r="C1081" s="85"/>
      <c r="D1081" s="85"/>
      <c r="E1081" s="85"/>
      <c r="F1081" s="85"/>
      <c r="G1081" s="85"/>
      <c r="H1081" s="85"/>
      <c r="I1081" s="85"/>
      <c r="J1081" s="13"/>
      <c r="K1081" s="13"/>
      <c r="L1081" s="13"/>
      <c r="M1081" s="85"/>
      <c r="N1081" s="85"/>
    </row>
    <row r="1082" ht="15.75" hidden="1" customHeight="1">
      <c r="A1082" s="84"/>
      <c r="B1082" s="85"/>
      <c r="C1082" s="85"/>
      <c r="D1082" s="85"/>
      <c r="E1082" s="85"/>
      <c r="F1082" s="85"/>
      <c r="G1082" s="85"/>
      <c r="H1082" s="85"/>
      <c r="I1082" s="85"/>
      <c r="J1082" s="13"/>
      <c r="K1082" s="13"/>
      <c r="L1082" s="13"/>
      <c r="M1082" s="85"/>
      <c r="N1082" s="85"/>
    </row>
    <row r="1083" ht="15.75" hidden="1" customHeight="1">
      <c r="A1083" s="84"/>
      <c r="B1083" s="85"/>
      <c r="C1083" s="85"/>
      <c r="D1083" s="85"/>
      <c r="E1083" s="85"/>
      <c r="F1083" s="85"/>
      <c r="G1083" s="85"/>
      <c r="H1083" s="85"/>
      <c r="I1083" s="85"/>
      <c r="J1083" s="13"/>
      <c r="K1083" s="13"/>
      <c r="L1083" s="13"/>
      <c r="M1083" s="85"/>
      <c r="N1083" s="85"/>
    </row>
    <row r="1084" ht="15.75" hidden="1" customHeight="1">
      <c r="A1084" s="84"/>
      <c r="B1084" s="85"/>
      <c r="C1084" s="85"/>
      <c r="D1084" s="85"/>
      <c r="E1084" s="85"/>
      <c r="F1084" s="85"/>
      <c r="G1084" s="85"/>
      <c r="H1084" s="85"/>
      <c r="I1084" s="85"/>
      <c r="J1084" s="13"/>
      <c r="K1084" s="13"/>
      <c r="L1084" s="13"/>
      <c r="M1084" s="85"/>
      <c r="N1084" s="85"/>
    </row>
    <row r="1085" ht="15.75" hidden="1" customHeight="1">
      <c r="A1085" s="84"/>
      <c r="B1085" s="85"/>
      <c r="C1085" s="85"/>
      <c r="D1085" s="85"/>
      <c r="E1085" s="85"/>
      <c r="F1085" s="85"/>
      <c r="G1085" s="85"/>
      <c r="H1085" s="85"/>
      <c r="I1085" s="85"/>
      <c r="J1085" s="13"/>
      <c r="K1085" s="13"/>
      <c r="L1085" s="13"/>
      <c r="M1085" s="85"/>
      <c r="N1085" s="85"/>
    </row>
    <row r="1086" ht="15.75" hidden="1" customHeight="1">
      <c r="A1086" s="84"/>
      <c r="B1086" s="85"/>
      <c r="C1086" s="85"/>
      <c r="D1086" s="85"/>
      <c r="E1086" s="85"/>
      <c r="F1086" s="85"/>
      <c r="G1086" s="85"/>
      <c r="H1086" s="85"/>
      <c r="I1086" s="85"/>
      <c r="J1086" s="13"/>
      <c r="K1086" s="13"/>
      <c r="L1086" s="13"/>
      <c r="M1086" s="85"/>
      <c r="N1086" s="85"/>
    </row>
    <row r="1087" ht="15.75" hidden="1" customHeight="1">
      <c r="A1087" s="84"/>
      <c r="B1087" s="85"/>
      <c r="C1087" s="85"/>
      <c r="D1087" s="85"/>
      <c r="E1087" s="85"/>
      <c r="F1087" s="85"/>
      <c r="G1087" s="85"/>
      <c r="H1087" s="85"/>
      <c r="I1087" s="85"/>
      <c r="J1087" s="13"/>
      <c r="K1087" s="13"/>
      <c r="L1087" s="13"/>
      <c r="M1087" s="85"/>
      <c r="N1087" s="85"/>
    </row>
    <row r="1088" ht="15.75" hidden="1" customHeight="1">
      <c r="A1088" s="84"/>
      <c r="B1088" s="85"/>
      <c r="C1088" s="85"/>
      <c r="D1088" s="85"/>
      <c r="E1088" s="85"/>
      <c r="F1088" s="85"/>
      <c r="G1088" s="85"/>
      <c r="H1088" s="85"/>
      <c r="I1088" s="85"/>
      <c r="J1088" s="13"/>
      <c r="K1088" s="13"/>
      <c r="L1088" s="13"/>
      <c r="M1088" s="85"/>
      <c r="N1088" s="85"/>
    </row>
    <row r="1089" ht="15.75" hidden="1" customHeight="1">
      <c r="A1089" s="84"/>
      <c r="B1089" s="85"/>
      <c r="C1089" s="85"/>
      <c r="D1089" s="85"/>
      <c r="E1089" s="85"/>
      <c r="F1089" s="85"/>
      <c r="G1089" s="85"/>
      <c r="H1089" s="85"/>
      <c r="I1089" s="85"/>
      <c r="J1089" s="13"/>
      <c r="K1089" s="13"/>
      <c r="L1089" s="13"/>
      <c r="M1089" s="85"/>
      <c r="N1089" s="85"/>
    </row>
    <row r="1090" ht="15.75" hidden="1" customHeight="1">
      <c r="A1090" s="84"/>
      <c r="B1090" s="85"/>
      <c r="C1090" s="85"/>
      <c r="D1090" s="85"/>
      <c r="E1090" s="85"/>
      <c r="F1090" s="85"/>
      <c r="G1090" s="85"/>
      <c r="H1090" s="85"/>
      <c r="I1090" s="85"/>
      <c r="J1090" s="13"/>
      <c r="K1090" s="13"/>
      <c r="L1090" s="13"/>
      <c r="M1090" s="85"/>
      <c r="N1090" s="85"/>
    </row>
    <row r="1091" ht="15.75" hidden="1" customHeight="1">
      <c r="A1091" s="84"/>
      <c r="B1091" s="85"/>
      <c r="C1091" s="85"/>
      <c r="D1091" s="85"/>
      <c r="E1091" s="85"/>
      <c r="F1091" s="85"/>
      <c r="G1091" s="85"/>
      <c r="H1091" s="85"/>
      <c r="I1091" s="85"/>
      <c r="J1091" s="13"/>
      <c r="K1091" s="13"/>
      <c r="L1091" s="13"/>
      <c r="M1091" s="85"/>
      <c r="N1091" s="85"/>
    </row>
    <row r="1092" ht="15.75" hidden="1" customHeight="1">
      <c r="A1092" s="84"/>
      <c r="B1092" s="85"/>
      <c r="C1092" s="85"/>
      <c r="D1092" s="85"/>
      <c r="E1092" s="85"/>
      <c r="F1092" s="85"/>
      <c r="G1092" s="85"/>
      <c r="H1092" s="85"/>
      <c r="I1092" s="85"/>
      <c r="J1092" s="13"/>
      <c r="K1092" s="13"/>
      <c r="L1092" s="13"/>
      <c r="M1092" s="85"/>
      <c r="N1092" s="85"/>
    </row>
    <row r="1093" ht="15.75" hidden="1" customHeight="1">
      <c r="A1093" s="84"/>
      <c r="B1093" s="85"/>
      <c r="C1093" s="85"/>
      <c r="D1093" s="85"/>
      <c r="E1093" s="85"/>
      <c r="F1093" s="85"/>
      <c r="G1093" s="85"/>
      <c r="H1093" s="85"/>
      <c r="I1093" s="85"/>
      <c r="J1093" s="13"/>
      <c r="K1093" s="13"/>
      <c r="L1093" s="13"/>
      <c r="M1093" s="85"/>
      <c r="N1093" s="85"/>
    </row>
    <row r="1094" ht="15.75" hidden="1" customHeight="1">
      <c r="A1094" s="84"/>
      <c r="B1094" s="85"/>
      <c r="C1094" s="85"/>
      <c r="D1094" s="85"/>
      <c r="E1094" s="85"/>
      <c r="F1094" s="85"/>
      <c r="G1094" s="85"/>
      <c r="H1094" s="85"/>
      <c r="I1094" s="85"/>
      <c r="J1094" s="13"/>
      <c r="K1094" s="13"/>
      <c r="L1094" s="13"/>
      <c r="M1094" s="85"/>
      <c r="N1094" s="85"/>
    </row>
    <row r="1095" ht="15.75" hidden="1" customHeight="1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</row>
    <row r="1096" ht="15.75" hidden="1" customHeight="1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</row>
    <row r="1097" ht="15.75" hidden="1" customHeight="1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</row>
    <row r="1098" ht="15.75" hidden="1" customHeight="1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</row>
    <row r="1099" ht="15.75" hidden="1" customHeight="1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</row>
    <row r="1100" ht="15.75" hidden="1" customHeight="1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</row>
    <row r="1101" ht="15.75" hidden="1" customHeight="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</row>
    <row r="1102" ht="15.75" hidden="1" customHeight="1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</row>
    <row r="1103" ht="15.75" hidden="1" customHeight="1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</row>
    <row r="1104" ht="15.75" hidden="1" customHeight="1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</row>
    <row r="1105" ht="15.75" hidden="1" customHeight="1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</row>
    <row r="1106" ht="15.75" hidden="1" customHeight="1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</row>
    <row r="1107" ht="15.75" hidden="1" customHeight="1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</row>
    <row r="1108" ht="15.75" hidden="1" customHeight="1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</row>
    <row r="1109" ht="15.75" hidden="1" customHeight="1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</row>
    <row r="1110" ht="15.75" hidden="1" customHeight="1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</row>
    <row r="1111" ht="15.75" hidden="1" customHeight="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</row>
    <row r="1112" ht="15.75" hidden="1" customHeight="1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</row>
    <row r="1113" ht="15.75" hidden="1" customHeight="1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</row>
    <row r="1114" ht="15.75" hidden="1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</row>
    <row r="1115" ht="15.75" hidden="1" customHeight="1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</row>
    <row r="1116" ht="15.75" hidden="1" customHeight="1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</row>
    <row r="1117" ht="15.75" hidden="1" customHeight="1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</row>
    <row r="1118" ht="15.75" hidden="1" customHeight="1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</row>
    <row r="1119" ht="15.75" hidden="1" customHeight="1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</row>
    <row r="1120" ht="15.75" hidden="1" customHeight="1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</row>
    <row r="1121" ht="15.75" hidden="1" customHeight="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</row>
    <row r="1122" ht="15.75" hidden="1" customHeight="1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</row>
    <row r="1123" ht="15.75" hidden="1" customHeight="1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</row>
    <row r="1124" ht="15.75" hidden="1" customHeight="1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</row>
    <row r="1125" ht="15.75" hidden="1" customHeight="1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</row>
    <row r="1126" ht="15.75" hidden="1" customHeight="1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</row>
    <row r="1127" ht="15.75" hidden="1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</row>
    <row r="1128" ht="15.75" hidden="1" customHeight="1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</row>
    <row r="1129" ht="15.75" hidden="1" customHeight="1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</row>
    <row r="1130" ht="15.75" hidden="1" customHeight="1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</row>
    <row r="1131" ht="15.75" hidden="1" customHeight="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</row>
    <row r="1132" ht="15.75" hidden="1" customHeight="1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</row>
    <row r="1133" ht="15.75" hidden="1" customHeight="1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</row>
    <row r="1134" ht="15.75" hidden="1" customHeight="1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</row>
    <row r="1135" ht="15.75" hidden="1" customHeight="1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</row>
    <row r="1136" ht="15.75" hidden="1" customHeight="1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</row>
    <row r="1137" ht="15.75" hidden="1" customHeight="1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</row>
    <row r="1138" ht="15.75" hidden="1" customHeight="1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</row>
    <row r="1139" ht="15.75" hidden="1" customHeight="1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</row>
    <row r="1140" ht="15.75" hidden="1" customHeight="1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</row>
    <row r="1141" ht="15.75" hidden="1" customHeight="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</row>
    <row r="1142" ht="15.75" hidden="1" customHeight="1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</row>
    <row r="1143" ht="15.75" hidden="1" customHeight="1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</row>
    <row r="1144" ht="15.75" hidden="1" customHeight="1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</row>
    <row r="1145" ht="15.75" hidden="1" customHeight="1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</row>
    <row r="1146" ht="15.75" hidden="1" customHeight="1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</row>
    <row r="1147" ht="15.75" hidden="1" customHeight="1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</row>
    <row r="1148" ht="15.75" hidden="1" customHeight="1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</row>
    <row r="1149" ht="15.75" hidden="1" customHeight="1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</row>
    <row r="1150" ht="15.75" hidden="1" customHeight="1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</row>
    <row r="1151" ht="15.75" hidden="1" customHeight="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</row>
    <row r="1152" ht="15.75" hidden="1" customHeight="1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</row>
    <row r="1153" ht="15.75" hidden="1" customHeight="1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</row>
    <row r="1154" ht="15.75" hidden="1" customHeight="1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</row>
    <row r="1155" ht="15.75" hidden="1" customHeight="1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</row>
    <row r="1156" ht="15.75" hidden="1" customHeight="1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</row>
    <row r="1157" ht="15.75" hidden="1" customHeight="1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</row>
    <row r="1158" ht="15.75" hidden="1" customHeight="1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</row>
    <row r="1159" ht="15.75" hidden="1" customHeight="1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</row>
    <row r="1160" ht="15.75" hidden="1" customHeight="1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</row>
    <row r="1161" ht="15.75" hidden="1" customHeight="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</row>
    <row r="1162" ht="15.75" hidden="1" customHeight="1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</row>
    <row r="1163" ht="15.75" hidden="1" customHeight="1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</row>
    <row r="1164" ht="15.75" hidden="1" customHeight="1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</row>
    <row r="1165" ht="15.75" hidden="1" customHeight="1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</row>
    <row r="1166" ht="15.75" hidden="1" customHeight="1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</row>
    <row r="1167" ht="15.75" hidden="1" customHeight="1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</row>
    <row r="1168" ht="15.75" hidden="1" customHeight="1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</row>
    <row r="1169" ht="15.75" hidden="1" customHeight="1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</row>
    <row r="1170" ht="15.75" hidden="1" customHeight="1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</row>
    <row r="1171" ht="15.75" hidden="1" customHeight="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</row>
    <row r="1172" ht="15.75" hidden="1" customHeight="1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</row>
    <row r="1173" ht="15.75" hidden="1" customHeight="1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</row>
    <row r="1174" ht="15.75" hidden="1" customHeight="1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</row>
    <row r="1175" ht="15.75" hidden="1" customHeight="1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</row>
    <row r="1176" ht="15.75" hidden="1" customHeight="1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</row>
    <row r="1177" ht="15.75" hidden="1" customHeight="1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</row>
    <row r="1178" ht="15.75" hidden="1" customHeight="1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</row>
    <row r="1179" ht="15.75" hidden="1" customHeight="1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</row>
    <row r="1180" ht="15.75" hidden="1" customHeight="1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</row>
    <row r="1181" ht="15.75" hidden="1" customHeight="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</row>
    <row r="1182" ht="15.75" hidden="1" customHeight="1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</row>
    <row r="1183" ht="15.75" hidden="1" customHeight="1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</row>
    <row r="1184" ht="15.75" hidden="1" customHeight="1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</row>
    <row r="1185" ht="15.75" hidden="1" customHeight="1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</row>
    <row r="1186" ht="15.75" hidden="1" customHeight="1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</row>
    <row r="1187" ht="15.75" hidden="1" customHeight="1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</row>
    <row r="1188" ht="15.75" hidden="1" customHeight="1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</row>
    <row r="1189" ht="15.75" hidden="1" customHeight="1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</row>
    <row r="1190" ht="15.75" hidden="1" customHeight="1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</row>
    <row r="1191" ht="15.75" hidden="1" customHeight="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</row>
    <row r="1192" ht="15.75" hidden="1" customHeight="1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</row>
    <row r="1193" ht="15.75" hidden="1" customHeight="1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</row>
    <row r="1194" ht="15.75" hidden="1" customHeight="1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</row>
    <row r="1195" ht="15.75" hidden="1" customHeight="1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</row>
    <row r="1196" ht="15.75" hidden="1" customHeight="1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</row>
    <row r="1197" ht="15.75" hidden="1" customHeight="1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</row>
    <row r="1198" ht="15.75" hidden="1" customHeight="1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</row>
    <row r="1199" ht="15.75" hidden="1" customHeight="1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</row>
    <row r="1200" ht="15.75" hidden="1" customHeight="1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</row>
    <row r="1201" ht="15.75" hidden="1" customHeight="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</row>
    <row r="1202" ht="15.75" hidden="1" customHeight="1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</row>
    <row r="1203" ht="15.75" hidden="1" customHeight="1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</row>
    <row r="1204" ht="15.75" hidden="1" customHeight="1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</row>
    <row r="1205" ht="15.75" hidden="1" customHeight="1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</row>
    <row r="1206" ht="15.75" hidden="1" customHeight="1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</row>
    <row r="1207" ht="15.75" hidden="1" customHeight="1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</row>
    <row r="1208" ht="15.75" hidden="1" customHeight="1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</row>
    <row r="1209" ht="15.75" hidden="1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</row>
    <row r="1210" ht="15.75" hidden="1" customHeight="1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</row>
    <row r="1211" ht="15.75" hidden="1" customHeight="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</row>
    <row r="1212" ht="15.75" hidden="1" customHeight="1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</row>
    <row r="1213" ht="15.75" hidden="1" customHeight="1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</row>
    <row r="1214" ht="15.75" hidden="1" customHeight="1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</row>
    <row r="1215" ht="15.75" hidden="1" customHeight="1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</row>
    <row r="1216" ht="15.75" hidden="1" customHeight="1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</row>
    <row r="1217" ht="15.75" hidden="1" customHeight="1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</row>
    <row r="1218" ht="15.75" hidden="1" customHeight="1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</row>
    <row r="1219" ht="15.75" hidden="1" customHeight="1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</row>
    <row r="1220" ht="15.75" hidden="1" customHeight="1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</row>
    <row r="1221" ht="15.75" hidden="1" customHeight="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</row>
    <row r="1222" ht="15.75" hidden="1" customHeight="1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</row>
    <row r="1223" ht="15.75" hidden="1" customHeight="1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</row>
    <row r="1224" ht="15.75" hidden="1" customHeight="1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</row>
    <row r="1225" ht="15.75" hidden="1" customHeight="1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</row>
    <row r="1226" ht="15.75" hidden="1" customHeight="1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</row>
    <row r="1227" ht="15.75" hidden="1" customHeight="1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</row>
    <row r="1228" ht="15.75" hidden="1" customHeight="1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</row>
    <row r="1229" ht="15.75" hidden="1" customHeight="1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</row>
    <row r="1230" ht="15.75" hidden="1" customHeight="1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</row>
    <row r="1231" ht="15.75" hidden="1" customHeight="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</row>
    <row r="1232" ht="15.75" hidden="1" customHeight="1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</row>
    <row r="1233" ht="15.75" hidden="1" customHeight="1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</row>
    <row r="1234" ht="15.75" hidden="1" customHeight="1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</row>
    <row r="1235" ht="15.75" hidden="1" customHeight="1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</row>
    <row r="1236" ht="15.75" hidden="1" customHeight="1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</row>
    <row r="1237" ht="15.75" hidden="1" customHeight="1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</row>
    <row r="1238" ht="15.75" hidden="1" customHeight="1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</row>
    <row r="1239" ht="15.75" hidden="1" customHeight="1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</row>
    <row r="1240" ht="15.75" hidden="1" customHeight="1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</row>
    <row r="1241" ht="15.75" hidden="1" customHeight="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</row>
    <row r="1242" ht="15.75" hidden="1" customHeight="1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</row>
    <row r="1243" ht="15.75" hidden="1" customHeight="1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</row>
    <row r="1244" ht="15.75" hidden="1" customHeight="1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</row>
    <row r="1245" ht="15.75" hidden="1" customHeight="1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</row>
    <row r="1246" ht="15.75" hidden="1" customHeight="1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</row>
    <row r="1247" ht="15.75" hidden="1" customHeight="1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</row>
    <row r="1248" ht="15.75" hidden="1" customHeight="1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</row>
    <row r="1249" ht="15.75" hidden="1" customHeight="1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</row>
    <row r="1250" ht="15.75" hidden="1" customHeight="1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</row>
    <row r="1251" ht="15.75" hidden="1" customHeight="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</row>
    <row r="1252" ht="15.75" hidden="1" customHeight="1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</row>
    <row r="1253" ht="15.75" hidden="1" customHeight="1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</row>
    <row r="1254" ht="15.75" hidden="1" customHeight="1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</row>
    <row r="1255" ht="15.75" hidden="1" customHeight="1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</row>
    <row r="1256" ht="15.75" hidden="1" customHeight="1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</row>
    <row r="1257" ht="15.75" hidden="1" customHeight="1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</row>
    <row r="1258" ht="15.75" hidden="1" customHeight="1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</row>
    <row r="1259" ht="15.75" hidden="1" customHeight="1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</row>
    <row r="1260" ht="15.75" hidden="1" customHeight="1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</row>
    <row r="1261" ht="15.75" hidden="1" customHeight="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</row>
    <row r="1262" ht="15.75" hidden="1" customHeight="1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</row>
    <row r="1263" ht="15.75" hidden="1" customHeight="1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</row>
    <row r="1264" ht="15.75" hidden="1" customHeight="1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</row>
    <row r="1265" ht="15.75" hidden="1" customHeight="1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</row>
    <row r="1266" ht="15.75" hidden="1" customHeight="1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</row>
    <row r="1267" ht="15.75" hidden="1" customHeight="1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</row>
    <row r="1268" ht="15.75" hidden="1" customHeight="1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</row>
    <row r="1269" ht="15.75" hidden="1" customHeight="1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</row>
    <row r="1270" ht="15.75" hidden="1" customHeight="1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</row>
    <row r="1271" ht="15.75" hidden="1" customHeight="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</row>
    <row r="1272" ht="15.75" hidden="1" customHeight="1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</row>
    <row r="1273" ht="15.75" hidden="1" customHeight="1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</row>
    <row r="1274" ht="15.75" hidden="1" customHeight="1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</row>
    <row r="1275" ht="15.75" hidden="1" customHeight="1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</row>
    <row r="1276" ht="15.75" hidden="1" customHeight="1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</row>
    <row r="1277" ht="15.75" hidden="1" customHeight="1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</row>
    <row r="1278" ht="15.75" hidden="1" customHeight="1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</row>
    <row r="1279" ht="15.75" hidden="1" customHeight="1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</row>
    <row r="1280" ht="15.75" hidden="1" customHeight="1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</row>
    <row r="1281" ht="15.75" hidden="1" customHeight="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</row>
    <row r="1282" ht="15.75" hidden="1" customHeight="1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</row>
    <row r="1283" ht="15.75" hidden="1" customHeight="1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</row>
    <row r="1284" ht="15.75" hidden="1" customHeight="1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</row>
    <row r="1285" ht="15.75" hidden="1" customHeight="1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</row>
    <row r="1286" ht="15.75" hidden="1" customHeight="1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</row>
    <row r="1287" ht="15.75" hidden="1" customHeight="1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</row>
    <row r="1288" ht="15.75" hidden="1" customHeight="1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</row>
    <row r="1289" ht="15.75" hidden="1" customHeight="1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</row>
    <row r="1290" ht="15.75" hidden="1" customHeight="1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</row>
    <row r="1291" ht="15.75" hidden="1" customHeight="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</row>
    <row r="1292" ht="15.75" hidden="1" customHeight="1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</row>
    <row r="1293" ht="15.75" hidden="1" customHeight="1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</row>
    <row r="1294" ht="15.75" hidden="1" customHeight="1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</row>
    <row r="1295" ht="15.75" hidden="1" customHeight="1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</row>
    <row r="1296" ht="15.75" hidden="1" customHeight="1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</row>
    <row r="1297" ht="15.75" hidden="1" customHeight="1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</row>
    <row r="1298" ht="15.75" hidden="1" customHeight="1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</row>
    <row r="1299" ht="15.75" hidden="1" customHeight="1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</row>
    <row r="1300" ht="15.75" hidden="1" customHeight="1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</row>
    <row r="1301" ht="15.75" hidden="1" customHeight="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</row>
    <row r="1302" ht="15.75" hidden="1" customHeight="1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</row>
    <row r="1303" ht="15.75" hidden="1" customHeight="1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</row>
    <row r="1304" ht="15.75" hidden="1" customHeight="1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</row>
    <row r="1305" ht="15.75" hidden="1" customHeight="1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</row>
    <row r="1306" ht="15.75" hidden="1" customHeight="1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</row>
    <row r="1307" ht="15.75" hidden="1" customHeight="1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</row>
    <row r="1308" ht="15.75" hidden="1" customHeight="1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</row>
    <row r="1309" ht="15.75" hidden="1" customHeight="1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</row>
    <row r="1310" ht="15.75" hidden="1" customHeight="1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</row>
    <row r="1311" ht="15.75" hidden="1" customHeight="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</row>
    <row r="1312" ht="15.75" hidden="1" customHeight="1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</row>
    <row r="1313" ht="15.75" hidden="1" customHeight="1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</row>
    <row r="1314" ht="15.75" hidden="1" customHeight="1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</row>
    <row r="1315" ht="15.75" hidden="1" customHeight="1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</row>
    <row r="1316" ht="15.75" hidden="1" customHeight="1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</row>
    <row r="1317" ht="15.75" hidden="1" customHeight="1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</row>
    <row r="1318" ht="15.75" hidden="1" customHeight="1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</row>
    <row r="1319" ht="15.75" hidden="1" customHeight="1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</row>
    <row r="1320" ht="15.75" hidden="1" customHeight="1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</row>
    <row r="1321" ht="15.75" hidden="1" customHeight="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</row>
    <row r="1322" ht="15.75" hidden="1" customHeight="1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</row>
    <row r="1323" ht="15.75" hidden="1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</row>
    <row r="1324" ht="15.75" hidden="1" customHeight="1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</row>
    <row r="1325" ht="15.75" hidden="1" customHeight="1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</row>
    <row r="1326" ht="15.75" hidden="1" customHeight="1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</row>
    <row r="1327" ht="15.75" hidden="1" customHeight="1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</row>
    <row r="1328" ht="15.75" hidden="1" customHeight="1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</row>
    <row r="1329" ht="15.75" hidden="1" customHeight="1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</row>
    <row r="1330" ht="15.75" hidden="1" customHeight="1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</row>
    <row r="1331" ht="15.75" hidden="1" customHeight="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</row>
    <row r="1332" ht="15.75" hidden="1" customHeight="1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</row>
    <row r="1333" ht="15.75" hidden="1" customHeight="1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</row>
    <row r="1334" ht="15.75" hidden="1" customHeight="1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</row>
    <row r="1335" ht="15.75" hidden="1" customHeight="1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</row>
    <row r="1336" ht="15.75" hidden="1" customHeight="1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</row>
    <row r="1337" ht="15.75" hidden="1" customHeight="1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</row>
    <row r="1338" ht="15.75" hidden="1" customHeight="1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</row>
    <row r="1339" ht="15.75" hidden="1" customHeight="1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</row>
    <row r="1340" ht="15.75" hidden="1" customHeight="1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</row>
    <row r="1341" ht="15.75" hidden="1" customHeight="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</row>
    <row r="1342" ht="15.75" hidden="1" customHeight="1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</row>
    <row r="1343" ht="15.75" hidden="1" customHeight="1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</row>
    <row r="1344" ht="15.75" hidden="1" customHeight="1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</row>
    <row r="1345" ht="15.75" hidden="1" customHeight="1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</row>
    <row r="1346" ht="15.75" hidden="1" customHeight="1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</row>
    <row r="1347" ht="15.75" hidden="1" customHeight="1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</row>
    <row r="1348" ht="15.75" hidden="1" customHeight="1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</row>
    <row r="1349" ht="15.75" hidden="1" customHeight="1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</row>
    <row r="1350" ht="15.75" hidden="1" customHeight="1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</row>
    <row r="1351" ht="15.75" hidden="1" customHeight="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</row>
    <row r="1352" ht="15.75" hidden="1" customHeight="1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</row>
    <row r="1353" ht="15.75" hidden="1" customHeight="1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</row>
    <row r="1354" ht="15.75" hidden="1" customHeight="1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</row>
    <row r="1355" ht="15.75" hidden="1" customHeight="1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</row>
    <row r="1356" ht="15.75" hidden="1" customHeight="1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</row>
    <row r="1357" ht="15.75" hidden="1" customHeight="1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</row>
    <row r="1358" ht="15.75" hidden="1" customHeight="1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</row>
    <row r="1359" ht="15.75" hidden="1" customHeight="1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</row>
    <row r="1360" ht="15.75" hidden="1" customHeight="1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</row>
    <row r="1361" ht="15.75" hidden="1" customHeight="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</row>
    <row r="1362" ht="15.75" hidden="1" customHeight="1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</row>
    <row r="1363" ht="15.75" hidden="1" customHeight="1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</row>
    <row r="1364" ht="15.75" hidden="1" customHeight="1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</row>
    <row r="1365" ht="15.75" hidden="1" customHeight="1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</row>
    <row r="1366" ht="15.75" hidden="1" customHeight="1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</row>
    <row r="1367" ht="15.75" hidden="1" customHeight="1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</row>
    <row r="1368" ht="15.75" hidden="1" customHeight="1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</row>
    <row r="1369" ht="15.75" hidden="1" customHeight="1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</row>
    <row r="1370" ht="15.75" hidden="1" customHeight="1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</row>
    <row r="1371" ht="15.75" hidden="1" customHeight="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</row>
    <row r="1372" ht="15.75" hidden="1" customHeight="1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</row>
    <row r="1373" ht="15.75" hidden="1" customHeight="1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</row>
    <row r="1374" ht="15.75" hidden="1" customHeight="1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</row>
    <row r="1375" ht="15.75" hidden="1" customHeight="1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</row>
    <row r="1376" ht="15.75" hidden="1" customHeight="1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</row>
    <row r="1377" ht="15.75" hidden="1" customHeight="1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</row>
    <row r="1378" ht="15.75" hidden="1" customHeight="1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</row>
    <row r="1379" ht="15.75" hidden="1" customHeight="1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</row>
    <row r="1380" ht="15.75" hidden="1" customHeight="1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</row>
    <row r="1381" ht="15.75" hidden="1" customHeight="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</row>
    <row r="1382" ht="15.75" hidden="1" customHeight="1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</row>
    <row r="1383" ht="15.75" hidden="1" customHeight="1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</row>
    <row r="1384" ht="15.75" hidden="1" customHeight="1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</row>
    <row r="1385" ht="15.75" hidden="1" customHeight="1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</row>
    <row r="1386" ht="15.75" hidden="1" customHeight="1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</row>
    <row r="1387" ht="15.75" hidden="1" customHeight="1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</row>
    <row r="1388" ht="15.75" hidden="1" customHeight="1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</row>
    <row r="1389" ht="15.75" hidden="1" customHeight="1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</row>
    <row r="1390" ht="15.75" hidden="1" customHeight="1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</row>
    <row r="1391" ht="15.75" hidden="1" customHeight="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</row>
    <row r="1392" ht="15.75" hidden="1" customHeight="1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</row>
    <row r="1393" ht="15.75" hidden="1" customHeight="1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</row>
    <row r="1394" ht="15.75" hidden="1" customHeight="1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</row>
    <row r="1395" ht="15.75" hidden="1" customHeight="1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</row>
    <row r="1396" ht="15.75" hidden="1" customHeight="1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</row>
    <row r="1397" ht="15.75" hidden="1" customHeight="1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</row>
    <row r="1398" ht="15.75" hidden="1" customHeight="1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</row>
    <row r="1399" ht="15.75" hidden="1" customHeight="1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</row>
    <row r="1400" ht="15.75" hidden="1" customHeight="1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</row>
    <row r="1401" ht="15.75" hidden="1" customHeight="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</row>
    <row r="1402" ht="15.75" hidden="1" customHeight="1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</row>
    <row r="1403" ht="15.75" hidden="1" customHeight="1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</row>
    <row r="1404" ht="15.75" hidden="1" customHeight="1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</row>
    <row r="1405" ht="15.75" hidden="1" customHeight="1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</row>
    <row r="1406" ht="15.75" hidden="1" customHeight="1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</row>
    <row r="1407" ht="15.75" hidden="1" customHeight="1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</row>
    <row r="1408" ht="15.75" hidden="1" customHeight="1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</row>
    <row r="1409" ht="15.75" hidden="1" customHeight="1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</row>
    <row r="1410" ht="15.75" hidden="1" customHeight="1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</row>
    <row r="1411" ht="15.75" hidden="1" customHeight="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</row>
    <row r="1412" ht="15.75" hidden="1" customHeight="1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</row>
    <row r="1413" ht="15.75" hidden="1" customHeight="1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</row>
    <row r="1414" ht="15.75" hidden="1" customHeight="1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</row>
    <row r="1415" ht="15.75" hidden="1" customHeight="1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</row>
    <row r="1416" ht="15.75" hidden="1" customHeight="1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</row>
    <row r="1417" ht="15.75" hidden="1" customHeight="1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</row>
    <row r="1418" ht="15.75" hidden="1" customHeight="1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</row>
    <row r="1419" ht="15.75" hidden="1" customHeight="1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</row>
    <row r="1420" ht="15.75" hidden="1" customHeight="1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</row>
    <row r="1421" ht="15.75" hidden="1" customHeight="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</row>
    <row r="1422" ht="15.75" hidden="1" customHeight="1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</row>
    <row r="1423" ht="15.75" hidden="1" customHeight="1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</row>
    <row r="1424" ht="15.75" hidden="1" customHeight="1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</row>
    <row r="1425" ht="15.75" hidden="1" customHeight="1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</row>
    <row r="1426" ht="15.75" hidden="1" customHeight="1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</row>
    <row r="1427" ht="15.75" hidden="1" customHeight="1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</row>
    <row r="1428" ht="15.75" hidden="1" customHeight="1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</row>
    <row r="1429" ht="15.75" hidden="1" customHeight="1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</row>
    <row r="1430" ht="15.75" hidden="1" customHeight="1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</row>
    <row r="1431" ht="15.75" hidden="1" customHeight="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</row>
    <row r="1432" ht="15.75" hidden="1" customHeight="1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</row>
    <row r="1433" ht="15.75" hidden="1" customHeight="1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</row>
    <row r="1434" ht="15.75" hidden="1" customHeight="1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</row>
    <row r="1435" ht="15.75" hidden="1" customHeight="1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</row>
    <row r="1436" ht="15.75" hidden="1" customHeight="1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</row>
    <row r="1437" ht="15.75" hidden="1" customHeight="1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</row>
    <row r="1438" ht="15.75" hidden="1" customHeight="1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</row>
    <row r="1439" ht="15.75" hidden="1" customHeight="1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</row>
    <row r="1440" ht="15.75" hidden="1" customHeight="1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</row>
    <row r="1441" ht="15.75" hidden="1" customHeight="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</row>
    <row r="1442" ht="15.75" hidden="1" customHeight="1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</row>
    <row r="1443" ht="15.75" hidden="1" customHeight="1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</row>
    <row r="1444" ht="15.75" hidden="1" customHeight="1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</row>
    <row r="1445" ht="15.75" hidden="1" customHeight="1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</row>
    <row r="1446" ht="15.75" hidden="1" customHeight="1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</row>
    <row r="1447" ht="15.75" hidden="1" customHeight="1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</row>
    <row r="1448" ht="15.75" hidden="1" customHeight="1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</row>
    <row r="1449" ht="15.75" hidden="1" customHeight="1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</row>
    <row r="1450" ht="15.75" hidden="1" customHeight="1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</row>
    <row r="1451" ht="15.75" hidden="1" customHeight="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</row>
    <row r="1452" ht="15.75" hidden="1" customHeight="1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</row>
    <row r="1453" ht="15.75" hidden="1" customHeight="1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</row>
    <row r="1454" ht="15.75" hidden="1" customHeight="1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</row>
    <row r="1455" ht="15.75" hidden="1" customHeight="1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</row>
    <row r="1456" ht="15.75" hidden="1" customHeight="1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</row>
    <row r="1457" ht="15.75" hidden="1" customHeight="1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</row>
    <row r="1458" ht="15.75" hidden="1" customHeight="1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</row>
    <row r="1459" ht="15.75" hidden="1" customHeight="1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</row>
    <row r="1460" ht="15.75" hidden="1" customHeight="1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</row>
    <row r="1461" ht="15.75" hidden="1" customHeight="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</row>
    <row r="1462" ht="15.75" hidden="1" customHeight="1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</row>
    <row r="1463" ht="15.75" hidden="1" customHeight="1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</row>
    <row r="1464" ht="15.75" hidden="1" customHeight="1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</row>
    <row r="1465" ht="15.75" hidden="1" customHeight="1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</row>
    <row r="1466" ht="15.75" hidden="1" customHeight="1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</row>
    <row r="1467" ht="15.75" hidden="1" customHeight="1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</row>
    <row r="1468" ht="15.75" hidden="1" customHeight="1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</row>
    <row r="1469" ht="15.75" hidden="1" customHeight="1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</row>
    <row r="1470" ht="15.75" hidden="1" customHeight="1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</row>
    <row r="1471" ht="15.75" hidden="1" customHeight="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</row>
    <row r="1472" ht="15.75" hidden="1" customHeight="1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</row>
    <row r="1473" ht="15.75" hidden="1" customHeight="1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</row>
    <row r="1474" ht="15.75" hidden="1" customHeight="1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</row>
    <row r="1475" ht="15.75" hidden="1" customHeight="1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</row>
    <row r="1476" ht="15.75" hidden="1" customHeight="1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</row>
    <row r="1477" ht="15.75" hidden="1" customHeight="1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</row>
    <row r="1478" ht="15.75" hidden="1" customHeight="1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</row>
    <row r="1479" ht="15.75" hidden="1" customHeight="1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</row>
    <row r="1480" ht="15.75" hidden="1" customHeight="1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</row>
    <row r="1481" ht="15.75" hidden="1" customHeight="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</row>
    <row r="1482" ht="15.75" hidden="1" customHeight="1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</row>
    <row r="1483" ht="15.75" hidden="1" customHeight="1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</row>
    <row r="1484" ht="15.75" hidden="1" customHeight="1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</row>
    <row r="1485" ht="15.75" hidden="1" customHeight="1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</row>
    <row r="1486" ht="15.75" hidden="1" customHeight="1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</row>
    <row r="1487" ht="15.75" hidden="1" customHeight="1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</row>
    <row r="1488" ht="15.75" hidden="1" customHeight="1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</row>
    <row r="1489" ht="15.75" hidden="1" customHeight="1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</row>
    <row r="1490" ht="15.75" hidden="1" customHeight="1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</row>
    <row r="1491" ht="15.75" hidden="1" customHeight="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</row>
    <row r="1492" ht="15.75" hidden="1" customHeight="1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</row>
    <row r="1493" ht="15.75" hidden="1" customHeight="1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</row>
    <row r="1494" ht="15.75" hidden="1" customHeight="1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</row>
    <row r="1495" ht="15.75" hidden="1" customHeight="1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</row>
    <row r="1496" ht="15.75" hidden="1" customHeight="1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</row>
    <row r="1497" ht="15.75" hidden="1" customHeight="1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</row>
    <row r="1498" ht="15.75" hidden="1" customHeight="1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</row>
    <row r="1499" ht="15.75" hidden="1" customHeight="1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</row>
    <row r="1500" ht="15.75" hidden="1" customHeight="1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</row>
    <row r="1501" ht="15.75" hidden="1" customHeight="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</row>
    <row r="1502" ht="15.75" hidden="1" customHeight="1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</row>
    <row r="1503" ht="15.75" hidden="1" customHeight="1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</row>
    <row r="1504" ht="15.75" hidden="1" customHeight="1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</row>
    <row r="1505" ht="15.75" hidden="1" customHeight="1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</row>
    <row r="1506" ht="15.75" hidden="1" customHeight="1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</row>
    <row r="1507" ht="15.75" hidden="1" customHeight="1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</row>
    <row r="1508" ht="15.75" hidden="1" customHeight="1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</row>
    <row r="1509" ht="15.75" hidden="1" customHeight="1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</row>
    <row r="1510" ht="15.75" hidden="1" customHeight="1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</row>
    <row r="1511" ht="15.75" hidden="1" customHeight="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</row>
    <row r="1512" ht="15.75" hidden="1" customHeight="1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</row>
    <row r="1513" ht="15.75" hidden="1" customHeight="1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</row>
    <row r="1514" ht="15.75" hidden="1" customHeight="1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</row>
    <row r="1515" ht="15.75" hidden="1" customHeight="1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</row>
    <row r="1516" ht="15.75" hidden="1" customHeight="1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</row>
    <row r="1517" ht="15.75" hidden="1" customHeight="1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</row>
    <row r="1518" ht="15.75" hidden="1" customHeight="1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</row>
    <row r="1519" ht="15.75" hidden="1" customHeight="1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</row>
    <row r="1520" ht="15.75" hidden="1" customHeight="1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</row>
    <row r="1521" ht="15.75" hidden="1" customHeight="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</row>
    <row r="1522" ht="15.75" hidden="1" customHeight="1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</row>
    <row r="1523" ht="15.75" hidden="1" customHeight="1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</row>
    <row r="1524" ht="15.75" hidden="1" customHeight="1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</row>
    <row r="1525" ht="15.75" hidden="1" customHeight="1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</row>
    <row r="1526" ht="15.75" hidden="1" customHeight="1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</row>
    <row r="1527" ht="15.75" hidden="1" customHeight="1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</row>
    <row r="1528" ht="15.75" hidden="1" customHeight="1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</row>
    <row r="1529" ht="15.75" hidden="1" customHeight="1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</row>
    <row r="1530" ht="15.75" hidden="1" customHeight="1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</row>
    <row r="1531" ht="15.75" hidden="1" customHeight="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</row>
    <row r="1532" ht="15.75" hidden="1" customHeight="1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</row>
    <row r="1533" ht="15.75" hidden="1" customHeight="1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</row>
    <row r="1534" ht="15.75" hidden="1" customHeight="1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</row>
    <row r="1535" ht="15.75" hidden="1" customHeight="1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</row>
    <row r="1536" ht="15.75" hidden="1" customHeight="1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</row>
    <row r="1537" ht="15.75" hidden="1" customHeight="1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</row>
    <row r="1538" ht="15.75" hidden="1" customHeight="1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</row>
    <row r="1539" ht="15.75" hidden="1" customHeight="1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</row>
    <row r="1540" ht="15.75" hidden="1" customHeight="1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</row>
    <row r="1541" ht="15.75" hidden="1" customHeight="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</row>
    <row r="1542" ht="15.75" hidden="1" customHeight="1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</row>
    <row r="1543" ht="15.75" hidden="1" customHeight="1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</row>
    <row r="1544" ht="15.75" hidden="1" customHeight="1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</row>
    <row r="1545" ht="15.75" hidden="1" customHeight="1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</row>
    <row r="1546" ht="15.75" hidden="1" customHeight="1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</row>
    <row r="1547" ht="15.75" hidden="1" customHeight="1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</row>
    <row r="1548" ht="15.75" hidden="1" customHeight="1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</row>
    <row r="1549" ht="15.75" hidden="1" customHeight="1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</row>
    <row r="1550" ht="15.75" hidden="1" customHeight="1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</row>
    <row r="1551" ht="15.75" hidden="1" customHeight="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</row>
    <row r="1552" ht="15.75" hidden="1" customHeight="1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</row>
    <row r="1553" ht="15.75" hidden="1" customHeight="1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</row>
    <row r="1554" ht="15.75" hidden="1" customHeight="1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</row>
    <row r="1555" ht="15.75" hidden="1" customHeight="1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</row>
    <row r="1556" ht="15.75" hidden="1" customHeight="1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</row>
    <row r="1557" ht="15.75" hidden="1" customHeight="1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</row>
    <row r="1558" ht="15.75" hidden="1" customHeight="1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</row>
    <row r="1559" ht="15.75" hidden="1" customHeight="1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</row>
    <row r="1560" ht="15.75" hidden="1" customHeight="1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</row>
    <row r="1561" ht="15.75" hidden="1" customHeight="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</row>
    <row r="1562" ht="15.75" hidden="1" customHeight="1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</row>
    <row r="1563" ht="15.75" hidden="1" customHeight="1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</row>
    <row r="1564" ht="15.75" hidden="1" customHeight="1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</row>
    <row r="1565" ht="15.75" hidden="1" customHeight="1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</row>
    <row r="1566" ht="15.75" hidden="1" customHeight="1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</row>
    <row r="1567" ht="15.75" hidden="1" customHeight="1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</row>
    <row r="1568" ht="15.75" hidden="1" customHeight="1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</row>
    <row r="1569" ht="15.75" hidden="1" customHeight="1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</row>
    <row r="1570" ht="15.75" hidden="1" customHeight="1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</row>
    <row r="1571" ht="15.75" hidden="1" customHeight="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</row>
    <row r="1572" ht="15.75" hidden="1" customHeight="1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</row>
    <row r="1573" ht="15.75" hidden="1" customHeight="1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</row>
    <row r="1574" ht="15.75" hidden="1" customHeight="1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</row>
    <row r="1575" ht="15.75" hidden="1" customHeight="1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</row>
    <row r="1576" ht="15.75" hidden="1" customHeight="1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</row>
    <row r="1577" ht="15.75" hidden="1" customHeight="1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</row>
    <row r="1578" ht="15.75" hidden="1" customHeight="1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</row>
    <row r="1579" ht="15.75" hidden="1" customHeight="1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</row>
    <row r="1580" ht="15.75" hidden="1" customHeight="1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</row>
    <row r="1581" ht="15.75" hidden="1" customHeight="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</row>
    <row r="1582" ht="15.75" hidden="1" customHeight="1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</row>
    <row r="1583" ht="15.75" hidden="1" customHeight="1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</row>
    <row r="1584" ht="15.75" hidden="1" customHeight="1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</row>
    <row r="1585" ht="15.75" hidden="1" customHeight="1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</row>
    <row r="1586" ht="15.75" hidden="1" customHeight="1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</row>
    <row r="1587" ht="15.75" hidden="1" customHeight="1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</row>
    <row r="1588" ht="15.75" hidden="1" customHeight="1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</row>
    <row r="1589" ht="15.75" hidden="1" customHeight="1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</row>
    <row r="1590" ht="15.75" hidden="1" customHeight="1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</row>
    <row r="1591" ht="15.75" hidden="1" customHeight="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</row>
    <row r="1592" ht="15.75" hidden="1" customHeight="1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</row>
    <row r="1593" ht="15.75" hidden="1" customHeight="1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</row>
    <row r="1594" ht="15.75" hidden="1" customHeight="1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</row>
    <row r="1595" ht="15.75" hidden="1" customHeight="1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</row>
    <row r="1596" ht="15.75" hidden="1" customHeight="1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</row>
    <row r="1597" ht="15.75" hidden="1" customHeight="1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</row>
    <row r="1598" ht="15.75" hidden="1" customHeight="1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</row>
    <row r="1599" ht="15.75" hidden="1" customHeight="1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</row>
    <row r="1600" ht="15.75" hidden="1" customHeight="1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</row>
    <row r="1601" ht="15.75" hidden="1" customHeight="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</row>
    <row r="1602" ht="15.75" hidden="1" customHeight="1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</row>
    <row r="1603" ht="15.75" hidden="1" customHeight="1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</row>
    <row r="1604" ht="15.75" hidden="1" customHeight="1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</row>
    <row r="1605" ht="15.75" hidden="1" customHeight="1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</row>
    <row r="1606" ht="15.75" hidden="1" customHeight="1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</row>
    <row r="1607" ht="15.75" hidden="1" customHeight="1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</row>
    <row r="1608" ht="15.75" hidden="1" customHeight="1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</row>
    <row r="1609" ht="15.75" hidden="1" customHeight="1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</row>
    <row r="1610" ht="15.75" hidden="1" customHeight="1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</row>
    <row r="1611" ht="15.75" hidden="1" customHeight="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</row>
    <row r="1612" ht="15.75" hidden="1" customHeight="1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</row>
    <row r="1613" ht="15.75" hidden="1" customHeight="1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</row>
    <row r="1614" ht="15.75" hidden="1" customHeight="1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</row>
    <row r="1615" ht="15.75" hidden="1" customHeight="1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</row>
    <row r="1616" ht="15.75" hidden="1" customHeight="1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</row>
    <row r="1617" ht="15.75" hidden="1" customHeight="1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</row>
    <row r="1618" ht="15.75" hidden="1" customHeight="1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</row>
    <row r="1619" ht="15.75" hidden="1" customHeight="1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</row>
    <row r="1620" ht="15.75" hidden="1" customHeight="1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</row>
    <row r="1621" ht="15.75" hidden="1" customHeight="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</row>
    <row r="1622" ht="15.75" hidden="1" customHeight="1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</row>
    <row r="1623" ht="15.75" hidden="1" customHeight="1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</row>
    <row r="1624" ht="15.75" hidden="1" customHeight="1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</row>
    <row r="1625" ht="15.75" hidden="1" customHeight="1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</row>
    <row r="1626" ht="15.75" hidden="1" customHeight="1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</row>
    <row r="1627" ht="15.75" hidden="1" customHeight="1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</row>
    <row r="1628" ht="15.75" hidden="1" customHeight="1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</row>
    <row r="1629" ht="15.75" hidden="1" customHeight="1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</row>
    <row r="1630" ht="15.75" hidden="1" customHeight="1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</row>
    <row r="1631" ht="15.75" hidden="1" customHeight="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</row>
    <row r="1632" ht="15.75" hidden="1" customHeight="1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</row>
    <row r="1633" ht="15.75" hidden="1" customHeight="1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</row>
    <row r="1634" ht="15.75" hidden="1" customHeight="1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</row>
    <row r="1635" ht="15.75" hidden="1" customHeight="1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</row>
    <row r="1636" ht="15.75" hidden="1" customHeight="1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</row>
    <row r="1637" ht="15.75" hidden="1" customHeight="1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</row>
    <row r="1638" ht="15.75" hidden="1" customHeight="1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</row>
    <row r="1639" ht="15.75" hidden="1" customHeight="1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</row>
    <row r="1640" ht="15.75" hidden="1" customHeight="1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</row>
    <row r="1641" ht="15.75" hidden="1" customHeight="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</row>
    <row r="1642" ht="15.75" hidden="1" customHeight="1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</row>
    <row r="1643" ht="15.75" hidden="1" customHeight="1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</row>
    <row r="1644" ht="15.75" hidden="1" customHeight="1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</row>
    <row r="1645" ht="15.75" hidden="1" customHeight="1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</row>
    <row r="1646" ht="15.75" hidden="1" customHeight="1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</row>
    <row r="1647" ht="15.75" hidden="1" customHeight="1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</row>
    <row r="1648" ht="15.75" hidden="1" customHeight="1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</row>
    <row r="1649" ht="15.75" hidden="1" customHeight="1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</row>
    <row r="1650" ht="15.75" hidden="1" customHeight="1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</row>
    <row r="1651" ht="15.75" hidden="1" customHeight="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</row>
    <row r="1652" ht="15.75" hidden="1" customHeight="1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</row>
    <row r="1653" ht="15.75" hidden="1" customHeight="1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</row>
    <row r="1654" ht="15.75" hidden="1" customHeight="1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</row>
    <row r="1655" ht="15.75" hidden="1" customHeight="1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</row>
    <row r="1656" ht="15.75" hidden="1" customHeight="1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</row>
    <row r="1657" ht="15.75" hidden="1" customHeight="1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</row>
    <row r="1658" ht="15.75" hidden="1" customHeight="1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</row>
    <row r="1659" ht="15.75" hidden="1" customHeight="1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</row>
    <row r="1660" ht="15.75" hidden="1" customHeight="1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</row>
    <row r="1661" ht="15.75" hidden="1" customHeight="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</row>
    <row r="1662" ht="15.75" hidden="1" customHeight="1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</row>
    <row r="1663" ht="15.75" hidden="1" customHeight="1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</row>
    <row r="1664" ht="15.75" hidden="1" customHeight="1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</row>
    <row r="1665" ht="15.75" hidden="1" customHeight="1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</row>
    <row r="1666" ht="15.75" hidden="1" customHeight="1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</row>
    <row r="1667" ht="15.75" hidden="1" customHeight="1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</row>
    <row r="1668" ht="15.75" hidden="1" customHeight="1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</row>
    <row r="1669" ht="15.75" hidden="1" customHeight="1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</row>
    <row r="1670" ht="15.75" hidden="1" customHeight="1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</row>
    <row r="1671" ht="15.75" hidden="1" customHeight="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</row>
    <row r="1672" ht="15.75" hidden="1" customHeight="1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</row>
    <row r="1673" ht="15.75" hidden="1" customHeight="1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</row>
    <row r="1674" ht="15.75" hidden="1" customHeight="1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</row>
    <row r="1675" ht="15.75" hidden="1" customHeight="1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</row>
    <row r="1676" ht="15.75" hidden="1" customHeight="1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</row>
    <row r="1677" ht="15.75" hidden="1" customHeight="1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</row>
    <row r="1678" ht="15.75" hidden="1" customHeight="1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</row>
    <row r="1679" ht="15.75" hidden="1" customHeight="1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</row>
    <row r="1680" ht="15.75" hidden="1" customHeight="1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</row>
    <row r="1681" ht="15.75" hidden="1" customHeight="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</row>
    <row r="1682" ht="15.75" hidden="1" customHeight="1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</row>
    <row r="1683" ht="15.75" hidden="1" customHeight="1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</row>
    <row r="1684" ht="15.75" hidden="1" customHeight="1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</row>
    <row r="1685" ht="15.75" hidden="1" customHeight="1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</row>
    <row r="1686" ht="15.75" hidden="1" customHeight="1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</row>
    <row r="1687" ht="15.75" hidden="1" customHeight="1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</row>
    <row r="1688" ht="15.75" hidden="1" customHeight="1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</row>
    <row r="1689" ht="15.75" hidden="1" customHeight="1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</row>
    <row r="1690" ht="15.75" hidden="1" customHeight="1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</row>
    <row r="1691" ht="15.75" hidden="1" customHeight="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</row>
    <row r="1692" ht="15.75" hidden="1" customHeight="1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</row>
    <row r="1693" ht="15.75" hidden="1" customHeight="1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</row>
    <row r="1694" ht="15.75" hidden="1" customHeight="1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</row>
    <row r="1695" ht="15.75" hidden="1" customHeight="1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</row>
    <row r="1696" ht="15.75" hidden="1" customHeight="1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</row>
    <row r="1697" ht="15.75" hidden="1" customHeight="1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</row>
    <row r="1698" ht="15.75" hidden="1" customHeight="1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</row>
    <row r="1699" ht="15.75" hidden="1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</row>
    <row r="1700" ht="15.75" hidden="1" customHeight="1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</row>
    <row r="1701" ht="15.75" hidden="1" customHeight="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</row>
    <row r="1702" ht="15.75" hidden="1" customHeight="1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</row>
    <row r="1703" ht="15.75" hidden="1" customHeight="1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</row>
    <row r="1704" ht="15.75" hidden="1" customHeight="1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</row>
    <row r="1705" ht="15.75" hidden="1" customHeight="1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</row>
    <row r="1706" ht="15.75" hidden="1" customHeight="1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</row>
    <row r="1707" ht="15.75" hidden="1" customHeight="1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</row>
    <row r="1708" ht="15.75" hidden="1" customHeight="1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</row>
    <row r="1709" ht="15.75" hidden="1" customHeight="1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</row>
    <row r="1710" ht="15.75" hidden="1" customHeight="1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</row>
    <row r="1711" ht="15.75" hidden="1" customHeight="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</row>
    <row r="1712" ht="15.75" hidden="1" customHeight="1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</row>
    <row r="1713" ht="15.75" hidden="1" customHeight="1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</row>
    <row r="1714" ht="15.75" hidden="1" customHeight="1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</row>
    <row r="1715" ht="15.75" hidden="1" customHeight="1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</row>
    <row r="1716" ht="15.75" hidden="1" customHeight="1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</row>
    <row r="1717" ht="15.75" hidden="1" customHeight="1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</row>
    <row r="1718" ht="15.75" hidden="1" customHeight="1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</row>
    <row r="1719" ht="15.75" hidden="1" customHeight="1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</row>
    <row r="1720" ht="15.75" hidden="1" customHeight="1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</row>
    <row r="1721" ht="15.75" hidden="1" customHeight="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</row>
    <row r="1722" ht="15.75" hidden="1" customHeight="1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</row>
    <row r="1723" ht="15.75" hidden="1" customHeight="1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</row>
    <row r="1724" ht="15.75" hidden="1" customHeight="1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</row>
    <row r="1725" ht="15.75" hidden="1" customHeight="1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</row>
    <row r="1726" ht="15.75" hidden="1" customHeight="1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</row>
    <row r="1727" ht="15.75" hidden="1" customHeight="1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</row>
    <row r="1728" ht="15.75" hidden="1" customHeight="1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</row>
    <row r="1729" ht="15.75" hidden="1" customHeight="1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</row>
    <row r="1730" ht="15.75" hidden="1" customHeight="1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</row>
    <row r="1731" ht="15.75" hidden="1" customHeight="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</row>
    <row r="1732" ht="15.75" hidden="1" customHeight="1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</row>
    <row r="1733" ht="15.75" hidden="1" customHeight="1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</row>
    <row r="1734" ht="15.75" hidden="1" customHeight="1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</row>
    <row r="1735" ht="15.75" hidden="1" customHeight="1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</row>
    <row r="1736" ht="15.75" hidden="1" customHeight="1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</row>
    <row r="1737" ht="15.75" hidden="1" customHeight="1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</row>
    <row r="1738" ht="15.75" hidden="1" customHeight="1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</row>
    <row r="1739" ht="15.75" hidden="1" customHeight="1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</row>
    <row r="1740" ht="15.75" hidden="1" customHeight="1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</row>
    <row r="1741" ht="15.75" hidden="1" customHeight="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</row>
    <row r="1742" ht="15.75" hidden="1" customHeight="1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</row>
    <row r="1743" ht="15.75" hidden="1" customHeight="1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</row>
    <row r="1744" ht="15.75" hidden="1" customHeight="1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</row>
    <row r="1745" ht="15.75" hidden="1" customHeight="1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</row>
    <row r="1746" ht="15.75" hidden="1" customHeight="1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</row>
    <row r="1747" ht="15.75" hidden="1" customHeight="1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</row>
    <row r="1748" ht="15.75" hidden="1" customHeight="1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</row>
    <row r="1749" ht="15.75" hidden="1" customHeight="1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</row>
    <row r="1750" ht="15.75" hidden="1" customHeight="1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</row>
    <row r="1751" ht="15.75" hidden="1" customHeight="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</row>
    <row r="1752" ht="15.75" hidden="1" customHeight="1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</row>
    <row r="1753" ht="15.75" hidden="1" customHeight="1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</row>
    <row r="1754" ht="15.75" hidden="1" customHeight="1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</row>
    <row r="1755" ht="15.75" hidden="1" customHeight="1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</row>
    <row r="1756" ht="15.75" hidden="1" customHeight="1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</row>
    <row r="1757" ht="15.75" hidden="1" customHeight="1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</row>
    <row r="1758" ht="15.75" hidden="1" customHeight="1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</row>
    <row r="1759" ht="15.75" hidden="1" customHeight="1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</row>
    <row r="1760" ht="15.75" hidden="1" customHeight="1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</row>
    <row r="1761" ht="15.75" hidden="1" customHeight="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</row>
    <row r="1762" ht="15.75" hidden="1" customHeight="1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</row>
    <row r="1763" ht="15.75" hidden="1" customHeight="1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</row>
    <row r="1764" ht="15.75" hidden="1" customHeight="1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</row>
    <row r="1765" ht="15.75" hidden="1" customHeight="1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</row>
    <row r="1766" ht="15.75" hidden="1" customHeight="1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</row>
    <row r="1767" ht="15.75" hidden="1" customHeight="1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</row>
    <row r="1768" ht="15.75" hidden="1" customHeight="1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</row>
    <row r="1769" ht="15.75" hidden="1" customHeight="1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</row>
    <row r="1770" ht="15.75" hidden="1" customHeight="1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</row>
    <row r="1771" ht="15.75" hidden="1" customHeight="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</row>
    <row r="1772" ht="15.75" hidden="1" customHeight="1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</row>
    <row r="1773" ht="15.75" hidden="1" customHeight="1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</row>
    <row r="1774" ht="15.75" hidden="1" customHeight="1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</row>
    <row r="1775" ht="15.75" hidden="1" customHeight="1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</row>
    <row r="1776" ht="15.75" hidden="1" customHeight="1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</row>
    <row r="1777" ht="15.75" hidden="1" customHeight="1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</row>
    <row r="1778" ht="15.75" hidden="1" customHeight="1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</row>
    <row r="1779" ht="15.75" hidden="1" customHeight="1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</row>
    <row r="1780" ht="15.75" hidden="1" customHeight="1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</row>
    <row r="1781" ht="15.75" hidden="1" customHeight="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</row>
    <row r="1782" ht="15.75" hidden="1" customHeight="1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</row>
    <row r="1783" ht="15.75" hidden="1" customHeight="1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</row>
    <row r="1784" ht="15.75" hidden="1" customHeight="1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</row>
    <row r="1785" ht="15.75" hidden="1" customHeight="1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</row>
    <row r="1786" ht="15.75" hidden="1" customHeight="1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</row>
    <row r="1787" ht="15.75" hidden="1" customHeight="1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</row>
    <row r="1788" ht="15.75" hidden="1" customHeight="1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</row>
    <row r="1789" ht="15.75" hidden="1" customHeight="1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</row>
    <row r="1790" ht="15.75" hidden="1" customHeight="1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</row>
    <row r="1791" ht="15.75" hidden="1" customHeight="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</row>
    <row r="1792" ht="15.75" hidden="1" customHeight="1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</row>
    <row r="1793" ht="15.75" hidden="1" customHeight="1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</row>
    <row r="1794" ht="15.75" hidden="1" customHeight="1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</row>
    <row r="1795" ht="15.75" hidden="1" customHeight="1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</row>
    <row r="1796" ht="15.75" hidden="1" customHeight="1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</row>
    <row r="1797" ht="15.75" hidden="1" customHeight="1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</row>
    <row r="1798" ht="15.75" hidden="1" customHeight="1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</row>
    <row r="1799" ht="15.75" hidden="1" customHeight="1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</row>
    <row r="1800" ht="15.75" hidden="1" customHeight="1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</row>
    <row r="1801" ht="15.75" hidden="1" customHeight="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</row>
    <row r="1802" ht="15.75" hidden="1" customHeight="1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</row>
    <row r="1803" ht="15.75" hidden="1" customHeight="1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</row>
    <row r="1804" ht="15.75" hidden="1" customHeight="1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</row>
    <row r="1805" ht="15.75" hidden="1" customHeight="1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</row>
    <row r="1806" ht="15.75" hidden="1" customHeight="1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</row>
    <row r="1807" ht="15.75" hidden="1" customHeight="1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</row>
    <row r="1808" ht="15.75" hidden="1" customHeight="1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</row>
    <row r="1809" ht="15.75" hidden="1" customHeight="1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</row>
    <row r="1810" ht="15.75" hidden="1" customHeight="1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</row>
    <row r="1811" ht="15.75" hidden="1" customHeight="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</row>
    <row r="1812" ht="15.75" hidden="1" customHeight="1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</row>
    <row r="1813" ht="15.75" hidden="1" customHeight="1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</row>
    <row r="1814" ht="15.75" hidden="1" customHeight="1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</row>
    <row r="1815" ht="15.75" hidden="1" customHeight="1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</row>
    <row r="1816" ht="15.75" hidden="1" customHeight="1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</row>
    <row r="1817" ht="15.75" hidden="1" customHeight="1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</row>
    <row r="1818" ht="15.75" hidden="1" customHeight="1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</row>
    <row r="1819" ht="15.75" hidden="1" customHeight="1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</row>
    <row r="1820" ht="15.75" hidden="1" customHeight="1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</row>
    <row r="1821" ht="15.75" hidden="1" customHeight="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</row>
    <row r="1822" ht="15.75" hidden="1" customHeight="1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</row>
    <row r="1823" ht="15.75" hidden="1" customHeight="1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</row>
    <row r="1824" ht="15.75" hidden="1" customHeight="1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</row>
    <row r="1825" ht="15.75" hidden="1" customHeight="1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</row>
    <row r="1826" ht="15.75" hidden="1" customHeight="1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</row>
    <row r="1827" ht="15.75" hidden="1" customHeight="1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</row>
    <row r="1828" ht="15.75" hidden="1" customHeight="1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</row>
    <row r="1829" ht="15.75" hidden="1" customHeight="1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</row>
    <row r="1830" ht="15.75" hidden="1" customHeight="1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</row>
    <row r="1831" ht="15.75" hidden="1" customHeight="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</row>
    <row r="1832" ht="15.75" hidden="1" customHeight="1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</row>
    <row r="1833" ht="15.75" hidden="1" customHeight="1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</row>
    <row r="1834" ht="15.75" hidden="1" customHeight="1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</row>
    <row r="1835" ht="15.75" hidden="1" customHeight="1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</row>
    <row r="1836" ht="15.75" hidden="1" customHeight="1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</row>
    <row r="1837" ht="15.75" hidden="1" customHeight="1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</row>
    <row r="1838" ht="15.75" hidden="1" customHeight="1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</row>
    <row r="1839" ht="15.75" hidden="1" customHeight="1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</row>
    <row r="1840" ht="15.75" hidden="1" customHeight="1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</row>
    <row r="1841" ht="15.75" hidden="1" customHeight="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</row>
    <row r="1842" ht="15.75" hidden="1" customHeight="1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</row>
    <row r="1843" ht="15.75" hidden="1" customHeight="1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</row>
    <row r="1844" ht="15.75" hidden="1" customHeight="1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</row>
    <row r="1845" ht="15.75" hidden="1" customHeight="1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</row>
    <row r="1846" ht="15.75" hidden="1" customHeight="1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</row>
    <row r="1847" ht="15.75" hidden="1" customHeight="1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</row>
    <row r="1848" ht="15.75" hidden="1" customHeight="1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</row>
    <row r="1849" ht="15.75" hidden="1" customHeight="1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</row>
    <row r="1850" ht="15.75" hidden="1" customHeight="1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</row>
    <row r="1851" ht="15.75" hidden="1" customHeight="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</row>
    <row r="1852" ht="15.75" hidden="1" customHeight="1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</row>
    <row r="1853" ht="15.75" hidden="1" customHeight="1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</row>
    <row r="1854" ht="15.75" hidden="1" customHeight="1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</row>
    <row r="1855" ht="15.75" hidden="1" customHeight="1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</row>
    <row r="1856" ht="15.75" hidden="1" customHeight="1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</row>
    <row r="1857" ht="15.75" hidden="1" customHeight="1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</row>
    <row r="1858" ht="15.75" hidden="1" customHeight="1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</row>
    <row r="1859" ht="15.75" hidden="1" customHeight="1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</row>
    <row r="1860" ht="15.75" hidden="1" customHeight="1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</row>
    <row r="1861" ht="15.75" hidden="1" customHeight="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</row>
    <row r="1862" ht="15.75" hidden="1" customHeight="1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</row>
    <row r="1863" ht="15.75" hidden="1" customHeight="1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</row>
    <row r="1864" ht="15.75" hidden="1" customHeight="1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</row>
    <row r="1865" ht="15.75" hidden="1" customHeight="1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</row>
    <row r="1866" ht="15.75" hidden="1" customHeight="1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</row>
    <row r="1867" ht="15.75" hidden="1" customHeight="1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</row>
    <row r="1868" ht="15.75" hidden="1" customHeight="1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</row>
    <row r="1869" ht="15.75" hidden="1" customHeight="1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</row>
    <row r="1870" ht="15.75" hidden="1" customHeight="1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</row>
    <row r="1871" ht="15.75" hidden="1" customHeight="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</row>
    <row r="1872" ht="15.75" hidden="1" customHeight="1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</row>
    <row r="1873" ht="15.75" hidden="1" customHeight="1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</row>
    <row r="1874" ht="15.75" hidden="1" customHeight="1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</row>
    <row r="1875" ht="15.75" hidden="1" customHeight="1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</row>
    <row r="1876" ht="15.75" hidden="1" customHeight="1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</row>
    <row r="1877" ht="15.75" hidden="1" customHeight="1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</row>
    <row r="1878" ht="15.75" hidden="1" customHeight="1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</row>
    <row r="1879" ht="15.75" hidden="1" customHeight="1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</row>
    <row r="1880" ht="15.75" hidden="1" customHeight="1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</row>
    <row r="1881" ht="15.75" hidden="1" customHeight="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</row>
    <row r="1882" ht="15.75" hidden="1" customHeight="1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</row>
    <row r="1883" ht="15.75" hidden="1" customHeight="1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</row>
    <row r="1884" ht="15.75" hidden="1" customHeight="1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</row>
    <row r="1885" ht="15.75" hidden="1" customHeight="1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</row>
    <row r="1886" ht="15.75" hidden="1" customHeight="1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</row>
    <row r="1887" ht="15.75" hidden="1" customHeight="1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</row>
    <row r="1888" ht="15.75" hidden="1" customHeight="1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</row>
    <row r="1889" ht="15.75" hidden="1" customHeight="1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</row>
    <row r="1890" ht="15.75" hidden="1" customHeight="1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</row>
    <row r="1891" ht="15.75" hidden="1" customHeight="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</row>
    <row r="1892" ht="15.75" hidden="1" customHeight="1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</row>
    <row r="1893" ht="15.75" hidden="1" customHeight="1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</row>
    <row r="1894" ht="15.75" hidden="1" customHeight="1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</row>
    <row r="1895" ht="15.75" hidden="1" customHeight="1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</row>
    <row r="1896" ht="15.75" hidden="1" customHeight="1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</row>
    <row r="1897" ht="15.75" hidden="1" customHeight="1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</row>
    <row r="1898" ht="15.75" hidden="1" customHeight="1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</row>
    <row r="1899" ht="15.75" hidden="1" customHeight="1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</row>
    <row r="1900" ht="15.75" hidden="1" customHeight="1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</row>
    <row r="1901" ht="15.75" hidden="1" customHeight="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ht="15.75" hidden="1" customHeight="1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</row>
    <row r="1903" ht="15.75" hidden="1" customHeight="1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</row>
    <row r="1904" ht="15.75" hidden="1" customHeight="1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</row>
    <row r="1905" ht="15.75" hidden="1" customHeight="1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</row>
    <row r="1906" ht="15.75" hidden="1" customHeight="1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</row>
    <row r="1907" ht="15.75" hidden="1" customHeight="1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</row>
    <row r="1908" ht="15.75" hidden="1" customHeight="1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</row>
    <row r="1909" ht="15.75" hidden="1" customHeight="1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</row>
    <row r="1910" ht="15.75" hidden="1" customHeight="1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</row>
    <row r="1911" ht="15.75" hidden="1" customHeight="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</row>
    <row r="1912" ht="15.75" hidden="1" customHeight="1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</row>
    <row r="1913" ht="15.75" hidden="1" customHeight="1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</row>
    <row r="1914" ht="15.75" hidden="1" customHeight="1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</row>
    <row r="1915" ht="15.75" hidden="1" customHeight="1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</row>
    <row r="1916" ht="15.75" hidden="1" customHeight="1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</row>
    <row r="1917" ht="15.75" hidden="1" customHeight="1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</row>
    <row r="1918" ht="15.75" hidden="1" customHeight="1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</row>
    <row r="1919" ht="15.75" hidden="1" customHeight="1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</row>
    <row r="1920" ht="15.75" hidden="1" customHeight="1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</row>
    <row r="1921" ht="15.75" hidden="1" customHeight="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</row>
    <row r="1922" ht="15.75" hidden="1" customHeight="1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</row>
    <row r="1923" ht="15.75" hidden="1" customHeight="1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</row>
    <row r="1924" ht="15.75" hidden="1" customHeight="1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</row>
    <row r="1925" ht="15.75" hidden="1" customHeight="1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</row>
    <row r="1926" ht="15.75" hidden="1" customHeight="1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</row>
    <row r="1927" ht="15.75" hidden="1" customHeight="1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</row>
    <row r="1928" ht="15.75" hidden="1" customHeight="1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</row>
    <row r="1929" ht="15.75" hidden="1" customHeight="1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</row>
    <row r="1930" ht="15.75" hidden="1" customHeight="1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</row>
    <row r="1931" ht="15.75" hidden="1" customHeight="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</row>
    <row r="1932" ht="15.75" hidden="1" customHeight="1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</row>
    <row r="1933" ht="15.75" hidden="1" customHeight="1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</row>
    <row r="1934" ht="15.75" hidden="1" customHeight="1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</row>
    <row r="1935" ht="15.75" hidden="1" customHeight="1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</row>
    <row r="1936" ht="15.75" hidden="1" customHeight="1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</row>
    <row r="1937" ht="15.75" hidden="1" customHeight="1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</row>
    <row r="1938" ht="15.75" hidden="1" customHeight="1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</row>
    <row r="1939" ht="15.75" hidden="1" customHeight="1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</row>
    <row r="1940" ht="15.75" hidden="1" customHeight="1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</row>
    <row r="1941" ht="15.75" hidden="1" customHeight="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</row>
    <row r="1942" ht="15.75" hidden="1" customHeight="1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</row>
    <row r="1943" ht="15.75" hidden="1" customHeight="1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</row>
    <row r="1944" ht="15.75" hidden="1" customHeight="1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</row>
    <row r="1945" ht="15.75" hidden="1" customHeight="1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</row>
    <row r="1946" ht="15.75" hidden="1" customHeight="1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</row>
    <row r="1947" ht="15.75" hidden="1" customHeight="1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</row>
    <row r="1948" ht="15.75" hidden="1" customHeight="1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</row>
    <row r="1949" ht="15.75" hidden="1" customHeight="1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</row>
    <row r="1950" ht="15.75" hidden="1" customHeight="1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</row>
    <row r="1951" ht="15.75" hidden="1" customHeight="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</row>
    <row r="1952" ht="15.75" hidden="1" customHeight="1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</row>
    <row r="1953" ht="15.75" hidden="1" customHeight="1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</row>
    <row r="1954" ht="15.75" hidden="1" customHeight="1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</row>
    <row r="1955" ht="15.75" hidden="1" customHeight="1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</row>
    <row r="1956" ht="15.75" hidden="1" customHeight="1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</row>
    <row r="1957" ht="15.75" hidden="1" customHeight="1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</row>
    <row r="1958" ht="15.75" hidden="1" customHeight="1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</row>
    <row r="1959" ht="15.75" hidden="1" customHeight="1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</row>
    <row r="1960" ht="15.75" hidden="1" customHeight="1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</row>
    <row r="1961" ht="15.75" hidden="1" customHeight="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</row>
    <row r="1962" ht="15.75" hidden="1" customHeight="1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</row>
    <row r="1963" ht="15.75" hidden="1" customHeight="1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</row>
    <row r="1964" ht="15.75" hidden="1" customHeight="1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</row>
    <row r="1965" ht="15.75" hidden="1" customHeight="1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</row>
    <row r="1966" ht="15.75" hidden="1" customHeight="1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</row>
    <row r="1967" ht="15.75" hidden="1" customHeight="1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</row>
    <row r="1968" ht="15.75" hidden="1" customHeight="1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</row>
    <row r="1969" ht="15.75" hidden="1" customHeight="1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</row>
    <row r="1970" ht="15.75" hidden="1" customHeight="1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</row>
    <row r="1971" ht="15.75" hidden="1" customHeight="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</row>
    <row r="1972" ht="15.75" hidden="1" customHeight="1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</row>
    <row r="1973" ht="15.75" hidden="1" customHeight="1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</row>
    <row r="1974" ht="15.75" hidden="1" customHeight="1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</row>
    <row r="1975" ht="15.75" hidden="1" customHeight="1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</row>
    <row r="1976" ht="15.75" hidden="1" customHeight="1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</row>
    <row r="1977" ht="15.75" hidden="1" customHeight="1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</row>
    <row r="1978" ht="15.75" hidden="1" customHeight="1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</row>
    <row r="1979" ht="15.75" hidden="1" customHeight="1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</row>
    <row r="1980" ht="15.75" hidden="1" customHeight="1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</row>
    <row r="1981" ht="15.75" hidden="1" customHeight="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</row>
    <row r="1982" ht="15.75" hidden="1" customHeight="1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</row>
    <row r="1983" ht="15.75" hidden="1" customHeight="1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</row>
    <row r="1984" ht="15.75" hidden="1" customHeight="1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</row>
    <row r="1985" ht="15.75" hidden="1" customHeight="1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</row>
    <row r="1986" ht="15.75" hidden="1" customHeight="1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</row>
    <row r="1987" ht="15.75" hidden="1" customHeight="1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</row>
    <row r="1988" ht="15.75" hidden="1" customHeight="1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</row>
    <row r="1989" ht="15.75" hidden="1" customHeight="1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</row>
    <row r="1990" ht="15.75" hidden="1" customHeight="1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</row>
    <row r="1991" ht="15.75" hidden="1" customHeight="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</row>
    <row r="1992" ht="15.75" hidden="1" customHeight="1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</row>
    <row r="1993" ht="15.75" hidden="1" customHeight="1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</row>
    <row r="1994" ht="15.75" hidden="1" customHeight="1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</row>
    <row r="1995" ht="15.75" hidden="1" customHeight="1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</row>
    <row r="1996" ht="15.75" hidden="1" customHeight="1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</row>
    <row r="1997" ht="15.75" hidden="1" customHeight="1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</row>
    <row r="1998" ht="15.75" hidden="1" customHeight="1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</row>
    <row r="1999" ht="15.75" hidden="1" customHeight="1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</row>
    <row r="2000" ht="15.75" hidden="1" customHeight="1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</row>
    <row r="2001" ht="15.75" hidden="1" customHeight="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</row>
    <row r="2002" ht="15.75" hidden="1" customHeight="1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</row>
    <row r="2003" ht="15.75" hidden="1" customHeight="1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</row>
    <row r="2004" ht="15.75" hidden="1" customHeight="1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</row>
    <row r="2005" ht="15.75" hidden="1" customHeight="1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</row>
    <row r="2006" ht="15.75" hidden="1" customHeight="1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</row>
    <row r="2007" ht="15.75" hidden="1" customHeight="1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</row>
    <row r="2008" ht="15.75" hidden="1" customHeight="1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</row>
    <row r="2009" ht="15.75" hidden="1" customHeight="1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</row>
    <row r="2010" ht="15.75" hidden="1" customHeight="1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</row>
    <row r="2011" ht="15.75" hidden="1" customHeight="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</row>
    <row r="2012" ht="15.75" hidden="1" customHeight="1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</row>
    <row r="2013" ht="15.75" hidden="1" customHeight="1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</row>
    <row r="2014" ht="15.75" hidden="1" customHeight="1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</row>
    <row r="2015" ht="15.75" hidden="1" customHeight="1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</row>
    <row r="2016" ht="15.75" hidden="1" customHeight="1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</row>
    <row r="2017" ht="15.75" hidden="1" customHeight="1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</row>
    <row r="2018" ht="15.75" hidden="1" customHeight="1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</row>
    <row r="2019" ht="15.75" hidden="1" customHeight="1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</row>
    <row r="2020" ht="15.75" hidden="1" customHeight="1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</row>
    <row r="2021" ht="15.75" hidden="1" customHeight="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</row>
    <row r="2022" ht="15.75" hidden="1" customHeight="1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</row>
    <row r="2023" ht="15.75" hidden="1" customHeight="1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</row>
    <row r="2024" ht="15.75" hidden="1" customHeight="1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</row>
    <row r="2025" ht="15.75" hidden="1" customHeight="1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</row>
    <row r="2026" ht="15.75" hidden="1" customHeight="1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</row>
    <row r="2027" ht="15.75" hidden="1" customHeight="1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</row>
    <row r="2028" ht="15.75" hidden="1" customHeight="1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</row>
    <row r="2029" ht="15.75" hidden="1" customHeight="1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</row>
    <row r="2030" ht="15.75" hidden="1" customHeight="1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</row>
    <row r="2031" ht="15.75" hidden="1" customHeight="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</row>
    <row r="2032" ht="15.75" hidden="1" customHeight="1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</row>
    <row r="2033" ht="15.75" hidden="1" customHeight="1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</row>
    <row r="2034" ht="15.75" hidden="1" customHeight="1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</row>
    <row r="2035" ht="15.75" hidden="1" customHeight="1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</row>
    <row r="2036" ht="15.75" hidden="1" customHeight="1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</row>
    <row r="2037" ht="15.75" hidden="1" customHeight="1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</row>
    <row r="2038" ht="15.75" hidden="1" customHeight="1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</row>
    <row r="2039" ht="15.75" hidden="1" customHeight="1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</row>
    <row r="2040" ht="15.75" hidden="1" customHeight="1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</row>
    <row r="2041" ht="15.75" hidden="1" customHeight="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</row>
    <row r="2042" ht="15.75" hidden="1" customHeight="1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</row>
    <row r="2043" ht="15.75" hidden="1" customHeight="1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</row>
    <row r="2044" ht="15.75" hidden="1" customHeight="1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</row>
    <row r="2045" ht="15.75" hidden="1" customHeight="1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</row>
    <row r="2046" ht="15.75" hidden="1" customHeight="1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</row>
    <row r="2047" ht="15.75" hidden="1" customHeight="1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</row>
    <row r="2048" ht="15.75" hidden="1" customHeight="1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</row>
    <row r="2049" ht="15.75" hidden="1" customHeight="1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</row>
    <row r="2050" ht="15.75" hidden="1" customHeight="1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</row>
    <row r="2051" ht="15.75" hidden="1" customHeight="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</row>
    <row r="2052" ht="15.75" hidden="1" customHeight="1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</row>
    <row r="2053" ht="15.75" hidden="1" customHeight="1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</row>
    <row r="2054" ht="15.75" hidden="1" customHeight="1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</row>
    <row r="2055" ht="15.75" hidden="1" customHeight="1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</row>
    <row r="2056" ht="15.75" hidden="1" customHeight="1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</row>
    <row r="2057" ht="15.75" hidden="1" customHeight="1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</row>
    <row r="2058" ht="15.75" hidden="1" customHeight="1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</row>
    <row r="2059" ht="15.75" hidden="1" customHeight="1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</row>
    <row r="2060" ht="15.75" hidden="1" customHeight="1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</row>
    <row r="2061" ht="15.75" hidden="1" customHeight="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</row>
    <row r="2062" ht="15.75" hidden="1" customHeight="1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</row>
    <row r="2063" ht="15.75" hidden="1" customHeight="1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</row>
    <row r="2064" ht="15.75" hidden="1" customHeight="1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</row>
    <row r="2065" ht="15.75" hidden="1" customHeight="1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</row>
    <row r="2066" ht="15.75" hidden="1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</row>
    <row r="2067" ht="15.75" hidden="1" customHeight="1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</row>
    <row r="2068" ht="15.75" hidden="1" customHeight="1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</row>
    <row r="2069" ht="15.75" hidden="1" customHeight="1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</row>
    <row r="2070" ht="15.75" hidden="1" customHeight="1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</row>
    <row r="2071" ht="15.75" hidden="1" customHeight="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</row>
    <row r="2072" ht="15.75" hidden="1" customHeight="1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</row>
    <row r="2073" ht="15.75" hidden="1" customHeight="1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</row>
    <row r="2074" ht="15.75" hidden="1" customHeight="1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</row>
    <row r="2075" ht="15.75" hidden="1" customHeight="1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</row>
    <row r="2076" ht="15.75" hidden="1" customHeight="1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</row>
    <row r="2077" ht="15.75" hidden="1" customHeight="1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</row>
    <row r="2078" ht="15.75" hidden="1" customHeight="1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</row>
    <row r="2079" ht="15.75" hidden="1" customHeight="1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</row>
    <row r="2080" ht="15.75" hidden="1" customHeight="1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</row>
    <row r="2081" ht="15.75" hidden="1" customHeight="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</row>
    <row r="2082" ht="15.75" hidden="1" customHeight="1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</row>
    <row r="2083" ht="15.75" hidden="1" customHeight="1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</row>
    <row r="2084" ht="15.75" hidden="1" customHeight="1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</row>
    <row r="2085" ht="15.75" hidden="1" customHeight="1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</row>
    <row r="2086" ht="15.75" hidden="1" customHeight="1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</row>
    <row r="2087" ht="15.75" hidden="1" customHeight="1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</row>
    <row r="2088" ht="15.75" hidden="1" customHeight="1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</row>
    <row r="2089" ht="15.75" hidden="1" customHeight="1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</row>
    <row r="2090" ht="15.75" hidden="1" customHeight="1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</row>
    <row r="2091" ht="15.75" hidden="1" customHeight="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</row>
    <row r="2092" ht="15.75" hidden="1" customHeight="1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</row>
    <row r="2093" ht="15.75" hidden="1" customHeight="1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</row>
    <row r="2094" ht="15.75" hidden="1" customHeight="1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</row>
    <row r="2095" ht="15.75" hidden="1" customHeight="1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</row>
    <row r="2096" ht="15.75" hidden="1" customHeight="1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</row>
    <row r="2097" ht="15.75" hidden="1" customHeight="1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</row>
    <row r="2098" ht="15.75" hidden="1" customHeight="1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</row>
    <row r="2099" ht="15.75" hidden="1" customHeight="1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</row>
    <row r="2100" ht="15.75" hidden="1" customHeight="1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</row>
    <row r="2101" ht="15.75" hidden="1" customHeight="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</row>
    <row r="2102" ht="15.75" hidden="1" customHeight="1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</row>
    <row r="2103" ht="15.75" hidden="1" customHeight="1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</row>
    <row r="2104" ht="15.75" hidden="1" customHeight="1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</row>
    <row r="2105" ht="15.75" hidden="1" customHeight="1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</row>
    <row r="2106" ht="15.75" hidden="1" customHeight="1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</row>
    <row r="2107" ht="15.75" hidden="1" customHeight="1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</row>
    <row r="2108" ht="15.75" hidden="1" customHeight="1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</row>
    <row r="2109" ht="15.75" hidden="1" customHeight="1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</row>
    <row r="2110" ht="15.75" hidden="1" customHeight="1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</row>
    <row r="2111" ht="15.75" hidden="1" customHeight="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</row>
    <row r="2112" ht="15.75" hidden="1" customHeight="1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</row>
    <row r="2113" ht="15.75" hidden="1" customHeight="1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</row>
    <row r="2114" ht="15.75" hidden="1" customHeight="1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</row>
    <row r="2115" ht="15.75" hidden="1" customHeight="1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</row>
    <row r="2116" ht="15.75" hidden="1" customHeight="1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</row>
    <row r="2117" ht="15.75" hidden="1" customHeight="1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</row>
    <row r="2118" ht="15.75" hidden="1" customHeight="1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</row>
    <row r="2119" ht="15.75" hidden="1" customHeight="1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</row>
    <row r="2120" ht="15.75" hidden="1" customHeight="1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</row>
    <row r="2121" ht="15.75" hidden="1" customHeight="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</row>
    <row r="2122" ht="15.75" hidden="1" customHeight="1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</row>
    <row r="2123" ht="15.75" hidden="1" customHeight="1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</row>
    <row r="2124" ht="15.75" hidden="1" customHeight="1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</row>
    <row r="2125" ht="15.75" hidden="1" customHeight="1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</row>
    <row r="2126" ht="15.75" hidden="1" customHeight="1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</row>
    <row r="2127" ht="15.75" hidden="1" customHeight="1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</row>
    <row r="2128" ht="15.75" hidden="1" customHeight="1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</row>
    <row r="2129" ht="15.75" hidden="1" customHeight="1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</row>
    <row r="2130" ht="15.75" hidden="1" customHeight="1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</row>
    <row r="2131" ht="15.75" hidden="1" customHeight="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</row>
    <row r="2132" ht="15.75" hidden="1" customHeight="1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</row>
    <row r="2133" ht="15.75" hidden="1" customHeight="1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</row>
    <row r="2134" ht="15.75" hidden="1" customHeight="1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</row>
    <row r="2135" ht="15.75" hidden="1" customHeight="1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</row>
    <row r="2136" ht="15.75" hidden="1" customHeight="1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</row>
    <row r="2137" ht="15.75" hidden="1" customHeight="1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</row>
    <row r="2138" ht="15.75" hidden="1" customHeight="1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</row>
    <row r="2139" ht="15.75" hidden="1" customHeight="1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</row>
    <row r="2140" ht="15.75" hidden="1" customHeight="1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</row>
    <row r="2141" ht="15.75" hidden="1" customHeight="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</row>
    <row r="2142" ht="15.75" hidden="1" customHeight="1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</row>
    <row r="2143" ht="15.75" hidden="1" customHeight="1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</row>
    <row r="2144" ht="15.75" hidden="1" customHeight="1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</row>
    <row r="2145" ht="15.75" hidden="1" customHeight="1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</row>
    <row r="2146" ht="15.75" hidden="1" customHeight="1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</row>
    <row r="2147" ht="15.75" hidden="1" customHeight="1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</row>
    <row r="2148" ht="15.75" hidden="1" customHeight="1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</row>
    <row r="2149" ht="15.75" hidden="1" customHeight="1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</row>
    <row r="2150" ht="15.75" hidden="1" customHeight="1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</row>
    <row r="2151" ht="15.75" hidden="1" customHeight="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</row>
    <row r="2152" ht="15.75" hidden="1" customHeight="1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</row>
    <row r="2153" ht="15.75" hidden="1" customHeight="1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</row>
    <row r="2154" ht="15.75" hidden="1" customHeight="1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</row>
    <row r="2155" ht="15.75" hidden="1" customHeight="1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</row>
    <row r="2156" ht="15.75" hidden="1" customHeight="1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</row>
    <row r="2157" ht="15.75" hidden="1" customHeight="1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</row>
    <row r="2158" ht="15.75" hidden="1" customHeight="1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</row>
    <row r="2159" ht="15.75" hidden="1" customHeight="1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</row>
    <row r="2160" ht="15.75" hidden="1" customHeight="1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</row>
    <row r="2161" ht="15.75" hidden="1" customHeight="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</row>
    <row r="2162" ht="15.75" hidden="1" customHeight="1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</row>
    <row r="2163" ht="15.75" hidden="1" customHeight="1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</row>
    <row r="2164" ht="15.75" hidden="1" customHeight="1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</row>
    <row r="2165" ht="15.75" hidden="1" customHeight="1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</row>
    <row r="2166" ht="15.75" hidden="1" customHeight="1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</row>
    <row r="2167" ht="15.75" hidden="1" customHeight="1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</row>
    <row r="2168" ht="15.75" hidden="1" customHeight="1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</row>
    <row r="2169" ht="15.75" hidden="1" customHeight="1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</row>
    <row r="2170" ht="15.75" hidden="1" customHeight="1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</row>
    <row r="2171" ht="15.75" hidden="1" customHeight="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</row>
    <row r="2172" ht="15.75" hidden="1" customHeight="1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</row>
    <row r="2173" ht="15.75" hidden="1" customHeight="1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</row>
    <row r="2174" ht="15.75" hidden="1" customHeight="1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</row>
    <row r="2175" ht="15.75" hidden="1" customHeight="1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</row>
    <row r="2176" ht="15.75" hidden="1" customHeight="1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</row>
    <row r="2177" ht="15.75" hidden="1" customHeight="1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</row>
    <row r="2178" ht="15.75" hidden="1" customHeight="1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</row>
    <row r="2179" ht="15.75" hidden="1" customHeight="1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</row>
    <row r="2180" ht="15.75" hidden="1" customHeight="1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</row>
    <row r="2181" ht="15.75" hidden="1" customHeight="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</row>
    <row r="2182" ht="15.75" hidden="1" customHeight="1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</row>
    <row r="2183" ht="15.75" hidden="1" customHeight="1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</row>
    <row r="2184" ht="15.75" hidden="1" customHeight="1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</row>
    <row r="2185" ht="15.75" hidden="1" customHeight="1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</row>
    <row r="2186" ht="15.75" hidden="1" customHeight="1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</row>
    <row r="2187" ht="15.75" hidden="1" customHeight="1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</row>
    <row r="2188" ht="15.75" hidden="1" customHeight="1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</row>
    <row r="2189" ht="15.75" hidden="1" customHeight="1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</row>
    <row r="2190" ht="15.75" hidden="1" customHeight="1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</row>
    <row r="2191" ht="15.75" hidden="1" customHeight="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</row>
    <row r="2192" ht="15.75" hidden="1" customHeight="1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</row>
    <row r="2193" ht="15.75" hidden="1" customHeight="1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</row>
    <row r="2194" ht="15.75" hidden="1" customHeight="1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</row>
    <row r="2195" ht="15.75" hidden="1" customHeight="1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</row>
    <row r="2196" ht="15.75" hidden="1" customHeight="1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</row>
    <row r="2197" ht="15.75" hidden="1" customHeight="1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</row>
    <row r="2198" ht="15.75" hidden="1" customHeight="1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</row>
    <row r="2199" ht="15.75" hidden="1" customHeight="1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</row>
    <row r="2200" ht="15.75" hidden="1" customHeight="1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</row>
    <row r="2201" ht="15.75" hidden="1" customHeight="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</row>
    <row r="2202" ht="15.75" hidden="1" customHeight="1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</row>
    <row r="2203" ht="15.75" hidden="1" customHeight="1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</row>
    <row r="2204" ht="15.75" hidden="1" customHeight="1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</row>
    <row r="2205" ht="15.75" hidden="1" customHeight="1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</row>
    <row r="2206" ht="15.75" hidden="1" customHeight="1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</row>
    <row r="2207" ht="15.75" hidden="1" customHeight="1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</row>
    <row r="2208" ht="15.75" hidden="1" customHeight="1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</row>
    <row r="2209" ht="15.75" hidden="1" customHeight="1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</row>
    <row r="2210" ht="15.75" hidden="1" customHeight="1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</row>
    <row r="2211" ht="15.75" hidden="1" customHeight="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</row>
    <row r="2212" ht="15.75" hidden="1" customHeight="1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</row>
    <row r="2213" ht="15.75" hidden="1" customHeight="1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</row>
    <row r="2214" ht="15.75" hidden="1" customHeight="1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</row>
    <row r="2215" ht="15.75" hidden="1" customHeight="1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</row>
    <row r="2216" ht="15.75" hidden="1" customHeight="1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</row>
    <row r="2217" ht="15.75" hidden="1" customHeight="1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</row>
    <row r="2218" ht="15.75" hidden="1" customHeight="1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</row>
    <row r="2219" ht="15.75" hidden="1" customHeight="1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</row>
    <row r="2220" ht="15.75" hidden="1" customHeight="1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</row>
    <row r="2221" ht="15.75" hidden="1" customHeight="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</row>
    <row r="2222" ht="15.75" hidden="1" customHeight="1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</row>
    <row r="2223" ht="15.75" hidden="1" customHeight="1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</row>
    <row r="2224" ht="15.75" hidden="1" customHeight="1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</row>
    <row r="2225" ht="15.75" hidden="1" customHeight="1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</row>
    <row r="2226" ht="15.75" hidden="1" customHeight="1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</row>
    <row r="2227" ht="15.75" hidden="1" customHeight="1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</row>
    <row r="2228" ht="15.75" hidden="1" customHeight="1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</row>
    <row r="2229" ht="15.75" hidden="1" customHeight="1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</row>
    <row r="2230" ht="15.75" hidden="1" customHeight="1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</row>
    <row r="2231" ht="15.75" hidden="1" customHeight="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</row>
    <row r="2232" ht="15.75" hidden="1" customHeight="1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</row>
    <row r="2233" ht="15.75" hidden="1" customHeight="1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</row>
    <row r="2234" ht="15.75" hidden="1" customHeight="1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</row>
    <row r="2235" ht="15.75" hidden="1" customHeight="1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</row>
    <row r="2236" ht="15.75" hidden="1" customHeight="1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</row>
    <row r="2237" ht="15.75" hidden="1" customHeight="1">
      <c r="A2237" s="13"/>
      <c r="B2237" s="13"/>
      <c r="C2237" s="13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</row>
    <row r="2238" ht="15.75" hidden="1" customHeight="1">
      <c r="A2238" s="13"/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</row>
    <row r="2239" ht="15.75" hidden="1" customHeight="1">
      <c r="A2239" s="13"/>
      <c r="B2239" s="13"/>
      <c r="C2239" s="13"/>
      <c r="D2239" s="13"/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</row>
    <row r="2240" ht="15.75" hidden="1" customHeight="1">
      <c r="A2240" s="13"/>
      <c r="B2240" s="13"/>
      <c r="C2240" s="13"/>
      <c r="D2240" s="13"/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</row>
    <row r="2241" ht="15.75" hidden="1" customHeight="1">
      <c r="A2241" s="13"/>
      <c r="B2241" s="13"/>
      <c r="C2241" s="13"/>
      <c r="D2241" s="13"/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</row>
    <row r="2242" ht="15.75" hidden="1" customHeight="1">
      <c r="A2242" s="13"/>
      <c r="B2242" s="13"/>
      <c r="C2242" s="13"/>
      <c r="D2242" s="13"/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</row>
    <row r="2243" ht="15.75" hidden="1" customHeight="1">
      <c r="A2243" s="13"/>
      <c r="B2243" s="13"/>
      <c r="C2243" s="13"/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</row>
    <row r="2244" ht="15.75" hidden="1" customHeight="1">
      <c r="A2244" s="13"/>
      <c r="B2244" s="13"/>
      <c r="C2244" s="13"/>
      <c r="D2244" s="13"/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</row>
    <row r="2245" ht="15.75" hidden="1" customHeight="1">
      <c r="A2245" s="13"/>
      <c r="B2245" s="13"/>
      <c r="C2245" s="13"/>
      <c r="D2245" s="13"/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</row>
    <row r="2246" ht="15.75" hidden="1" customHeight="1">
      <c r="A2246" s="13"/>
      <c r="B2246" s="13"/>
      <c r="C2246" s="13"/>
      <c r="D2246" s="13"/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</row>
    <row r="2247" ht="15.75" hidden="1" customHeight="1">
      <c r="A2247" s="13"/>
      <c r="B2247" s="13"/>
      <c r="C2247" s="13"/>
      <c r="D2247" s="13"/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</row>
    <row r="2248" ht="15.75" hidden="1" customHeight="1">
      <c r="A2248" s="13"/>
      <c r="B2248" s="13"/>
      <c r="C2248" s="13"/>
      <c r="D2248" s="13"/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</row>
    <row r="2249" ht="15.75" hidden="1" customHeight="1">
      <c r="A2249" s="13"/>
      <c r="B2249" s="13"/>
      <c r="C2249" s="13"/>
      <c r="D2249" s="13"/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</row>
    <row r="2250" ht="15.75" hidden="1" customHeight="1">
      <c r="A2250" s="13"/>
      <c r="B2250" s="13"/>
      <c r="C2250" s="13"/>
      <c r="D2250" s="13"/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</row>
    <row r="2251" ht="15.75" hidden="1" customHeight="1">
      <c r="A2251" s="13"/>
      <c r="B2251" s="13"/>
      <c r="C2251" s="13"/>
      <c r="D2251" s="13"/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</row>
    <row r="2252" ht="15.75" hidden="1" customHeight="1">
      <c r="A2252" s="13"/>
      <c r="B2252" s="13"/>
      <c r="C2252" s="13"/>
      <c r="D2252" s="13"/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</row>
    <row r="2253" ht="15.75" hidden="1" customHeight="1">
      <c r="A2253" s="13"/>
      <c r="B2253" s="13"/>
      <c r="C2253" s="13"/>
      <c r="D2253" s="13"/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</row>
    <row r="2254" ht="15.75" hidden="1" customHeight="1">
      <c r="A2254" s="13"/>
      <c r="B2254" s="13"/>
      <c r="C2254" s="13"/>
      <c r="D2254" s="13"/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</row>
    <row r="2255" ht="15.75" hidden="1" customHeight="1">
      <c r="A2255" s="13"/>
      <c r="B2255" s="13"/>
      <c r="C2255" s="13"/>
      <c r="D2255" s="13"/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</row>
    <row r="2256" ht="15.75" hidden="1" customHeight="1">
      <c r="A2256" s="13"/>
      <c r="B2256" s="13"/>
      <c r="C2256" s="13"/>
      <c r="D2256" s="13"/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</row>
    <row r="2257" ht="15.75" hidden="1" customHeight="1">
      <c r="A2257" s="13"/>
      <c r="B2257" s="13"/>
      <c r="C2257" s="13"/>
      <c r="D2257" s="13"/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</row>
    <row r="2258" ht="15.75" hidden="1" customHeight="1">
      <c r="A2258" s="13"/>
      <c r="B2258" s="13"/>
      <c r="C2258" s="13"/>
      <c r="D2258" s="13"/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</row>
    <row r="2259" ht="15.75" hidden="1" customHeight="1">
      <c r="A2259" s="13"/>
      <c r="B2259" s="13"/>
      <c r="C2259" s="13"/>
      <c r="D2259" s="13"/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</row>
    <row r="2260" ht="15.75" hidden="1" customHeight="1">
      <c r="A2260" s="13"/>
      <c r="B2260" s="13"/>
      <c r="C2260" s="13"/>
      <c r="D2260" s="13"/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</row>
    <row r="2261" ht="15.75" hidden="1" customHeight="1">
      <c r="A2261" s="13"/>
      <c r="B2261" s="13"/>
      <c r="C2261" s="13"/>
      <c r="D2261" s="13"/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</row>
    <row r="2262" ht="15.75" hidden="1" customHeight="1">
      <c r="A2262" s="13"/>
      <c r="B2262" s="13"/>
      <c r="C2262" s="13"/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</row>
    <row r="2263" ht="15.75" hidden="1" customHeight="1">
      <c r="A2263" s="13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</row>
    <row r="2264" ht="15.75" hidden="1" customHeight="1">
      <c r="A2264" s="13"/>
      <c r="B2264" s="13"/>
      <c r="C2264" s="13"/>
      <c r="D2264" s="13"/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</row>
    <row r="2265" ht="15.75" hidden="1" customHeight="1">
      <c r="A2265" s="13"/>
      <c r="B2265" s="13"/>
      <c r="C2265" s="13"/>
      <c r="D2265" s="13"/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</row>
    <row r="2266" ht="15.75" hidden="1" customHeight="1">
      <c r="A2266" s="13"/>
      <c r="B2266" s="13"/>
      <c r="C2266" s="13"/>
      <c r="D2266" s="13"/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</row>
    <row r="2267" ht="15.75" hidden="1" customHeight="1">
      <c r="A2267" s="13"/>
      <c r="B2267" s="13"/>
      <c r="C2267" s="13"/>
      <c r="D2267" s="13"/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</row>
    <row r="2268" ht="15.75" hidden="1" customHeight="1">
      <c r="A2268" s="13"/>
      <c r="B2268" s="13"/>
      <c r="C2268" s="13"/>
      <c r="D2268" s="13"/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</row>
    <row r="2269" ht="15.75" hidden="1" customHeight="1">
      <c r="A2269" s="13"/>
      <c r="B2269" s="13"/>
      <c r="C2269" s="13"/>
      <c r="D2269" s="13"/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</row>
    <row r="2270" ht="15.75" hidden="1" customHeight="1">
      <c r="A2270" s="13"/>
      <c r="B2270" s="13"/>
      <c r="C2270" s="13"/>
      <c r="D2270" s="13"/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</row>
    <row r="2271" ht="15.75" hidden="1" customHeight="1">
      <c r="A2271" s="13"/>
      <c r="B2271" s="13"/>
      <c r="C2271" s="13"/>
      <c r="D2271" s="13"/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</row>
    <row r="2272" ht="15.75" hidden="1" customHeight="1">
      <c r="A2272" s="13"/>
      <c r="B2272" s="13"/>
      <c r="C2272" s="13"/>
      <c r="D2272" s="13"/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</row>
    <row r="2273" ht="15.75" hidden="1" customHeight="1">
      <c r="A2273" s="13"/>
      <c r="B2273" s="13"/>
      <c r="C2273" s="13"/>
      <c r="D2273" s="13"/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</row>
    <row r="2274" ht="15.75" hidden="1" customHeight="1">
      <c r="A2274" s="13"/>
      <c r="B2274" s="13"/>
      <c r="C2274" s="13"/>
      <c r="D2274" s="13"/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</row>
    <row r="2275" ht="15.75" hidden="1" customHeight="1">
      <c r="A2275" s="13"/>
      <c r="B2275" s="13"/>
      <c r="C2275" s="13"/>
      <c r="D2275" s="13"/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</row>
    <row r="2276" ht="15.75" hidden="1" customHeight="1">
      <c r="A2276" s="13"/>
      <c r="B2276" s="13"/>
      <c r="C2276" s="13"/>
      <c r="D2276" s="13"/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</row>
    <row r="2277" ht="15.75" hidden="1" customHeight="1">
      <c r="A2277" s="13"/>
      <c r="B2277" s="13"/>
      <c r="C2277" s="13"/>
      <c r="D2277" s="13"/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</row>
    <row r="2278" ht="15.75" hidden="1" customHeight="1">
      <c r="A2278" s="13"/>
      <c r="B2278" s="13"/>
      <c r="C2278" s="13"/>
      <c r="D2278" s="13"/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</row>
    <row r="2279" ht="15.75" hidden="1" customHeight="1">
      <c r="A2279" s="13"/>
      <c r="B2279" s="13"/>
      <c r="C2279" s="13"/>
      <c r="D2279" s="13"/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</row>
    <row r="2280" ht="15.75" hidden="1" customHeight="1">
      <c r="A2280" s="13"/>
      <c r="B2280" s="13"/>
      <c r="C2280" s="13"/>
      <c r="D2280" s="13"/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</row>
    <row r="2281" ht="15.75" hidden="1" customHeight="1">
      <c r="A2281" s="13"/>
      <c r="B2281" s="13"/>
      <c r="C2281" s="13"/>
      <c r="D2281" s="13"/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</row>
    <row r="2282" ht="15.75" hidden="1" customHeight="1">
      <c r="A2282" s="13"/>
      <c r="B2282" s="13"/>
      <c r="C2282" s="13"/>
      <c r="D2282" s="13"/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</row>
    <row r="2283" ht="15.75" hidden="1" customHeight="1">
      <c r="A2283" s="13"/>
      <c r="B2283" s="13"/>
      <c r="C2283" s="13"/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</row>
    <row r="2284" ht="15.75" hidden="1" customHeight="1">
      <c r="A2284" s="13"/>
      <c r="B2284" s="13"/>
      <c r="C2284" s="13"/>
      <c r="D2284" s="13"/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</row>
    <row r="2285" ht="15.75" hidden="1" customHeight="1">
      <c r="A2285" s="13"/>
      <c r="B2285" s="13"/>
      <c r="C2285" s="13"/>
      <c r="D2285" s="13"/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</row>
    <row r="2286" ht="15.75" hidden="1" customHeight="1">
      <c r="A2286" s="13"/>
      <c r="B2286" s="13"/>
      <c r="C2286" s="13"/>
      <c r="D2286" s="13"/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</row>
    <row r="2287" ht="15.75" hidden="1" customHeight="1">
      <c r="A2287" s="13"/>
      <c r="B2287" s="13"/>
      <c r="C2287" s="13"/>
      <c r="D2287" s="13"/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</row>
    <row r="2288" ht="15.75" hidden="1" customHeight="1">
      <c r="A2288" s="13"/>
      <c r="B2288" s="13"/>
      <c r="C2288" s="13"/>
      <c r="D2288" s="13"/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</row>
    <row r="2289" ht="15.75" hidden="1" customHeight="1">
      <c r="A2289" s="13"/>
      <c r="B2289" s="13"/>
      <c r="C2289" s="13"/>
      <c r="D2289" s="13"/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</row>
    <row r="2290" ht="15.75" hidden="1" customHeight="1">
      <c r="A2290" s="13"/>
      <c r="B2290" s="13"/>
      <c r="C2290" s="13"/>
      <c r="D2290" s="13"/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</row>
    <row r="2291" ht="15.75" hidden="1" customHeight="1">
      <c r="A2291" s="13"/>
      <c r="B2291" s="13"/>
      <c r="C2291" s="13"/>
      <c r="D2291" s="13"/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</row>
    <row r="2292" ht="15.75" hidden="1" customHeight="1">
      <c r="A2292" s="13"/>
      <c r="B2292" s="13"/>
      <c r="C2292" s="13"/>
      <c r="D2292" s="13"/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</row>
    <row r="2293" ht="15.75" hidden="1" customHeight="1">
      <c r="A2293" s="13"/>
      <c r="B2293" s="13"/>
      <c r="C2293" s="13"/>
      <c r="D2293" s="13"/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</row>
    <row r="2294" ht="15.75" hidden="1" customHeight="1">
      <c r="A2294" s="13"/>
      <c r="B2294" s="13"/>
      <c r="C2294" s="13"/>
      <c r="D2294" s="13"/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</row>
    <row r="2295" ht="15.75" hidden="1" customHeight="1">
      <c r="A2295" s="13"/>
      <c r="B2295" s="13"/>
      <c r="C2295" s="13"/>
      <c r="D2295" s="13"/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</row>
    <row r="2296" ht="15.75" hidden="1" customHeight="1">
      <c r="A2296" s="13"/>
      <c r="B2296" s="13"/>
      <c r="C2296" s="13"/>
      <c r="D2296" s="13"/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</row>
    <row r="2297" ht="15.75" hidden="1" customHeight="1">
      <c r="A2297" s="13"/>
      <c r="B2297" s="13"/>
      <c r="C2297" s="13"/>
      <c r="D2297" s="13"/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</row>
    <row r="2298" ht="15.75" hidden="1" customHeight="1">
      <c r="A2298" s="13"/>
      <c r="B2298" s="13"/>
      <c r="C2298" s="13"/>
      <c r="D2298" s="13"/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</row>
    <row r="2299" ht="15.75" hidden="1" customHeight="1">
      <c r="A2299" s="13"/>
      <c r="B2299" s="13"/>
      <c r="C2299" s="13"/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</row>
    <row r="2300" ht="15.75" hidden="1" customHeight="1">
      <c r="A2300" s="13"/>
      <c r="B2300" s="13"/>
      <c r="C2300" s="13"/>
      <c r="D2300" s="13"/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</row>
    <row r="2301" ht="15.75" hidden="1" customHeight="1">
      <c r="A2301" s="13"/>
      <c r="B2301" s="13"/>
      <c r="C2301" s="13"/>
      <c r="D2301" s="13"/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</row>
    <row r="2302" ht="15.75" hidden="1" customHeight="1">
      <c r="A2302" s="13"/>
      <c r="B2302" s="13"/>
      <c r="C2302" s="13"/>
      <c r="D2302" s="13"/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</row>
    <row r="2303" ht="15.75" hidden="1" customHeight="1">
      <c r="A2303" s="13"/>
      <c r="B2303" s="13"/>
      <c r="C2303" s="13"/>
      <c r="D2303" s="13"/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</row>
    <row r="2304" ht="15.75" hidden="1" customHeight="1">
      <c r="A2304" s="13"/>
      <c r="B2304" s="13"/>
      <c r="C2304" s="13"/>
      <c r="D2304" s="13"/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</row>
    <row r="2305" ht="15.75" hidden="1" customHeight="1">
      <c r="A2305" s="13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</row>
    <row r="2306" ht="15.75" hidden="1" customHeight="1">
      <c r="A2306" s="13"/>
      <c r="B2306" s="13"/>
      <c r="C2306" s="13"/>
      <c r="D2306" s="13"/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</row>
    <row r="2307" ht="15.75" hidden="1" customHeight="1">
      <c r="A2307" s="13"/>
      <c r="B2307" s="13"/>
      <c r="C2307" s="13"/>
      <c r="D2307" s="13"/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</row>
    <row r="2308" ht="15.75" hidden="1" customHeight="1">
      <c r="A2308" s="13"/>
      <c r="B2308" s="13"/>
      <c r="C2308" s="13"/>
      <c r="D2308" s="13"/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</row>
    <row r="2309" ht="15.75" hidden="1" customHeight="1">
      <c r="A2309" s="13"/>
      <c r="B2309" s="13"/>
      <c r="C2309" s="13"/>
      <c r="D2309" s="13"/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</row>
    <row r="2310" ht="15.75" hidden="1" customHeight="1">
      <c r="A2310" s="13"/>
      <c r="B2310" s="13"/>
      <c r="C2310" s="13"/>
      <c r="D2310" s="13"/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</row>
    <row r="2311" ht="15.75" hidden="1" customHeight="1">
      <c r="A2311" s="13"/>
      <c r="B2311" s="13"/>
      <c r="C2311" s="13"/>
      <c r="D2311" s="13"/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</row>
    <row r="2312" ht="15.75" hidden="1" customHeight="1">
      <c r="A2312" s="13"/>
      <c r="B2312" s="13"/>
      <c r="C2312" s="13"/>
      <c r="D2312" s="13"/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</row>
    <row r="2313" ht="15.75" hidden="1" customHeight="1">
      <c r="A2313" s="13"/>
      <c r="B2313" s="13"/>
      <c r="C2313" s="13"/>
      <c r="D2313" s="13"/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</row>
    <row r="2314" ht="15.75" hidden="1" customHeight="1">
      <c r="A2314" s="13"/>
      <c r="B2314" s="13"/>
      <c r="C2314" s="13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</row>
    <row r="2315" ht="15.75" hidden="1" customHeight="1">
      <c r="A2315" s="13"/>
      <c r="B2315" s="13"/>
      <c r="C2315" s="13"/>
      <c r="D2315" s="13"/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</row>
    <row r="2316" ht="15.75" hidden="1" customHeight="1">
      <c r="A2316" s="13"/>
      <c r="B2316" s="13"/>
      <c r="C2316" s="13"/>
      <c r="D2316" s="13"/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</row>
    <row r="2317" ht="15.75" hidden="1" customHeight="1">
      <c r="A2317" s="13"/>
      <c r="B2317" s="13"/>
      <c r="C2317" s="13"/>
      <c r="D2317" s="13"/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</row>
    <row r="2318" ht="15.75" hidden="1" customHeight="1">
      <c r="A2318" s="13"/>
      <c r="B2318" s="13"/>
      <c r="C2318" s="13"/>
      <c r="D2318" s="13"/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</row>
    <row r="2319" ht="15.75" hidden="1" customHeight="1">
      <c r="A2319" s="13"/>
      <c r="B2319" s="13"/>
      <c r="C2319" s="13"/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</row>
    <row r="2320" ht="15.75" hidden="1" customHeight="1">
      <c r="A2320" s="13"/>
      <c r="B2320" s="13"/>
      <c r="C2320" s="13"/>
      <c r="D2320" s="13"/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</row>
    <row r="2321" ht="15.75" hidden="1" customHeight="1">
      <c r="A2321" s="13"/>
      <c r="B2321" s="13"/>
      <c r="C2321" s="13"/>
      <c r="D2321" s="13"/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</row>
    <row r="2322" ht="15.75" hidden="1" customHeight="1">
      <c r="A2322" s="13"/>
      <c r="B2322" s="13"/>
      <c r="C2322" s="13"/>
      <c r="D2322" s="13"/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</row>
    <row r="2323" ht="15.75" hidden="1" customHeight="1">
      <c r="A2323" s="13"/>
      <c r="B2323" s="13"/>
      <c r="C2323" s="13"/>
      <c r="D2323" s="13"/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</row>
    <row r="2324" ht="15.75" hidden="1" customHeight="1">
      <c r="A2324" s="13"/>
      <c r="B2324" s="13"/>
      <c r="C2324" s="13"/>
      <c r="D2324" s="13"/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</row>
    <row r="2325" ht="15.75" hidden="1" customHeight="1">
      <c r="A2325" s="13"/>
      <c r="B2325" s="13"/>
      <c r="C2325" s="13"/>
      <c r="D2325" s="13"/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</row>
    <row r="2326" ht="15.75" hidden="1" customHeight="1">
      <c r="A2326" s="13"/>
      <c r="B2326" s="13"/>
      <c r="C2326" s="13"/>
      <c r="D2326" s="13"/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</row>
    <row r="2327" ht="15.75" hidden="1" customHeight="1">
      <c r="A2327" s="13"/>
      <c r="B2327" s="13"/>
      <c r="C2327" s="13"/>
      <c r="D2327" s="13"/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</row>
    <row r="2328" ht="15.75" hidden="1" customHeight="1">
      <c r="A2328" s="13"/>
      <c r="B2328" s="13"/>
      <c r="C2328" s="13"/>
      <c r="D2328" s="13"/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</row>
    <row r="2329" ht="15.75" hidden="1" customHeight="1">
      <c r="A2329" s="13"/>
      <c r="B2329" s="13"/>
      <c r="C2329" s="13"/>
      <c r="D2329" s="13"/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</row>
    <row r="2330" ht="15.75" hidden="1" customHeight="1">
      <c r="A2330" s="13"/>
      <c r="B2330" s="13"/>
      <c r="C2330" s="13"/>
      <c r="D2330" s="13"/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</row>
    <row r="2331" ht="15.75" hidden="1" customHeight="1">
      <c r="A2331" s="13"/>
      <c r="B2331" s="13"/>
      <c r="C2331" s="13"/>
      <c r="D2331" s="13"/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</row>
    <row r="2332" ht="15.75" hidden="1" customHeight="1">
      <c r="A2332" s="13"/>
      <c r="B2332" s="13"/>
      <c r="C2332" s="13"/>
      <c r="D2332" s="13"/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</row>
    <row r="2333" ht="15.75" hidden="1" customHeight="1">
      <c r="A2333" s="13"/>
      <c r="B2333" s="13"/>
      <c r="C2333" s="13"/>
      <c r="D2333" s="13"/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</row>
    <row r="2334" ht="15.75" hidden="1" customHeight="1">
      <c r="A2334" s="13"/>
      <c r="B2334" s="13"/>
      <c r="C2334" s="13"/>
      <c r="D2334" s="13"/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</row>
    <row r="2335" ht="15.75" hidden="1" customHeight="1">
      <c r="A2335" s="13"/>
      <c r="B2335" s="13"/>
      <c r="C2335" s="13"/>
      <c r="D2335" s="13"/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</row>
    <row r="2336" ht="15.75" hidden="1" customHeight="1">
      <c r="A2336" s="13"/>
      <c r="B2336" s="13"/>
      <c r="C2336" s="13"/>
      <c r="D2336" s="13"/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</row>
    <row r="2337" ht="15.75" hidden="1" customHeight="1">
      <c r="A2337" s="13"/>
      <c r="B2337" s="13"/>
      <c r="C2337" s="13"/>
      <c r="D2337" s="13"/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</row>
    <row r="2338" ht="15.75" hidden="1" customHeight="1">
      <c r="A2338" s="13"/>
      <c r="B2338" s="13"/>
      <c r="C2338" s="13"/>
      <c r="D2338" s="13"/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</row>
    <row r="2339" ht="15.75" hidden="1" customHeight="1">
      <c r="A2339" s="13"/>
      <c r="B2339" s="13"/>
      <c r="C2339" s="13"/>
      <c r="D2339" s="13"/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</row>
    <row r="2340" ht="15.75" hidden="1" customHeight="1">
      <c r="A2340" s="13"/>
      <c r="B2340" s="13"/>
      <c r="C2340" s="13"/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</row>
    <row r="2341" ht="15.75" hidden="1" customHeight="1">
      <c r="A2341" s="13"/>
      <c r="B2341" s="13"/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</row>
    <row r="2342" ht="15.75" hidden="1" customHeight="1">
      <c r="A2342" s="13"/>
      <c r="B2342" s="13"/>
      <c r="C2342" s="13"/>
      <c r="D2342" s="13"/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</row>
    <row r="2343" ht="15.75" hidden="1" customHeight="1">
      <c r="A2343" s="13"/>
      <c r="B2343" s="13"/>
      <c r="C2343" s="13"/>
      <c r="D2343" s="13"/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</row>
    <row r="2344" ht="15.75" hidden="1" customHeight="1">
      <c r="A2344" s="13"/>
      <c r="B2344" s="13"/>
      <c r="C2344" s="13"/>
      <c r="D2344" s="13"/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</row>
    <row r="2345" ht="15.75" hidden="1" customHeight="1">
      <c r="A2345" s="13"/>
      <c r="B2345" s="13"/>
      <c r="C2345" s="13"/>
      <c r="D2345" s="13"/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</row>
    <row r="2346" ht="15.75" hidden="1" customHeight="1">
      <c r="A2346" s="13"/>
      <c r="B2346" s="13"/>
      <c r="C2346" s="13"/>
      <c r="D2346" s="13"/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</row>
    <row r="2347" ht="15.75" hidden="1" customHeight="1">
      <c r="A2347" s="13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</row>
    <row r="2348" ht="15.75" hidden="1" customHeight="1">
      <c r="A2348" s="13"/>
      <c r="B2348" s="13"/>
      <c r="C2348" s="13"/>
      <c r="D2348" s="13"/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</row>
    <row r="2349" ht="15.75" hidden="1" customHeight="1">
      <c r="A2349" s="13"/>
      <c r="B2349" s="13"/>
      <c r="C2349" s="13"/>
      <c r="D2349" s="13"/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</row>
    <row r="2350" ht="15.75" hidden="1" customHeight="1">
      <c r="A2350" s="13"/>
      <c r="B2350" s="13"/>
      <c r="C2350" s="13"/>
      <c r="D2350" s="13"/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</row>
    <row r="2351" ht="15.75" hidden="1" customHeight="1">
      <c r="A2351" s="13"/>
      <c r="B2351" s="13"/>
      <c r="C2351" s="13"/>
      <c r="D2351" s="13"/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</row>
    <row r="2352" ht="15.75" hidden="1" customHeight="1">
      <c r="A2352" s="13"/>
      <c r="B2352" s="13"/>
      <c r="C2352" s="13"/>
      <c r="D2352" s="13"/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</row>
    <row r="2353" ht="15.75" hidden="1" customHeight="1">
      <c r="A2353" s="13"/>
      <c r="B2353" s="13"/>
      <c r="C2353" s="13"/>
      <c r="D2353" s="13"/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</row>
    <row r="2354" ht="15.75" hidden="1" customHeight="1">
      <c r="A2354" s="13"/>
      <c r="B2354" s="13"/>
      <c r="C2354" s="13"/>
      <c r="D2354" s="13"/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</row>
    <row r="2355" ht="15.75" hidden="1" customHeight="1">
      <c r="A2355" s="13"/>
      <c r="B2355" s="13"/>
      <c r="C2355" s="13"/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</row>
    <row r="2356" ht="15.75" hidden="1" customHeight="1">
      <c r="A2356" s="13"/>
      <c r="B2356" s="13"/>
      <c r="C2356" s="13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</row>
    <row r="2357" ht="15.75" hidden="1" customHeight="1">
      <c r="A2357" s="13"/>
      <c r="B2357" s="13"/>
      <c r="C2357" s="13"/>
      <c r="D2357" s="13"/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</row>
    <row r="2358" ht="15.75" hidden="1" customHeight="1">
      <c r="A2358" s="13"/>
      <c r="B2358" s="13"/>
      <c r="C2358" s="13"/>
      <c r="D2358" s="13"/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</row>
    <row r="2359" ht="15.75" hidden="1" customHeight="1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</row>
    <row r="2360" ht="15.75" hidden="1" customHeight="1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</row>
    <row r="2361" ht="15.75" hidden="1" customHeight="1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</row>
    <row r="2362" ht="15.75" hidden="1" customHeight="1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</row>
    <row r="2363" ht="15.75" hidden="1" customHeight="1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</row>
    <row r="2364" ht="15.75" hidden="1" customHeight="1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</row>
    <row r="2365" ht="15.75" hidden="1" customHeight="1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</row>
    <row r="2366" ht="15.75" hidden="1" customHeight="1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</row>
    <row r="2367" ht="15.75" hidden="1" customHeight="1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</row>
    <row r="2368" ht="15.75" hidden="1" customHeight="1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</row>
    <row r="2369" ht="15.75" hidden="1" customHeight="1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</row>
    <row r="2370" ht="15.75" hidden="1" customHeight="1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</row>
    <row r="2371" ht="15.75" hidden="1" customHeight="1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</row>
    <row r="2372" ht="15.75" hidden="1" customHeight="1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</row>
    <row r="2373" ht="15.75" hidden="1" customHeight="1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</row>
    <row r="2374" ht="15.75" hidden="1" customHeight="1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</row>
    <row r="2375" ht="15.75" hidden="1" customHeight="1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</row>
    <row r="2376" ht="15.75" hidden="1" customHeight="1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</row>
    <row r="2377" ht="15.75" hidden="1" customHeight="1">
      <c r="A2377" s="13"/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</row>
    <row r="2378" ht="15.75" hidden="1" customHeight="1">
      <c r="A2378" s="13"/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</row>
    <row r="2379" ht="15.75" hidden="1" customHeight="1">
      <c r="A2379" s="13"/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</row>
    <row r="2380" ht="15.75" hidden="1" customHeight="1">
      <c r="A2380" s="13"/>
      <c r="B2380" s="13"/>
      <c r="C2380" s="13"/>
      <c r="D2380" s="13"/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</row>
    <row r="2381" ht="15.75" hidden="1" customHeight="1">
      <c r="A2381" s="13"/>
      <c r="B2381" s="13"/>
      <c r="C2381" s="13"/>
      <c r="D2381" s="13"/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</row>
    <row r="2382" ht="15.75" hidden="1" customHeight="1">
      <c r="A2382" s="13"/>
      <c r="B2382" s="13"/>
      <c r="C2382" s="13"/>
      <c r="D2382" s="13"/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</row>
    <row r="2383" ht="15.75" hidden="1" customHeight="1">
      <c r="A2383" s="13"/>
      <c r="B2383" s="13"/>
      <c r="C2383" s="13"/>
      <c r="D2383" s="13"/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</row>
    <row r="2384" ht="15.75" hidden="1" customHeight="1">
      <c r="A2384" s="13"/>
      <c r="B2384" s="13"/>
      <c r="C2384" s="13"/>
      <c r="D2384" s="13"/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</row>
    <row r="2385" ht="15.75" hidden="1" customHeight="1">
      <c r="A2385" s="13"/>
      <c r="B2385" s="13"/>
      <c r="C2385" s="13"/>
      <c r="D2385" s="13"/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</row>
    <row r="2386" ht="15.75" hidden="1" customHeight="1">
      <c r="A2386" s="13"/>
      <c r="B2386" s="13"/>
      <c r="C2386" s="13"/>
      <c r="D2386" s="13"/>
      <c r="E2386" s="13"/>
      <c r="F2386" s="13"/>
      <c r="G2386" s="13"/>
      <c r="H2386" s="13"/>
      <c r="I2386" s="13"/>
      <c r="J2386" s="13"/>
      <c r="K2386" s="13"/>
      <c r="L2386" s="13"/>
      <c r="M2386" s="13"/>
      <c r="N2386" s="13"/>
    </row>
    <row r="2387" ht="15.75" hidden="1" customHeight="1">
      <c r="A2387" s="13"/>
      <c r="B2387" s="13"/>
      <c r="C2387" s="13"/>
      <c r="D2387" s="13"/>
      <c r="E2387" s="13"/>
      <c r="F2387" s="13"/>
      <c r="G2387" s="13"/>
      <c r="H2387" s="13"/>
      <c r="I2387" s="13"/>
      <c r="J2387" s="13"/>
      <c r="K2387" s="13"/>
      <c r="L2387" s="13"/>
      <c r="M2387" s="13"/>
      <c r="N2387" s="13"/>
    </row>
    <row r="2388" ht="15.75" hidden="1" customHeight="1">
      <c r="A2388" s="13"/>
      <c r="B2388" s="13"/>
      <c r="C2388" s="13"/>
      <c r="D2388" s="13"/>
      <c r="E2388" s="13"/>
      <c r="F2388" s="13"/>
      <c r="G2388" s="13"/>
      <c r="H2388" s="13"/>
      <c r="I2388" s="13"/>
      <c r="J2388" s="13"/>
      <c r="K2388" s="13"/>
      <c r="L2388" s="13"/>
      <c r="M2388" s="13"/>
      <c r="N2388" s="13"/>
    </row>
    <row r="2389" ht="15.75" hidden="1" customHeight="1">
      <c r="A2389" s="13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13"/>
    </row>
    <row r="2390" ht="15.75" hidden="1" customHeight="1">
      <c r="A2390" s="13"/>
      <c r="B2390" s="13"/>
      <c r="C2390" s="13"/>
      <c r="D2390" s="13"/>
      <c r="E2390" s="13"/>
      <c r="F2390" s="13"/>
      <c r="G2390" s="13"/>
      <c r="H2390" s="13"/>
      <c r="I2390" s="13"/>
      <c r="J2390" s="13"/>
      <c r="K2390" s="13"/>
      <c r="L2390" s="13"/>
      <c r="M2390" s="13"/>
      <c r="N2390" s="13"/>
    </row>
    <row r="2391" ht="15.75" hidden="1" customHeight="1">
      <c r="A2391" s="13"/>
      <c r="B2391" s="13"/>
      <c r="C2391" s="13"/>
      <c r="D2391" s="13"/>
      <c r="E2391" s="13"/>
      <c r="F2391" s="13"/>
      <c r="G2391" s="13"/>
      <c r="H2391" s="13"/>
      <c r="I2391" s="13"/>
      <c r="J2391" s="13"/>
      <c r="K2391" s="13"/>
      <c r="L2391" s="13"/>
      <c r="M2391" s="13"/>
      <c r="N2391" s="13"/>
    </row>
    <row r="2392" ht="15.75" hidden="1" customHeight="1">
      <c r="A2392" s="13"/>
      <c r="B2392" s="13"/>
      <c r="C2392" s="13"/>
      <c r="D2392" s="13"/>
      <c r="E2392" s="13"/>
      <c r="F2392" s="13"/>
      <c r="G2392" s="13"/>
      <c r="H2392" s="13"/>
      <c r="I2392" s="13"/>
      <c r="J2392" s="13"/>
      <c r="K2392" s="13"/>
      <c r="L2392" s="13"/>
      <c r="M2392" s="13"/>
      <c r="N2392" s="13"/>
    </row>
    <row r="2393" ht="15.75" hidden="1" customHeight="1">
      <c r="A2393" s="13"/>
      <c r="B2393" s="13"/>
      <c r="C2393" s="13"/>
      <c r="D2393" s="13"/>
      <c r="E2393" s="13"/>
      <c r="F2393" s="13"/>
      <c r="G2393" s="13"/>
      <c r="H2393" s="13"/>
      <c r="I2393" s="13"/>
      <c r="J2393" s="13"/>
      <c r="K2393" s="13"/>
      <c r="L2393" s="13"/>
      <c r="M2393" s="13"/>
      <c r="N2393" s="13"/>
    </row>
    <row r="2394" ht="15.75" hidden="1" customHeight="1">
      <c r="A2394" s="13"/>
      <c r="B2394" s="13"/>
      <c r="C2394" s="13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</row>
    <row r="2395" ht="15.75" hidden="1" customHeight="1">
      <c r="A2395" s="13"/>
      <c r="B2395" s="13"/>
      <c r="C2395" s="13"/>
      <c r="D2395" s="13"/>
      <c r="E2395" s="13"/>
      <c r="F2395" s="13"/>
      <c r="G2395" s="13"/>
      <c r="H2395" s="13"/>
      <c r="I2395" s="13"/>
      <c r="J2395" s="13"/>
      <c r="K2395" s="13"/>
      <c r="L2395" s="13"/>
      <c r="M2395" s="13"/>
      <c r="N2395" s="13"/>
    </row>
    <row r="2396" ht="15.75" hidden="1" customHeight="1">
      <c r="A2396" s="13"/>
      <c r="B2396" s="13"/>
      <c r="C2396" s="13"/>
      <c r="D2396" s="13"/>
      <c r="E2396" s="13"/>
      <c r="F2396" s="13"/>
      <c r="G2396" s="13"/>
      <c r="H2396" s="13"/>
      <c r="I2396" s="13"/>
      <c r="J2396" s="13"/>
      <c r="K2396" s="13"/>
      <c r="L2396" s="13"/>
      <c r="M2396" s="13"/>
      <c r="N2396" s="13"/>
    </row>
    <row r="2397" ht="15.75" hidden="1" customHeight="1">
      <c r="A2397" s="13"/>
      <c r="B2397" s="13"/>
      <c r="C2397" s="13"/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</row>
    <row r="2398" ht="15.75" hidden="1" customHeight="1">
      <c r="A2398" s="13"/>
      <c r="B2398" s="13"/>
      <c r="C2398" s="13"/>
      <c r="D2398" s="13"/>
      <c r="E2398" s="13"/>
      <c r="F2398" s="13"/>
      <c r="G2398" s="13"/>
      <c r="H2398" s="13"/>
      <c r="I2398" s="13"/>
      <c r="J2398" s="13"/>
      <c r="K2398" s="13"/>
      <c r="L2398" s="13"/>
      <c r="M2398" s="13"/>
      <c r="N2398" s="13"/>
    </row>
    <row r="2399" ht="15.75" hidden="1" customHeight="1">
      <c r="A2399" s="13"/>
      <c r="B2399" s="13"/>
      <c r="C2399" s="13"/>
      <c r="D2399" s="13"/>
      <c r="E2399" s="13"/>
      <c r="F2399" s="13"/>
      <c r="G2399" s="13"/>
      <c r="H2399" s="13"/>
      <c r="I2399" s="13"/>
      <c r="J2399" s="13"/>
      <c r="K2399" s="13"/>
      <c r="L2399" s="13"/>
      <c r="M2399" s="13"/>
      <c r="N2399" s="13"/>
    </row>
    <row r="2400" ht="15.75" hidden="1" customHeight="1">
      <c r="A2400" s="13"/>
      <c r="B2400" s="13"/>
      <c r="C2400" s="13"/>
      <c r="D2400" s="13"/>
      <c r="E2400" s="13"/>
      <c r="F2400" s="13"/>
      <c r="G2400" s="13"/>
      <c r="H2400" s="13"/>
      <c r="I2400" s="13"/>
      <c r="J2400" s="13"/>
      <c r="K2400" s="13"/>
      <c r="L2400" s="13"/>
      <c r="M2400" s="13"/>
      <c r="N2400" s="13"/>
    </row>
    <row r="2401" ht="15.75" hidden="1" customHeight="1">
      <c r="A2401" s="13"/>
      <c r="B2401" s="13"/>
      <c r="C2401" s="13"/>
      <c r="D2401" s="13"/>
      <c r="E2401" s="13"/>
      <c r="F2401" s="13"/>
      <c r="G2401" s="13"/>
      <c r="H2401" s="13"/>
      <c r="I2401" s="13"/>
      <c r="J2401" s="13"/>
      <c r="K2401" s="13"/>
      <c r="L2401" s="13"/>
      <c r="M2401" s="13"/>
      <c r="N2401" s="13"/>
    </row>
    <row r="2402" ht="15.75" hidden="1" customHeight="1">
      <c r="A2402" s="13"/>
      <c r="B2402" s="13"/>
      <c r="C2402" s="13"/>
      <c r="D2402" s="13"/>
      <c r="E2402" s="13"/>
      <c r="F2402" s="13"/>
      <c r="G2402" s="13"/>
      <c r="H2402" s="13"/>
      <c r="I2402" s="13"/>
      <c r="J2402" s="13"/>
      <c r="K2402" s="13"/>
      <c r="L2402" s="13"/>
      <c r="M2402" s="13"/>
      <c r="N2402" s="13"/>
    </row>
    <row r="2403" ht="15.75" hidden="1" customHeight="1">
      <c r="A2403" s="13"/>
      <c r="B2403" s="13"/>
      <c r="C2403" s="13"/>
      <c r="D2403" s="13"/>
      <c r="E2403" s="13"/>
      <c r="F2403" s="13"/>
      <c r="G2403" s="13"/>
      <c r="H2403" s="13"/>
      <c r="I2403" s="13"/>
      <c r="J2403" s="13"/>
      <c r="K2403" s="13"/>
      <c r="L2403" s="13"/>
      <c r="M2403" s="13"/>
      <c r="N2403" s="13"/>
    </row>
    <row r="2404" ht="15.75" hidden="1" customHeight="1">
      <c r="A2404" s="13"/>
      <c r="B2404" s="13"/>
      <c r="C2404" s="13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</row>
    <row r="2405" ht="15.75" hidden="1" customHeight="1">
      <c r="A2405" s="13"/>
      <c r="B2405" s="13"/>
      <c r="C2405" s="13"/>
      <c r="D2405" s="13"/>
      <c r="E2405" s="13"/>
      <c r="F2405" s="13"/>
      <c r="G2405" s="13"/>
      <c r="H2405" s="13"/>
      <c r="I2405" s="13"/>
      <c r="J2405" s="13"/>
      <c r="K2405" s="13"/>
      <c r="L2405" s="13"/>
      <c r="M2405" s="13"/>
      <c r="N2405" s="13"/>
    </row>
    <row r="2406" ht="15.75" hidden="1" customHeight="1">
      <c r="A2406" s="13"/>
      <c r="B2406" s="13"/>
      <c r="C2406" s="13"/>
      <c r="D2406" s="13"/>
      <c r="E2406" s="13"/>
      <c r="F2406" s="13"/>
      <c r="G2406" s="13"/>
      <c r="H2406" s="13"/>
      <c r="I2406" s="13"/>
      <c r="J2406" s="13"/>
      <c r="K2406" s="13"/>
      <c r="L2406" s="13"/>
      <c r="M2406" s="13"/>
      <c r="N2406" s="13"/>
    </row>
    <row r="2407" ht="15.75" hidden="1" customHeight="1">
      <c r="A2407" s="13"/>
      <c r="B2407" s="13"/>
      <c r="C2407" s="13"/>
      <c r="D2407" s="13"/>
      <c r="E2407" s="13"/>
      <c r="F2407" s="13"/>
      <c r="G2407" s="13"/>
      <c r="H2407" s="13"/>
      <c r="I2407" s="13"/>
      <c r="J2407" s="13"/>
      <c r="K2407" s="13"/>
      <c r="L2407" s="13"/>
      <c r="M2407" s="13"/>
      <c r="N2407" s="13"/>
    </row>
    <row r="2408" ht="15.75" hidden="1" customHeight="1">
      <c r="A2408" s="13"/>
      <c r="B2408" s="13"/>
      <c r="C2408" s="13"/>
      <c r="D2408" s="13"/>
      <c r="E2408" s="13"/>
      <c r="F2408" s="13"/>
      <c r="G2408" s="13"/>
      <c r="H2408" s="13"/>
      <c r="I2408" s="13"/>
      <c r="J2408" s="13"/>
      <c r="K2408" s="13"/>
      <c r="L2408" s="13"/>
      <c r="M2408" s="13"/>
      <c r="N2408" s="13"/>
    </row>
    <row r="2409" ht="15.75" hidden="1" customHeight="1">
      <c r="A2409" s="13"/>
      <c r="B2409" s="13"/>
      <c r="C2409" s="13"/>
      <c r="D2409" s="13"/>
      <c r="E2409" s="13"/>
      <c r="F2409" s="13"/>
      <c r="G2409" s="13"/>
      <c r="H2409" s="13"/>
      <c r="I2409" s="13"/>
      <c r="J2409" s="13"/>
      <c r="K2409" s="13"/>
      <c r="L2409" s="13"/>
      <c r="M2409" s="13"/>
      <c r="N2409" s="13"/>
    </row>
    <row r="2410" ht="15.75" hidden="1" customHeight="1">
      <c r="A2410" s="13"/>
      <c r="B2410" s="13"/>
      <c r="C2410" s="13"/>
      <c r="D2410" s="13"/>
      <c r="E2410" s="13"/>
      <c r="F2410" s="13"/>
      <c r="G2410" s="13"/>
      <c r="H2410" s="13"/>
      <c r="I2410" s="13"/>
      <c r="J2410" s="13"/>
      <c r="K2410" s="13"/>
      <c r="L2410" s="13"/>
      <c r="M2410" s="13"/>
      <c r="N2410" s="13"/>
    </row>
    <row r="2411" ht="15.75" hidden="1" customHeight="1">
      <c r="A2411" s="13"/>
      <c r="B2411" s="13"/>
      <c r="C2411" s="13"/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</row>
    <row r="2412" ht="15.75" hidden="1" customHeight="1">
      <c r="A2412" s="13"/>
      <c r="B2412" s="13"/>
      <c r="C2412" s="13"/>
      <c r="D2412" s="13"/>
      <c r="E2412" s="13"/>
      <c r="F2412" s="13"/>
      <c r="G2412" s="13"/>
      <c r="H2412" s="13"/>
      <c r="I2412" s="13"/>
      <c r="J2412" s="13"/>
      <c r="K2412" s="13"/>
      <c r="L2412" s="13"/>
      <c r="M2412" s="13"/>
      <c r="N2412" s="13"/>
    </row>
    <row r="2413" ht="15.75" hidden="1" customHeight="1">
      <c r="A2413" s="13"/>
      <c r="B2413" s="13"/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</row>
    <row r="2414" ht="15.75" hidden="1" customHeight="1">
      <c r="A2414" s="13"/>
      <c r="B2414" s="13"/>
      <c r="C2414" s="13"/>
      <c r="D2414" s="13"/>
      <c r="E2414" s="13"/>
      <c r="F2414" s="13"/>
      <c r="G2414" s="13"/>
      <c r="H2414" s="13"/>
      <c r="I2414" s="13"/>
      <c r="J2414" s="13"/>
      <c r="K2414" s="13"/>
      <c r="L2414" s="13"/>
      <c r="M2414" s="13"/>
      <c r="N2414" s="13"/>
    </row>
    <row r="2415" ht="15.75" hidden="1" customHeight="1">
      <c r="A2415" s="13"/>
      <c r="B2415" s="13"/>
      <c r="C2415" s="13"/>
      <c r="D2415" s="13"/>
      <c r="E2415" s="13"/>
      <c r="F2415" s="13"/>
      <c r="G2415" s="13"/>
      <c r="H2415" s="13"/>
      <c r="I2415" s="13"/>
      <c r="J2415" s="13"/>
      <c r="K2415" s="13"/>
      <c r="L2415" s="13"/>
      <c r="M2415" s="13"/>
      <c r="N2415" s="13"/>
    </row>
    <row r="2416" ht="15.75" hidden="1" customHeight="1">
      <c r="A2416" s="13"/>
      <c r="B2416" s="13"/>
      <c r="C2416" s="13"/>
      <c r="D2416" s="13"/>
      <c r="E2416" s="13"/>
      <c r="F2416" s="13"/>
      <c r="G2416" s="13"/>
      <c r="H2416" s="13"/>
      <c r="I2416" s="13"/>
      <c r="J2416" s="13"/>
      <c r="K2416" s="13"/>
      <c r="L2416" s="13"/>
      <c r="M2416" s="13"/>
      <c r="N2416" s="13"/>
    </row>
    <row r="2417" ht="15.75" hidden="1" customHeight="1">
      <c r="A2417" s="13"/>
      <c r="B2417" s="13"/>
      <c r="C2417" s="13"/>
      <c r="D2417" s="13"/>
      <c r="E2417" s="13"/>
      <c r="F2417" s="13"/>
      <c r="G2417" s="13"/>
      <c r="H2417" s="13"/>
      <c r="I2417" s="13"/>
      <c r="J2417" s="13"/>
      <c r="K2417" s="13"/>
      <c r="L2417" s="13"/>
      <c r="M2417" s="13"/>
      <c r="N2417" s="13"/>
    </row>
    <row r="2418" ht="15.75" hidden="1" customHeight="1">
      <c r="A2418" s="13"/>
      <c r="B2418" s="13"/>
      <c r="C2418" s="13"/>
      <c r="D2418" s="13"/>
      <c r="E2418" s="13"/>
      <c r="F2418" s="13"/>
      <c r="G2418" s="13"/>
      <c r="H2418" s="13"/>
      <c r="I2418" s="13"/>
      <c r="J2418" s="13"/>
      <c r="K2418" s="13"/>
      <c r="L2418" s="13"/>
      <c r="M2418" s="13"/>
      <c r="N2418" s="13"/>
    </row>
    <row r="2419" ht="15.75" hidden="1" customHeight="1">
      <c r="A2419" s="13"/>
      <c r="B2419" s="13"/>
      <c r="C2419" s="13"/>
      <c r="D2419" s="13"/>
      <c r="E2419" s="13"/>
      <c r="F2419" s="13"/>
      <c r="G2419" s="13"/>
      <c r="H2419" s="13"/>
      <c r="I2419" s="13"/>
      <c r="J2419" s="13"/>
      <c r="K2419" s="13"/>
      <c r="L2419" s="13"/>
      <c r="M2419" s="13"/>
      <c r="N2419" s="13"/>
    </row>
    <row r="2420" ht="15.75" hidden="1" customHeight="1">
      <c r="A2420" s="13"/>
      <c r="B2420" s="13"/>
      <c r="C2420" s="13"/>
      <c r="D2420" s="13"/>
      <c r="E2420" s="13"/>
      <c r="F2420" s="13"/>
      <c r="G2420" s="13"/>
      <c r="H2420" s="13"/>
      <c r="I2420" s="13"/>
      <c r="J2420" s="13"/>
      <c r="K2420" s="13"/>
      <c r="L2420" s="13"/>
      <c r="M2420" s="13"/>
      <c r="N2420" s="13"/>
    </row>
    <row r="2421" ht="15.75" hidden="1" customHeight="1">
      <c r="A2421" s="13"/>
      <c r="B2421" s="13"/>
      <c r="C2421" s="13"/>
      <c r="D2421" s="13"/>
      <c r="E2421" s="13"/>
      <c r="F2421" s="13"/>
      <c r="G2421" s="13"/>
      <c r="H2421" s="13"/>
      <c r="I2421" s="13"/>
      <c r="J2421" s="13"/>
      <c r="K2421" s="13"/>
      <c r="L2421" s="13"/>
      <c r="M2421" s="13"/>
      <c r="N2421" s="13"/>
    </row>
    <row r="2422" ht="15.75" hidden="1" customHeight="1">
      <c r="A2422" s="13"/>
      <c r="B2422" s="13"/>
      <c r="C2422" s="13"/>
      <c r="D2422" s="13"/>
      <c r="E2422" s="13"/>
      <c r="F2422" s="13"/>
      <c r="G2422" s="13"/>
      <c r="H2422" s="13"/>
      <c r="I2422" s="13"/>
      <c r="J2422" s="13"/>
      <c r="K2422" s="13"/>
      <c r="L2422" s="13"/>
      <c r="M2422" s="13"/>
      <c r="N2422" s="13"/>
    </row>
    <row r="2423" ht="15.75" hidden="1" customHeight="1">
      <c r="A2423" s="13"/>
      <c r="B2423" s="13"/>
      <c r="C2423" s="13"/>
      <c r="D2423" s="13"/>
      <c r="E2423" s="13"/>
      <c r="F2423" s="13"/>
      <c r="G2423" s="13"/>
      <c r="H2423" s="13"/>
      <c r="I2423" s="13"/>
      <c r="J2423" s="13"/>
      <c r="K2423" s="13"/>
      <c r="L2423" s="13"/>
      <c r="M2423" s="13"/>
      <c r="N2423" s="13"/>
    </row>
    <row r="2424" ht="15.75" hidden="1" customHeight="1">
      <c r="A2424" s="13"/>
      <c r="B2424" s="13"/>
      <c r="C2424" s="13"/>
      <c r="D2424" s="13"/>
      <c r="E2424" s="13"/>
      <c r="F2424" s="13"/>
      <c r="G2424" s="13"/>
      <c r="H2424" s="13"/>
      <c r="I2424" s="13"/>
      <c r="J2424" s="13"/>
      <c r="K2424" s="13"/>
      <c r="L2424" s="13"/>
      <c r="M2424" s="13"/>
      <c r="N2424" s="13"/>
    </row>
    <row r="2425" ht="15.75" hidden="1" customHeight="1">
      <c r="A2425" s="13"/>
      <c r="B2425" s="13"/>
      <c r="C2425" s="13"/>
      <c r="D2425" s="13"/>
      <c r="E2425" s="13"/>
      <c r="F2425" s="13"/>
      <c r="G2425" s="13"/>
      <c r="H2425" s="13"/>
      <c r="I2425" s="13"/>
      <c r="J2425" s="13"/>
      <c r="K2425" s="13"/>
      <c r="L2425" s="13"/>
      <c r="M2425" s="13"/>
      <c r="N2425" s="13"/>
    </row>
    <row r="2426" ht="15.75" hidden="1" customHeight="1">
      <c r="A2426" s="13"/>
      <c r="B2426" s="13"/>
      <c r="C2426" s="13"/>
      <c r="D2426" s="13"/>
      <c r="E2426" s="13"/>
      <c r="F2426" s="13"/>
      <c r="G2426" s="13"/>
      <c r="H2426" s="13"/>
      <c r="I2426" s="13"/>
      <c r="J2426" s="13"/>
      <c r="K2426" s="13"/>
      <c r="L2426" s="13"/>
      <c r="M2426" s="13"/>
      <c r="N2426" s="13"/>
    </row>
    <row r="2427" ht="15.75" hidden="1" customHeight="1">
      <c r="A2427" s="13"/>
      <c r="B2427" s="13"/>
      <c r="C2427" s="13"/>
      <c r="D2427" s="13"/>
      <c r="E2427" s="13"/>
      <c r="F2427" s="13"/>
      <c r="G2427" s="13"/>
      <c r="H2427" s="13"/>
      <c r="I2427" s="13"/>
      <c r="J2427" s="13"/>
      <c r="K2427" s="13"/>
      <c r="L2427" s="13"/>
      <c r="M2427" s="13"/>
      <c r="N2427" s="13"/>
    </row>
    <row r="2428" ht="15.75" hidden="1" customHeight="1">
      <c r="A2428" s="13"/>
      <c r="B2428" s="13"/>
      <c r="C2428" s="13"/>
      <c r="D2428" s="13"/>
      <c r="E2428" s="13"/>
      <c r="F2428" s="13"/>
      <c r="G2428" s="13"/>
      <c r="H2428" s="13"/>
      <c r="I2428" s="13"/>
      <c r="J2428" s="13"/>
      <c r="K2428" s="13"/>
      <c r="L2428" s="13"/>
      <c r="M2428" s="13"/>
      <c r="N2428" s="13"/>
    </row>
    <row r="2429" ht="15.75" hidden="1" customHeight="1">
      <c r="A2429" s="13"/>
      <c r="B2429" s="13"/>
      <c r="C2429" s="13"/>
      <c r="D2429" s="13"/>
      <c r="E2429" s="13"/>
      <c r="F2429" s="13"/>
      <c r="G2429" s="13"/>
      <c r="H2429" s="13"/>
      <c r="I2429" s="13"/>
      <c r="J2429" s="13"/>
      <c r="K2429" s="13"/>
      <c r="L2429" s="13"/>
      <c r="M2429" s="13"/>
      <c r="N2429" s="13"/>
    </row>
    <row r="2430" ht="15.75" hidden="1" customHeight="1">
      <c r="A2430" s="13"/>
      <c r="B2430" s="13"/>
      <c r="C2430" s="13"/>
      <c r="D2430" s="13"/>
      <c r="E2430" s="13"/>
      <c r="F2430" s="13"/>
      <c r="G2430" s="13"/>
      <c r="H2430" s="13"/>
      <c r="I2430" s="13"/>
      <c r="J2430" s="13"/>
      <c r="K2430" s="13"/>
      <c r="L2430" s="13"/>
      <c r="M2430" s="13"/>
      <c r="N2430" s="13"/>
    </row>
    <row r="2431" ht="15.75" hidden="1" customHeight="1">
      <c r="A2431" s="13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13"/>
    </row>
    <row r="2432" ht="15.75" hidden="1" customHeight="1">
      <c r="A2432" s="13"/>
      <c r="B2432" s="13"/>
      <c r="C2432" s="13"/>
      <c r="D2432" s="13"/>
      <c r="E2432" s="13"/>
      <c r="F2432" s="13"/>
      <c r="G2432" s="13"/>
      <c r="H2432" s="13"/>
      <c r="I2432" s="13"/>
      <c r="J2432" s="13"/>
      <c r="K2432" s="13"/>
      <c r="L2432" s="13"/>
      <c r="M2432" s="13"/>
      <c r="N2432" s="13"/>
    </row>
    <row r="2433" ht="15.75" hidden="1" customHeight="1">
      <c r="A2433" s="13"/>
      <c r="B2433" s="13"/>
      <c r="C2433" s="13"/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</row>
    <row r="2434" ht="15.75" hidden="1" customHeight="1">
      <c r="A2434" s="13"/>
      <c r="B2434" s="13"/>
      <c r="C2434" s="13"/>
      <c r="D2434" s="13"/>
      <c r="E2434" s="13"/>
      <c r="F2434" s="13"/>
      <c r="G2434" s="13"/>
      <c r="H2434" s="13"/>
      <c r="I2434" s="13"/>
      <c r="J2434" s="13"/>
      <c r="K2434" s="13"/>
      <c r="L2434" s="13"/>
      <c r="M2434" s="13"/>
      <c r="N2434" s="13"/>
    </row>
    <row r="2435" ht="15.75" hidden="1" customHeight="1">
      <c r="A2435" s="13"/>
      <c r="B2435" s="13"/>
      <c r="C2435" s="13"/>
      <c r="D2435" s="13"/>
      <c r="E2435" s="13"/>
      <c r="F2435" s="13"/>
      <c r="G2435" s="13"/>
      <c r="H2435" s="13"/>
      <c r="I2435" s="13"/>
      <c r="J2435" s="13"/>
      <c r="K2435" s="13"/>
      <c r="L2435" s="13"/>
      <c r="M2435" s="13"/>
      <c r="N2435" s="13"/>
    </row>
    <row r="2436" ht="15.75" hidden="1" customHeight="1">
      <c r="A2436" s="13"/>
      <c r="B2436" s="13"/>
      <c r="C2436" s="13"/>
      <c r="D2436" s="13"/>
      <c r="E2436" s="13"/>
      <c r="F2436" s="13"/>
      <c r="G2436" s="13"/>
      <c r="H2436" s="13"/>
      <c r="I2436" s="13"/>
      <c r="J2436" s="13"/>
      <c r="K2436" s="13"/>
      <c r="L2436" s="13"/>
      <c r="M2436" s="13"/>
      <c r="N2436" s="13"/>
    </row>
    <row r="2437" ht="15.75" hidden="1" customHeight="1">
      <c r="A2437" s="13"/>
      <c r="B2437" s="13"/>
      <c r="C2437" s="13"/>
      <c r="D2437" s="13"/>
      <c r="E2437" s="13"/>
      <c r="F2437" s="13"/>
      <c r="G2437" s="13"/>
      <c r="H2437" s="13"/>
      <c r="I2437" s="13"/>
      <c r="J2437" s="13"/>
      <c r="K2437" s="13"/>
      <c r="L2437" s="13"/>
      <c r="M2437" s="13"/>
      <c r="N2437" s="13"/>
    </row>
    <row r="2438" ht="15.75" hidden="1" customHeight="1">
      <c r="A2438" s="13"/>
      <c r="B2438" s="13"/>
      <c r="C2438" s="13"/>
      <c r="D2438" s="13"/>
      <c r="E2438" s="13"/>
      <c r="F2438" s="13"/>
      <c r="G2438" s="13"/>
      <c r="H2438" s="13"/>
      <c r="I2438" s="13"/>
      <c r="J2438" s="13"/>
      <c r="K2438" s="13"/>
      <c r="L2438" s="13"/>
      <c r="M2438" s="13"/>
      <c r="N2438" s="13"/>
    </row>
    <row r="2439" ht="15.75" hidden="1" customHeight="1">
      <c r="A2439" s="13"/>
      <c r="B2439" s="13"/>
      <c r="C2439" s="13"/>
      <c r="D2439" s="13"/>
      <c r="E2439" s="13"/>
      <c r="F2439" s="13"/>
      <c r="G2439" s="13"/>
      <c r="H2439" s="13"/>
      <c r="I2439" s="13"/>
      <c r="J2439" s="13"/>
      <c r="K2439" s="13"/>
      <c r="L2439" s="13"/>
      <c r="M2439" s="13"/>
      <c r="N2439" s="13"/>
    </row>
    <row r="2440" ht="15.75" hidden="1" customHeight="1">
      <c r="A2440" s="13"/>
      <c r="B2440" s="13"/>
      <c r="C2440" s="13"/>
      <c r="D2440" s="13"/>
      <c r="E2440" s="13"/>
      <c r="F2440" s="13"/>
      <c r="G2440" s="13"/>
      <c r="H2440" s="13"/>
      <c r="I2440" s="13"/>
      <c r="J2440" s="13"/>
      <c r="K2440" s="13"/>
      <c r="L2440" s="13"/>
      <c r="M2440" s="13"/>
      <c r="N2440" s="13"/>
    </row>
    <row r="2441" ht="15.75" hidden="1" customHeight="1">
      <c r="A2441" s="13"/>
      <c r="B2441" s="13"/>
      <c r="C2441" s="13"/>
      <c r="D2441" s="13"/>
      <c r="E2441" s="13"/>
      <c r="F2441" s="13"/>
      <c r="G2441" s="13"/>
      <c r="H2441" s="13"/>
      <c r="I2441" s="13"/>
      <c r="J2441" s="13"/>
      <c r="K2441" s="13"/>
      <c r="L2441" s="13"/>
      <c r="M2441" s="13"/>
      <c r="N2441" s="13"/>
    </row>
    <row r="2442" ht="15.75" hidden="1" customHeight="1">
      <c r="A2442" s="13"/>
      <c r="B2442" s="13"/>
      <c r="C2442" s="13"/>
      <c r="D2442" s="13"/>
      <c r="E2442" s="13"/>
      <c r="F2442" s="13"/>
      <c r="G2442" s="13"/>
      <c r="H2442" s="13"/>
      <c r="I2442" s="13"/>
      <c r="J2442" s="13"/>
      <c r="K2442" s="13"/>
      <c r="L2442" s="13"/>
      <c r="M2442" s="13"/>
      <c r="N2442" s="13"/>
    </row>
    <row r="2443" ht="15.75" hidden="1" customHeight="1">
      <c r="A2443" s="13"/>
      <c r="B2443" s="13"/>
      <c r="C2443" s="13"/>
      <c r="D2443" s="13"/>
      <c r="E2443" s="13"/>
      <c r="F2443" s="13"/>
      <c r="G2443" s="13"/>
      <c r="H2443" s="13"/>
      <c r="I2443" s="13"/>
      <c r="J2443" s="13"/>
      <c r="K2443" s="13"/>
      <c r="L2443" s="13"/>
      <c r="M2443" s="13"/>
      <c r="N2443" s="13"/>
    </row>
    <row r="2444" ht="15.75" hidden="1" customHeight="1">
      <c r="A2444" s="13"/>
      <c r="B2444" s="13"/>
      <c r="C2444" s="13"/>
      <c r="D2444" s="13"/>
      <c r="E2444" s="13"/>
      <c r="F2444" s="13"/>
      <c r="G2444" s="13"/>
      <c r="H2444" s="13"/>
      <c r="I2444" s="13"/>
      <c r="J2444" s="13"/>
      <c r="K2444" s="13"/>
      <c r="L2444" s="13"/>
      <c r="M2444" s="13"/>
      <c r="N2444" s="13"/>
    </row>
    <row r="2445" ht="15.75" hidden="1" customHeight="1">
      <c r="A2445" s="13"/>
      <c r="B2445" s="13"/>
      <c r="C2445" s="13"/>
      <c r="D2445" s="13"/>
      <c r="E2445" s="13"/>
      <c r="F2445" s="13"/>
      <c r="G2445" s="13"/>
      <c r="H2445" s="13"/>
      <c r="I2445" s="13"/>
      <c r="J2445" s="13"/>
      <c r="K2445" s="13"/>
      <c r="L2445" s="13"/>
      <c r="M2445" s="13"/>
      <c r="N2445" s="13"/>
    </row>
    <row r="2446" ht="15.75" hidden="1" customHeight="1">
      <c r="A2446" s="13"/>
      <c r="B2446" s="13"/>
      <c r="C2446" s="13"/>
      <c r="D2446" s="13"/>
      <c r="E2446" s="13"/>
      <c r="F2446" s="13"/>
      <c r="G2446" s="13"/>
      <c r="H2446" s="13"/>
      <c r="I2446" s="13"/>
      <c r="J2446" s="13"/>
      <c r="K2446" s="13"/>
      <c r="L2446" s="13"/>
      <c r="M2446" s="13"/>
      <c r="N2446" s="13"/>
    </row>
    <row r="2447" ht="15.75" hidden="1" customHeight="1">
      <c r="A2447" s="13"/>
      <c r="B2447" s="13"/>
      <c r="C2447" s="13"/>
      <c r="D2447" s="13"/>
      <c r="E2447" s="13"/>
      <c r="F2447" s="13"/>
      <c r="G2447" s="13"/>
      <c r="H2447" s="13"/>
      <c r="I2447" s="13"/>
      <c r="J2447" s="13"/>
      <c r="K2447" s="13"/>
      <c r="L2447" s="13"/>
      <c r="M2447" s="13"/>
      <c r="N2447" s="13"/>
    </row>
    <row r="2448" ht="15.75" hidden="1" customHeight="1">
      <c r="A2448" s="13"/>
      <c r="B2448" s="13"/>
      <c r="C2448" s="13"/>
      <c r="D2448" s="13"/>
      <c r="E2448" s="13"/>
      <c r="F2448" s="13"/>
      <c r="G2448" s="13"/>
      <c r="H2448" s="13"/>
      <c r="I2448" s="13"/>
      <c r="J2448" s="13"/>
      <c r="K2448" s="13"/>
      <c r="L2448" s="13"/>
      <c r="M2448" s="13"/>
      <c r="N2448" s="13"/>
    </row>
    <row r="2449" ht="15.75" hidden="1" customHeight="1">
      <c r="A2449" s="13"/>
      <c r="B2449" s="13"/>
      <c r="C2449" s="13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</row>
    <row r="2450" ht="15.75" hidden="1" customHeight="1">
      <c r="A2450" s="13"/>
      <c r="B2450" s="13"/>
      <c r="C2450" s="13"/>
      <c r="D2450" s="13"/>
      <c r="E2450" s="13"/>
      <c r="F2450" s="13"/>
      <c r="G2450" s="13"/>
      <c r="H2450" s="13"/>
      <c r="I2450" s="13"/>
      <c r="J2450" s="13"/>
      <c r="K2450" s="13"/>
      <c r="L2450" s="13"/>
      <c r="M2450" s="13"/>
      <c r="N2450" s="13"/>
    </row>
    <row r="2451" ht="15.75" hidden="1" customHeight="1">
      <c r="A2451" s="13"/>
      <c r="B2451" s="13"/>
      <c r="C2451" s="13"/>
      <c r="D2451" s="13"/>
      <c r="E2451" s="13"/>
      <c r="F2451" s="13"/>
      <c r="G2451" s="13"/>
      <c r="H2451" s="13"/>
      <c r="I2451" s="13"/>
      <c r="J2451" s="13"/>
      <c r="K2451" s="13"/>
      <c r="L2451" s="13"/>
      <c r="M2451" s="13"/>
      <c r="N2451" s="13"/>
    </row>
    <row r="2452" ht="15.75" hidden="1" customHeight="1">
      <c r="A2452" s="13"/>
      <c r="B2452" s="13"/>
      <c r="C2452" s="13"/>
      <c r="D2452" s="13"/>
      <c r="E2452" s="13"/>
      <c r="F2452" s="13"/>
      <c r="G2452" s="13"/>
      <c r="H2452" s="13"/>
      <c r="I2452" s="13"/>
      <c r="J2452" s="13"/>
      <c r="K2452" s="13"/>
      <c r="L2452" s="13"/>
      <c r="M2452" s="13"/>
      <c r="N2452" s="13"/>
    </row>
    <row r="2453" ht="15.75" hidden="1" customHeight="1">
      <c r="A2453" s="13"/>
      <c r="B2453" s="13"/>
      <c r="C2453" s="13"/>
      <c r="D2453" s="13"/>
      <c r="E2453" s="13"/>
      <c r="F2453" s="13"/>
      <c r="G2453" s="13"/>
      <c r="H2453" s="13"/>
      <c r="I2453" s="13"/>
      <c r="J2453" s="13"/>
      <c r="K2453" s="13"/>
      <c r="L2453" s="13"/>
      <c r="M2453" s="13"/>
      <c r="N2453" s="13"/>
    </row>
    <row r="2454" ht="15.75" hidden="1" customHeight="1">
      <c r="A2454" s="13"/>
      <c r="B2454" s="13"/>
      <c r="C2454" s="13"/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</row>
    <row r="2455" ht="15.75" hidden="1" customHeight="1">
      <c r="A2455" s="13"/>
      <c r="B2455" s="13"/>
      <c r="C2455" s="13"/>
      <c r="D2455" s="13"/>
      <c r="E2455" s="13"/>
      <c r="F2455" s="13"/>
      <c r="G2455" s="13"/>
      <c r="H2455" s="13"/>
      <c r="I2455" s="13"/>
      <c r="J2455" s="13"/>
      <c r="K2455" s="13"/>
      <c r="L2455" s="13"/>
      <c r="M2455" s="13"/>
      <c r="N2455" s="13"/>
    </row>
    <row r="2456" ht="15.75" hidden="1" customHeight="1">
      <c r="A2456" s="13"/>
      <c r="B2456" s="13"/>
      <c r="C2456" s="13"/>
      <c r="D2456" s="13"/>
      <c r="E2456" s="13"/>
      <c r="F2456" s="13"/>
      <c r="G2456" s="13"/>
      <c r="H2456" s="13"/>
      <c r="I2456" s="13"/>
      <c r="J2456" s="13"/>
      <c r="K2456" s="13"/>
      <c r="L2456" s="13"/>
      <c r="M2456" s="13"/>
      <c r="N2456" s="13"/>
    </row>
    <row r="2457" ht="15.75" hidden="1" customHeight="1">
      <c r="A2457" s="13"/>
      <c r="B2457" s="13"/>
      <c r="C2457" s="13"/>
      <c r="D2457" s="13"/>
      <c r="E2457" s="13"/>
      <c r="F2457" s="13"/>
      <c r="G2457" s="13"/>
      <c r="H2457" s="13"/>
      <c r="I2457" s="13"/>
      <c r="J2457" s="13"/>
      <c r="K2457" s="13"/>
      <c r="L2457" s="13"/>
      <c r="M2457" s="13"/>
      <c r="N2457" s="13"/>
    </row>
    <row r="2458" ht="15.75" hidden="1" customHeight="1">
      <c r="A2458" s="13"/>
      <c r="B2458" s="13"/>
      <c r="C2458" s="13"/>
      <c r="D2458" s="13"/>
      <c r="E2458" s="13"/>
      <c r="F2458" s="13"/>
      <c r="G2458" s="13"/>
      <c r="H2458" s="13"/>
      <c r="I2458" s="13"/>
      <c r="J2458" s="13"/>
      <c r="K2458" s="13"/>
      <c r="L2458" s="13"/>
      <c r="M2458" s="13"/>
      <c r="N2458" s="13"/>
    </row>
    <row r="2459" ht="15.75" hidden="1" customHeight="1">
      <c r="A2459" s="13"/>
      <c r="B2459" s="13"/>
      <c r="C2459" s="13"/>
      <c r="D2459" s="13"/>
      <c r="E2459" s="13"/>
      <c r="F2459" s="13"/>
      <c r="G2459" s="13"/>
      <c r="H2459" s="13"/>
      <c r="I2459" s="13"/>
      <c r="J2459" s="13"/>
      <c r="K2459" s="13"/>
      <c r="L2459" s="13"/>
      <c r="M2459" s="13"/>
      <c r="N2459" s="13"/>
    </row>
    <row r="2460" ht="15.75" hidden="1" customHeight="1">
      <c r="A2460" s="13"/>
      <c r="B2460" s="13"/>
      <c r="C2460" s="13"/>
      <c r="D2460" s="13"/>
      <c r="E2460" s="13"/>
      <c r="F2460" s="13"/>
      <c r="G2460" s="13"/>
      <c r="H2460" s="13"/>
      <c r="I2460" s="13"/>
      <c r="J2460" s="13"/>
      <c r="K2460" s="13"/>
      <c r="L2460" s="13"/>
      <c r="M2460" s="13"/>
      <c r="N2460" s="13"/>
    </row>
    <row r="2461" ht="15.75" hidden="1" customHeight="1">
      <c r="A2461" s="13"/>
      <c r="B2461" s="13"/>
      <c r="C2461" s="13"/>
      <c r="D2461" s="13"/>
      <c r="E2461" s="13"/>
      <c r="F2461" s="13"/>
      <c r="G2461" s="13"/>
      <c r="H2461" s="13"/>
      <c r="I2461" s="13"/>
      <c r="J2461" s="13"/>
      <c r="K2461" s="13"/>
      <c r="L2461" s="13"/>
      <c r="M2461" s="13"/>
      <c r="N2461" s="13"/>
    </row>
    <row r="2462" ht="15.75" hidden="1" customHeight="1">
      <c r="A2462" s="13"/>
      <c r="B2462" s="13"/>
      <c r="C2462" s="13"/>
      <c r="D2462" s="13"/>
      <c r="E2462" s="13"/>
      <c r="F2462" s="13"/>
      <c r="G2462" s="13"/>
      <c r="H2462" s="13"/>
      <c r="I2462" s="13"/>
      <c r="J2462" s="13"/>
      <c r="K2462" s="13"/>
      <c r="L2462" s="13"/>
      <c r="M2462" s="13"/>
      <c r="N2462" s="13"/>
    </row>
    <row r="2463" ht="15.75" hidden="1" customHeight="1">
      <c r="A2463" s="13"/>
      <c r="B2463" s="13"/>
      <c r="C2463" s="13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</row>
    <row r="2464" ht="15.75" hidden="1" customHeight="1">
      <c r="A2464" s="13"/>
      <c r="B2464" s="13"/>
      <c r="C2464" s="13"/>
      <c r="D2464" s="13"/>
      <c r="E2464" s="13"/>
      <c r="F2464" s="13"/>
      <c r="G2464" s="13"/>
      <c r="H2464" s="13"/>
      <c r="I2464" s="13"/>
      <c r="J2464" s="13"/>
      <c r="K2464" s="13"/>
      <c r="L2464" s="13"/>
      <c r="M2464" s="13"/>
      <c r="N2464" s="13"/>
    </row>
    <row r="2465" ht="15.75" hidden="1" customHeight="1">
      <c r="A2465" s="13"/>
      <c r="B2465" s="13"/>
      <c r="C2465" s="13"/>
      <c r="D2465" s="13"/>
      <c r="E2465" s="13"/>
      <c r="F2465" s="13"/>
      <c r="G2465" s="13"/>
      <c r="H2465" s="13"/>
      <c r="I2465" s="13"/>
      <c r="J2465" s="13"/>
      <c r="K2465" s="13"/>
      <c r="L2465" s="13"/>
      <c r="M2465" s="13"/>
      <c r="N2465" s="13"/>
    </row>
    <row r="2466" ht="15.75" hidden="1" customHeight="1">
      <c r="A2466" s="13"/>
      <c r="B2466" s="13"/>
      <c r="C2466" s="13"/>
      <c r="D2466" s="13"/>
      <c r="E2466" s="13"/>
      <c r="F2466" s="13"/>
      <c r="G2466" s="13"/>
      <c r="H2466" s="13"/>
      <c r="I2466" s="13"/>
      <c r="J2466" s="13"/>
      <c r="K2466" s="13"/>
      <c r="L2466" s="13"/>
      <c r="M2466" s="13"/>
      <c r="N2466" s="13"/>
    </row>
    <row r="2467" ht="15.75" hidden="1" customHeight="1">
      <c r="A2467" s="13"/>
      <c r="B2467" s="13"/>
      <c r="C2467" s="13"/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</row>
    <row r="2468" ht="15.75" hidden="1" customHeight="1">
      <c r="A2468" s="13"/>
      <c r="B2468" s="13"/>
      <c r="C2468" s="13"/>
      <c r="D2468" s="13"/>
      <c r="E2468" s="13"/>
      <c r="F2468" s="13"/>
      <c r="G2468" s="13"/>
      <c r="H2468" s="13"/>
      <c r="I2468" s="13"/>
      <c r="J2468" s="13"/>
      <c r="K2468" s="13"/>
      <c r="L2468" s="13"/>
      <c r="M2468" s="13"/>
      <c r="N2468" s="13"/>
    </row>
    <row r="2469" ht="15.75" hidden="1" customHeight="1">
      <c r="A2469" s="13"/>
      <c r="B2469" s="13"/>
      <c r="C2469" s="13"/>
      <c r="D2469" s="13"/>
      <c r="E2469" s="13"/>
      <c r="F2469" s="13"/>
      <c r="G2469" s="13"/>
      <c r="H2469" s="13"/>
      <c r="I2469" s="13"/>
      <c r="J2469" s="13"/>
      <c r="K2469" s="13"/>
      <c r="L2469" s="13"/>
      <c r="M2469" s="13"/>
      <c r="N2469" s="13"/>
    </row>
    <row r="2470" ht="15.75" hidden="1" customHeight="1">
      <c r="A2470" s="13"/>
      <c r="B2470" s="13"/>
      <c r="C2470" s="13"/>
      <c r="D2470" s="13"/>
      <c r="E2470" s="13"/>
      <c r="F2470" s="13"/>
      <c r="G2470" s="13"/>
      <c r="H2470" s="13"/>
      <c r="I2470" s="13"/>
      <c r="J2470" s="13"/>
      <c r="K2470" s="13"/>
      <c r="L2470" s="13"/>
      <c r="M2470" s="13"/>
      <c r="N2470" s="13"/>
    </row>
    <row r="2471" ht="15.75" hidden="1" customHeight="1">
      <c r="A2471" s="13"/>
      <c r="B2471" s="13"/>
      <c r="C2471" s="13"/>
      <c r="D2471" s="13"/>
      <c r="E2471" s="13"/>
      <c r="F2471" s="13"/>
      <c r="G2471" s="13"/>
      <c r="H2471" s="13"/>
      <c r="I2471" s="13"/>
      <c r="J2471" s="13"/>
      <c r="K2471" s="13"/>
      <c r="L2471" s="13"/>
      <c r="M2471" s="13"/>
      <c r="N2471" s="13"/>
    </row>
    <row r="2472" ht="15.75" hidden="1" customHeight="1">
      <c r="A2472" s="13"/>
      <c r="B2472" s="13"/>
      <c r="C2472" s="13"/>
      <c r="D2472" s="13"/>
      <c r="E2472" s="13"/>
      <c r="F2472" s="13"/>
      <c r="G2472" s="13"/>
      <c r="H2472" s="13"/>
      <c r="I2472" s="13"/>
      <c r="J2472" s="13"/>
      <c r="K2472" s="13"/>
      <c r="L2472" s="13"/>
      <c r="M2472" s="13"/>
      <c r="N2472" s="13"/>
    </row>
    <row r="2473" ht="15.75" hidden="1" customHeight="1">
      <c r="A2473" s="13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</row>
    <row r="2474" ht="15.75" hidden="1" customHeight="1">
      <c r="A2474" s="13"/>
      <c r="B2474" s="13"/>
      <c r="C2474" s="13"/>
      <c r="D2474" s="13"/>
      <c r="E2474" s="13"/>
      <c r="F2474" s="13"/>
      <c r="G2474" s="13"/>
      <c r="H2474" s="13"/>
      <c r="I2474" s="13"/>
      <c r="J2474" s="13"/>
      <c r="K2474" s="13"/>
      <c r="L2474" s="13"/>
      <c r="M2474" s="13"/>
      <c r="N2474" s="13"/>
    </row>
    <row r="2475" ht="15.75" hidden="1" customHeight="1">
      <c r="A2475" s="13"/>
      <c r="B2475" s="13"/>
      <c r="C2475" s="13"/>
      <c r="D2475" s="13"/>
      <c r="E2475" s="13"/>
      <c r="F2475" s="13"/>
      <c r="G2475" s="13"/>
      <c r="H2475" s="13"/>
      <c r="I2475" s="13"/>
      <c r="J2475" s="13"/>
      <c r="K2475" s="13"/>
      <c r="L2475" s="13"/>
      <c r="M2475" s="13"/>
      <c r="N2475" s="13"/>
    </row>
    <row r="2476" ht="15.75" hidden="1" customHeight="1">
      <c r="A2476" s="13"/>
      <c r="B2476" s="13"/>
      <c r="C2476" s="13"/>
      <c r="D2476" s="13"/>
      <c r="E2476" s="13"/>
      <c r="F2476" s="13"/>
      <c r="G2476" s="13"/>
      <c r="H2476" s="13"/>
      <c r="I2476" s="13"/>
      <c r="J2476" s="13"/>
      <c r="K2476" s="13"/>
      <c r="L2476" s="13"/>
      <c r="M2476" s="13"/>
      <c r="N2476" s="13"/>
    </row>
    <row r="2477" ht="15.75" hidden="1" customHeight="1">
      <c r="A2477" s="13"/>
      <c r="B2477" s="13"/>
      <c r="C2477" s="13"/>
      <c r="D2477" s="13"/>
      <c r="E2477" s="13"/>
      <c r="F2477" s="13"/>
      <c r="G2477" s="13"/>
      <c r="H2477" s="13"/>
      <c r="I2477" s="13"/>
      <c r="J2477" s="13"/>
      <c r="K2477" s="13"/>
      <c r="L2477" s="13"/>
      <c r="M2477" s="13"/>
      <c r="N2477" s="13"/>
    </row>
    <row r="2478" ht="15.75" hidden="1" customHeight="1">
      <c r="A2478" s="13"/>
      <c r="B2478" s="13"/>
      <c r="C2478" s="13"/>
      <c r="D2478" s="13"/>
      <c r="E2478" s="13"/>
      <c r="F2478" s="13"/>
      <c r="G2478" s="13"/>
      <c r="H2478" s="13"/>
      <c r="I2478" s="13"/>
      <c r="J2478" s="13"/>
      <c r="K2478" s="13"/>
      <c r="L2478" s="13"/>
      <c r="M2478" s="13"/>
      <c r="N2478" s="13"/>
    </row>
    <row r="2479" ht="15.75" hidden="1" customHeight="1">
      <c r="A2479" s="13"/>
      <c r="B2479" s="13"/>
      <c r="C2479" s="13"/>
      <c r="D2479" s="13"/>
      <c r="E2479" s="13"/>
      <c r="F2479" s="13"/>
      <c r="G2479" s="13"/>
      <c r="H2479" s="13"/>
      <c r="I2479" s="13"/>
      <c r="J2479" s="13"/>
      <c r="K2479" s="13"/>
      <c r="L2479" s="13"/>
      <c r="M2479" s="13"/>
      <c r="N2479" s="13"/>
    </row>
    <row r="2480" ht="15.75" hidden="1" customHeight="1">
      <c r="A2480" s="13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3"/>
      <c r="M2480" s="13"/>
      <c r="N2480" s="13"/>
    </row>
    <row r="2481" ht="15.75" hidden="1" customHeight="1">
      <c r="A2481" s="13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3"/>
      <c r="M2481" s="13"/>
      <c r="N2481" s="13"/>
    </row>
    <row r="2482" ht="15.75" hidden="1" customHeight="1">
      <c r="A2482" s="13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</row>
    <row r="2483" ht="15.75" hidden="1" customHeight="1">
      <c r="A2483" s="13"/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3"/>
      <c r="M2483" s="13"/>
      <c r="N2483" s="13"/>
    </row>
    <row r="2484" ht="15.75" hidden="1" customHeight="1">
      <c r="A2484" s="13"/>
      <c r="B2484" s="13"/>
      <c r="C2484" s="13"/>
      <c r="D2484" s="13"/>
      <c r="E2484" s="13"/>
      <c r="F2484" s="13"/>
      <c r="G2484" s="13"/>
      <c r="H2484" s="13"/>
      <c r="I2484" s="13"/>
      <c r="J2484" s="13"/>
      <c r="K2484" s="13"/>
      <c r="L2484" s="13"/>
      <c r="M2484" s="13"/>
      <c r="N2484" s="13"/>
    </row>
    <row r="2485" ht="15.75" hidden="1" customHeight="1">
      <c r="A2485" s="13"/>
      <c r="B2485" s="13"/>
      <c r="C2485" s="13"/>
      <c r="D2485" s="13"/>
      <c r="E2485" s="13"/>
      <c r="F2485" s="13"/>
      <c r="G2485" s="13"/>
      <c r="H2485" s="13"/>
      <c r="I2485" s="13"/>
      <c r="J2485" s="13"/>
      <c r="K2485" s="13"/>
      <c r="L2485" s="13"/>
      <c r="M2485" s="13"/>
      <c r="N2485" s="13"/>
    </row>
    <row r="2486" ht="15.75" hidden="1" customHeight="1">
      <c r="A2486" s="13"/>
      <c r="B2486" s="13"/>
      <c r="C2486" s="13"/>
      <c r="D2486" s="13"/>
      <c r="E2486" s="13"/>
      <c r="F2486" s="13"/>
      <c r="G2486" s="13"/>
      <c r="H2486" s="13"/>
      <c r="I2486" s="13"/>
      <c r="J2486" s="13"/>
      <c r="K2486" s="13"/>
      <c r="L2486" s="13"/>
      <c r="M2486" s="13"/>
      <c r="N2486" s="13"/>
    </row>
    <row r="2487" ht="15.75" hidden="1" customHeight="1">
      <c r="A2487" s="13"/>
      <c r="B2487" s="13"/>
      <c r="C2487" s="13"/>
      <c r="D2487" s="13"/>
      <c r="E2487" s="13"/>
      <c r="F2487" s="13"/>
      <c r="G2487" s="13"/>
      <c r="H2487" s="13"/>
      <c r="I2487" s="13"/>
      <c r="J2487" s="13"/>
      <c r="K2487" s="13"/>
      <c r="L2487" s="13"/>
      <c r="M2487" s="13"/>
      <c r="N2487" s="13"/>
    </row>
    <row r="2488" ht="15.75" hidden="1" customHeight="1">
      <c r="A2488" s="13"/>
      <c r="B2488" s="13"/>
      <c r="C2488" s="13"/>
      <c r="D2488" s="13"/>
      <c r="E2488" s="13"/>
      <c r="F2488" s="13"/>
      <c r="G2488" s="13"/>
      <c r="H2488" s="13"/>
      <c r="I2488" s="13"/>
      <c r="J2488" s="13"/>
      <c r="K2488" s="13"/>
      <c r="L2488" s="13"/>
      <c r="M2488" s="13"/>
      <c r="N2488" s="13"/>
    </row>
    <row r="2489" ht="15.75" hidden="1" customHeight="1">
      <c r="A2489" s="13"/>
      <c r="B2489" s="13"/>
      <c r="C2489" s="13"/>
      <c r="D2489" s="13"/>
      <c r="E2489" s="13"/>
      <c r="F2489" s="13"/>
      <c r="G2489" s="13"/>
      <c r="H2489" s="13"/>
      <c r="I2489" s="13"/>
      <c r="J2489" s="13"/>
      <c r="K2489" s="13"/>
      <c r="L2489" s="13"/>
      <c r="M2489" s="13"/>
      <c r="N2489" s="13"/>
    </row>
    <row r="2490" ht="15.75" hidden="1" customHeight="1">
      <c r="A2490" s="13"/>
      <c r="B2490" s="13"/>
      <c r="C2490" s="13"/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</row>
    <row r="2491" ht="15.75" hidden="1" customHeight="1">
      <c r="A2491" s="13"/>
      <c r="B2491" s="13"/>
      <c r="C2491" s="13"/>
      <c r="D2491" s="13"/>
      <c r="E2491" s="13"/>
      <c r="F2491" s="13"/>
      <c r="G2491" s="13"/>
      <c r="H2491" s="13"/>
      <c r="I2491" s="13"/>
      <c r="J2491" s="13"/>
      <c r="K2491" s="13"/>
      <c r="L2491" s="13"/>
      <c r="M2491" s="13"/>
      <c r="N2491" s="13"/>
    </row>
    <row r="2492" ht="15.75" hidden="1" customHeight="1">
      <c r="A2492" s="13"/>
      <c r="B2492" s="13"/>
      <c r="C2492" s="13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</row>
    <row r="2493" ht="15.75" hidden="1" customHeight="1">
      <c r="A2493" s="13"/>
      <c r="B2493" s="13"/>
      <c r="C2493" s="13"/>
      <c r="D2493" s="13"/>
      <c r="E2493" s="13"/>
      <c r="F2493" s="13"/>
      <c r="G2493" s="13"/>
      <c r="H2493" s="13"/>
      <c r="I2493" s="13"/>
      <c r="J2493" s="13"/>
      <c r="K2493" s="13"/>
      <c r="L2493" s="13"/>
      <c r="M2493" s="13"/>
      <c r="N2493" s="13"/>
    </row>
    <row r="2494" ht="15.75" hidden="1" customHeight="1">
      <c r="A2494" s="13"/>
      <c r="B2494" s="13"/>
      <c r="C2494" s="13"/>
      <c r="D2494" s="13"/>
      <c r="E2494" s="13"/>
      <c r="F2494" s="13"/>
      <c r="G2494" s="13"/>
      <c r="H2494" s="13"/>
      <c r="I2494" s="13"/>
      <c r="J2494" s="13"/>
      <c r="K2494" s="13"/>
      <c r="L2494" s="13"/>
      <c r="M2494" s="13"/>
      <c r="N2494" s="13"/>
    </row>
    <row r="2495" ht="15.75" hidden="1" customHeight="1">
      <c r="A2495" s="13"/>
      <c r="B2495" s="13"/>
      <c r="C2495" s="13"/>
      <c r="D2495" s="13"/>
      <c r="E2495" s="13"/>
      <c r="F2495" s="13"/>
      <c r="G2495" s="13"/>
      <c r="H2495" s="13"/>
      <c r="I2495" s="13"/>
      <c r="J2495" s="13"/>
      <c r="K2495" s="13"/>
      <c r="L2495" s="13"/>
      <c r="M2495" s="13"/>
      <c r="N2495" s="13"/>
    </row>
    <row r="2496" ht="15.75" hidden="1" customHeight="1">
      <c r="A2496" s="13"/>
      <c r="B2496" s="13"/>
      <c r="C2496" s="13"/>
      <c r="D2496" s="13"/>
      <c r="E2496" s="13"/>
      <c r="F2496" s="13"/>
      <c r="G2496" s="13"/>
      <c r="H2496" s="13"/>
      <c r="I2496" s="13"/>
      <c r="J2496" s="13"/>
      <c r="K2496" s="13"/>
      <c r="L2496" s="13"/>
      <c r="M2496" s="13"/>
      <c r="N2496" s="13"/>
    </row>
    <row r="2497" ht="15.75" hidden="1" customHeight="1">
      <c r="A2497" s="13"/>
      <c r="B2497" s="13"/>
      <c r="C2497" s="13"/>
      <c r="D2497" s="13"/>
      <c r="E2497" s="13"/>
      <c r="F2497" s="13"/>
      <c r="G2497" s="13"/>
      <c r="H2497" s="13"/>
      <c r="I2497" s="13"/>
      <c r="J2497" s="13"/>
      <c r="K2497" s="13"/>
      <c r="L2497" s="13"/>
      <c r="M2497" s="13"/>
      <c r="N2497" s="13"/>
    </row>
    <row r="2498" ht="15.75" hidden="1" customHeight="1">
      <c r="A2498" s="13"/>
      <c r="B2498" s="13"/>
      <c r="C2498" s="13"/>
      <c r="D2498" s="13"/>
      <c r="E2498" s="13"/>
      <c r="F2498" s="13"/>
      <c r="G2498" s="13"/>
      <c r="H2498" s="13"/>
      <c r="I2498" s="13"/>
      <c r="J2498" s="13"/>
      <c r="K2498" s="13"/>
      <c r="L2498" s="13"/>
      <c r="M2498" s="13"/>
      <c r="N2498" s="13"/>
    </row>
    <row r="2499" ht="15.75" hidden="1" customHeight="1">
      <c r="A2499" s="13"/>
      <c r="B2499" s="13"/>
      <c r="C2499" s="13"/>
      <c r="D2499" s="13"/>
      <c r="E2499" s="13"/>
      <c r="F2499" s="13"/>
      <c r="G2499" s="13"/>
      <c r="H2499" s="13"/>
      <c r="I2499" s="13"/>
      <c r="J2499" s="13"/>
      <c r="K2499" s="13"/>
      <c r="L2499" s="13"/>
      <c r="M2499" s="13"/>
      <c r="N2499" s="13"/>
    </row>
    <row r="2500" ht="15.75" hidden="1" customHeight="1">
      <c r="A2500" s="13"/>
      <c r="B2500" s="13"/>
      <c r="C2500" s="13"/>
      <c r="D2500" s="13"/>
      <c r="E2500" s="13"/>
      <c r="F2500" s="13"/>
      <c r="G2500" s="13"/>
      <c r="H2500" s="13"/>
      <c r="I2500" s="13"/>
      <c r="J2500" s="13"/>
      <c r="K2500" s="13"/>
      <c r="L2500" s="13"/>
      <c r="M2500" s="13"/>
      <c r="N2500" s="13"/>
    </row>
    <row r="2501" ht="15.75" hidden="1" customHeight="1">
      <c r="A2501" s="13"/>
      <c r="B2501" s="13"/>
      <c r="C2501" s="13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</row>
    <row r="2502" ht="15.75" hidden="1" customHeight="1">
      <c r="A2502" s="13"/>
      <c r="B2502" s="13"/>
      <c r="C2502" s="13"/>
      <c r="D2502" s="13"/>
      <c r="E2502" s="13"/>
      <c r="F2502" s="13"/>
      <c r="G2502" s="13"/>
      <c r="H2502" s="13"/>
      <c r="I2502" s="13"/>
      <c r="J2502" s="13"/>
      <c r="K2502" s="13"/>
      <c r="L2502" s="13"/>
      <c r="M2502" s="13"/>
      <c r="N2502" s="13"/>
    </row>
    <row r="2503" ht="15.75" hidden="1" customHeight="1">
      <c r="A2503" s="13"/>
      <c r="B2503" s="13"/>
      <c r="C2503" s="13"/>
      <c r="D2503" s="13"/>
      <c r="E2503" s="13"/>
      <c r="F2503" s="13"/>
      <c r="G2503" s="13"/>
      <c r="H2503" s="13"/>
      <c r="I2503" s="13"/>
      <c r="J2503" s="13"/>
      <c r="K2503" s="13"/>
      <c r="L2503" s="13"/>
      <c r="M2503" s="13"/>
      <c r="N2503" s="13"/>
    </row>
    <row r="2504" ht="15.75" hidden="1" customHeight="1">
      <c r="A2504" s="13"/>
      <c r="B2504" s="13"/>
      <c r="C2504" s="13"/>
      <c r="D2504" s="13"/>
      <c r="E2504" s="13"/>
      <c r="F2504" s="13"/>
      <c r="G2504" s="13"/>
      <c r="H2504" s="13"/>
      <c r="I2504" s="13"/>
      <c r="J2504" s="13"/>
      <c r="K2504" s="13"/>
      <c r="L2504" s="13"/>
      <c r="M2504" s="13"/>
      <c r="N2504" s="13"/>
    </row>
    <row r="2505" ht="15.75" hidden="1" customHeight="1">
      <c r="A2505" s="13"/>
      <c r="B2505" s="13"/>
      <c r="C2505" s="13"/>
      <c r="D2505" s="13"/>
      <c r="E2505" s="13"/>
      <c r="F2505" s="13"/>
      <c r="G2505" s="13"/>
      <c r="H2505" s="13"/>
      <c r="I2505" s="13"/>
      <c r="J2505" s="13"/>
      <c r="K2505" s="13"/>
      <c r="L2505" s="13"/>
      <c r="M2505" s="13"/>
      <c r="N2505" s="13"/>
    </row>
    <row r="2506" ht="15.75" hidden="1" customHeight="1">
      <c r="A2506" s="13"/>
      <c r="B2506" s="13"/>
      <c r="C2506" s="13"/>
      <c r="D2506" s="13"/>
      <c r="E2506" s="13"/>
      <c r="F2506" s="13"/>
      <c r="G2506" s="13"/>
      <c r="H2506" s="13"/>
      <c r="I2506" s="13"/>
      <c r="J2506" s="13"/>
      <c r="K2506" s="13"/>
      <c r="L2506" s="13"/>
      <c r="M2506" s="13"/>
      <c r="N2506" s="13"/>
    </row>
    <row r="2507" ht="15.75" hidden="1" customHeight="1">
      <c r="A2507" s="13"/>
      <c r="B2507" s="13"/>
      <c r="C2507" s="13"/>
      <c r="D2507" s="13"/>
      <c r="E2507" s="13"/>
      <c r="F2507" s="13"/>
      <c r="G2507" s="13"/>
      <c r="H2507" s="13"/>
      <c r="I2507" s="13"/>
      <c r="J2507" s="13"/>
      <c r="K2507" s="13"/>
      <c r="L2507" s="13"/>
      <c r="M2507" s="13"/>
      <c r="N2507" s="13"/>
    </row>
    <row r="2508" ht="15.75" hidden="1" customHeight="1">
      <c r="A2508" s="13"/>
      <c r="B2508" s="13"/>
      <c r="C2508" s="13"/>
      <c r="D2508" s="13"/>
      <c r="E2508" s="13"/>
      <c r="F2508" s="13"/>
      <c r="G2508" s="13"/>
      <c r="H2508" s="13"/>
      <c r="I2508" s="13"/>
      <c r="J2508" s="13"/>
      <c r="K2508" s="13"/>
      <c r="L2508" s="13"/>
      <c r="M2508" s="13"/>
      <c r="N2508" s="13"/>
    </row>
    <row r="2509" ht="15.75" hidden="1" customHeight="1">
      <c r="A2509" s="13"/>
      <c r="B2509" s="13"/>
      <c r="C2509" s="13"/>
      <c r="D2509" s="13"/>
      <c r="E2509" s="13"/>
      <c r="F2509" s="13"/>
      <c r="G2509" s="13"/>
      <c r="H2509" s="13"/>
      <c r="I2509" s="13"/>
      <c r="J2509" s="13"/>
      <c r="K2509" s="13"/>
      <c r="L2509" s="13"/>
      <c r="M2509" s="13"/>
      <c r="N2509" s="13"/>
    </row>
    <row r="2510" ht="15.75" hidden="1" customHeight="1">
      <c r="A2510" s="13"/>
      <c r="B2510" s="13"/>
      <c r="C2510" s="13"/>
      <c r="D2510" s="13"/>
      <c r="E2510" s="13"/>
      <c r="F2510" s="13"/>
      <c r="G2510" s="13"/>
      <c r="H2510" s="13"/>
      <c r="I2510" s="13"/>
      <c r="J2510" s="13"/>
      <c r="K2510" s="13"/>
      <c r="L2510" s="13"/>
      <c r="M2510" s="13"/>
      <c r="N2510" s="13"/>
    </row>
    <row r="2511" ht="15.75" hidden="1" customHeight="1">
      <c r="A2511" s="13"/>
      <c r="B2511" s="13"/>
      <c r="C2511" s="13"/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</row>
    <row r="2512" ht="15.75" hidden="1" customHeight="1">
      <c r="A2512" s="13"/>
      <c r="B2512" s="13"/>
      <c r="C2512" s="13"/>
      <c r="D2512" s="13"/>
      <c r="E2512" s="13"/>
      <c r="F2512" s="13"/>
      <c r="G2512" s="13"/>
      <c r="H2512" s="13"/>
      <c r="I2512" s="13"/>
      <c r="J2512" s="13"/>
      <c r="K2512" s="13"/>
      <c r="L2512" s="13"/>
      <c r="M2512" s="13"/>
      <c r="N2512" s="13"/>
    </row>
    <row r="2513" ht="15.75" hidden="1" customHeight="1">
      <c r="A2513" s="13"/>
      <c r="B2513" s="13"/>
      <c r="C2513" s="13"/>
      <c r="D2513" s="13"/>
      <c r="E2513" s="13"/>
      <c r="F2513" s="13"/>
      <c r="G2513" s="13"/>
      <c r="H2513" s="13"/>
      <c r="I2513" s="13"/>
      <c r="J2513" s="13"/>
      <c r="K2513" s="13"/>
      <c r="L2513" s="13"/>
      <c r="M2513" s="13"/>
      <c r="N2513" s="13"/>
    </row>
    <row r="2514" ht="15.75" hidden="1" customHeight="1">
      <c r="A2514" s="13"/>
      <c r="B2514" s="13"/>
      <c r="C2514" s="13"/>
      <c r="D2514" s="13"/>
      <c r="E2514" s="13"/>
      <c r="F2514" s="13"/>
      <c r="G2514" s="13"/>
      <c r="H2514" s="13"/>
      <c r="I2514" s="13"/>
      <c r="J2514" s="13"/>
      <c r="K2514" s="13"/>
      <c r="L2514" s="13"/>
      <c r="M2514" s="13"/>
      <c r="N2514" s="13"/>
    </row>
    <row r="2515" ht="15.75" hidden="1" customHeight="1">
      <c r="A2515" s="13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13"/>
    </row>
    <row r="2516" ht="15.75" hidden="1" customHeight="1">
      <c r="A2516" s="13"/>
      <c r="B2516" s="13"/>
      <c r="C2516" s="13"/>
      <c r="D2516" s="13"/>
      <c r="E2516" s="13"/>
      <c r="F2516" s="13"/>
      <c r="G2516" s="13"/>
      <c r="H2516" s="13"/>
      <c r="I2516" s="13"/>
      <c r="J2516" s="13"/>
      <c r="K2516" s="13"/>
      <c r="L2516" s="13"/>
      <c r="M2516" s="13"/>
      <c r="N2516" s="13"/>
    </row>
    <row r="2517" ht="15.75" hidden="1" customHeight="1">
      <c r="A2517" s="13"/>
      <c r="B2517" s="13"/>
      <c r="C2517" s="13"/>
      <c r="D2517" s="13"/>
      <c r="E2517" s="13"/>
      <c r="F2517" s="13"/>
      <c r="G2517" s="13"/>
      <c r="H2517" s="13"/>
      <c r="I2517" s="13"/>
      <c r="J2517" s="13"/>
      <c r="K2517" s="13"/>
      <c r="L2517" s="13"/>
      <c r="M2517" s="13"/>
      <c r="N2517" s="13"/>
    </row>
    <row r="2518" ht="15.75" hidden="1" customHeight="1">
      <c r="A2518" s="13"/>
      <c r="B2518" s="13"/>
      <c r="C2518" s="13"/>
      <c r="D2518" s="13"/>
      <c r="E2518" s="13"/>
      <c r="F2518" s="13"/>
      <c r="G2518" s="13"/>
      <c r="H2518" s="13"/>
      <c r="I2518" s="13"/>
      <c r="J2518" s="13"/>
      <c r="K2518" s="13"/>
      <c r="L2518" s="13"/>
      <c r="M2518" s="13"/>
      <c r="N2518" s="13"/>
    </row>
    <row r="2519" ht="15.75" hidden="1" customHeight="1">
      <c r="A2519" s="13"/>
      <c r="B2519" s="13"/>
      <c r="C2519" s="13"/>
      <c r="D2519" s="13"/>
      <c r="E2519" s="13"/>
      <c r="F2519" s="13"/>
      <c r="G2519" s="13"/>
      <c r="H2519" s="13"/>
      <c r="I2519" s="13"/>
      <c r="J2519" s="13"/>
      <c r="K2519" s="13"/>
      <c r="L2519" s="13"/>
      <c r="M2519" s="13"/>
      <c r="N2519" s="13"/>
    </row>
    <row r="2520" ht="15.75" hidden="1" customHeight="1">
      <c r="A2520" s="13"/>
      <c r="B2520" s="13"/>
      <c r="C2520" s="13"/>
      <c r="D2520" s="13"/>
      <c r="E2520" s="13"/>
      <c r="F2520" s="13"/>
      <c r="G2520" s="13"/>
      <c r="H2520" s="13"/>
      <c r="I2520" s="13"/>
      <c r="J2520" s="13"/>
      <c r="K2520" s="13"/>
      <c r="L2520" s="13"/>
      <c r="M2520" s="13"/>
      <c r="N2520" s="13"/>
    </row>
    <row r="2521" ht="15.75" hidden="1" customHeight="1">
      <c r="A2521" s="13"/>
      <c r="B2521" s="13"/>
      <c r="C2521" s="13"/>
      <c r="D2521" s="13"/>
      <c r="E2521" s="13"/>
      <c r="F2521" s="13"/>
      <c r="G2521" s="13"/>
      <c r="H2521" s="13"/>
      <c r="I2521" s="13"/>
      <c r="J2521" s="13"/>
      <c r="K2521" s="13"/>
      <c r="L2521" s="13"/>
      <c r="M2521" s="13"/>
      <c r="N2521" s="13"/>
    </row>
    <row r="2522" ht="15.75" hidden="1" customHeight="1">
      <c r="A2522" s="13"/>
      <c r="B2522" s="13"/>
      <c r="C2522" s="13"/>
      <c r="D2522" s="13"/>
      <c r="E2522" s="13"/>
      <c r="F2522" s="13"/>
      <c r="G2522" s="13"/>
      <c r="H2522" s="13"/>
      <c r="I2522" s="13"/>
      <c r="J2522" s="13"/>
      <c r="K2522" s="13"/>
      <c r="L2522" s="13"/>
      <c r="M2522" s="13"/>
      <c r="N2522" s="13"/>
    </row>
    <row r="2523" ht="15.75" hidden="1" customHeight="1">
      <c r="A2523" s="13"/>
      <c r="B2523" s="13"/>
      <c r="C2523" s="13"/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</row>
    <row r="2524" ht="15.75" hidden="1" customHeight="1">
      <c r="A2524" s="13"/>
      <c r="B2524" s="13"/>
      <c r="C2524" s="13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/>
    </row>
    <row r="2525" ht="15.75" hidden="1" customHeight="1">
      <c r="A2525" s="13"/>
      <c r="B2525" s="13"/>
      <c r="C2525" s="13"/>
      <c r="D2525" s="13"/>
      <c r="E2525" s="13"/>
      <c r="F2525" s="13"/>
      <c r="G2525" s="13"/>
      <c r="H2525" s="13"/>
      <c r="I2525" s="13"/>
      <c r="J2525" s="13"/>
      <c r="K2525" s="13"/>
      <c r="L2525" s="13"/>
      <c r="M2525" s="13"/>
      <c r="N2525" s="13"/>
    </row>
    <row r="2526" ht="15.75" hidden="1" customHeight="1">
      <c r="A2526" s="13"/>
      <c r="B2526" s="13"/>
      <c r="C2526" s="13"/>
      <c r="D2526" s="13"/>
      <c r="E2526" s="13"/>
      <c r="F2526" s="13"/>
      <c r="G2526" s="13"/>
      <c r="H2526" s="13"/>
      <c r="I2526" s="13"/>
      <c r="J2526" s="13"/>
      <c r="K2526" s="13"/>
      <c r="L2526" s="13"/>
      <c r="M2526" s="13"/>
      <c r="N2526" s="13"/>
    </row>
    <row r="2527" ht="15.75" hidden="1" customHeight="1">
      <c r="A2527" s="13"/>
      <c r="B2527" s="13"/>
      <c r="C2527" s="13"/>
      <c r="D2527" s="13"/>
      <c r="E2527" s="13"/>
      <c r="F2527" s="13"/>
      <c r="G2527" s="13"/>
      <c r="H2527" s="13"/>
      <c r="I2527" s="13"/>
      <c r="J2527" s="13"/>
      <c r="K2527" s="13"/>
      <c r="L2527" s="13"/>
      <c r="M2527" s="13"/>
      <c r="N2527" s="13"/>
    </row>
    <row r="2528" ht="15.75" hidden="1" customHeight="1">
      <c r="A2528" s="13"/>
      <c r="B2528" s="13"/>
      <c r="C2528" s="13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</row>
    <row r="2529" ht="15.75" hidden="1" customHeight="1">
      <c r="A2529" s="13"/>
      <c r="B2529" s="13"/>
      <c r="C2529" s="13"/>
      <c r="D2529" s="13"/>
      <c r="E2529" s="13"/>
      <c r="F2529" s="13"/>
      <c r="G2529" s="13"/>
      <c r="H2529" s="13"/>
      <c r="I2529" s="13"/>
      <c r="J2529" s="13"/>
      <c r="K2529" s="13"/>
      <c r="L2529" s="13"/>
      <c r="M2529" s="13"/>
      <c r="N2529" s="13"/>
    </row>
    <row r="2530" ht="15.75" hidden="1" customHeight="1">
      <c r="A2530" s="13"/>
      <c r="B2530" s="13"/>
      <c r="C2530" s="13"/>
      <c r="D2530" s="13"/>
      <c r="E2530" s="13"/>
      <c r="F2530" s="13"/>
      <c r="G2530" s="13"/>
      <c r="H2530" s="13"/>
      <c r="I2530" s="13"/>
      <c r="J2530" s="13"/>
      <c r="K2530" s="13"/>
      <c r="L2530" s="13"/>
      <c r="M2530" s="13"/>
      <c r="N2530" s="13"/>
    </row>
    <row r="2531" ht="15.75" hidden="1" customHeight="1">
      <c r="A2531" s="13"/>
      <c r="B2531" s="13"/>
      <c r="C2531" s="13"/>
      <c r="D2531" s="13"/>
      <c r="E2531" s="13"/>
      <c r="F2531" s="13"/>
      <c r="G2531" s="13"/>
      <c r="H2531" s="13"/>
      <c r="I2531" s="13"/>
      <c r="J2531" s="13"/>
      <c r="K2531" s="13"/>
      <c r="L2531" s="13"/>
      <c r="M2531" s="13"/>
      <c r="N2531" s="13"/>
    </row>
    <row r="2532" ht="15.75" hidden="1" customHeight="1">
      <c r="A2532" s="13"/>
      <c r="B2532" s="13"/>
      <c r="C2532" s="13"/>
      <c r="D2532" s="13"/>
      <c r="E2532" s="13"/>
      <c r="F2532" s="13"/>
      <c r="G2532" s="13"/>
      <c r="H2532" s="13"/>
      <c r="I2532" s="13"/>
      <c r="J2532" s="13"/>
      <c r="K2532" s="13"/>
      <c r="L2532" s="13"/>
      <c r="M2532" s="13"/>
      <c r="N2532" s="13"/>
    </row>
    <row r="2533" ht="15.75" hidden="1" customHeight="1">
      <c r="A2533" s="13"/>
      <c r="B2533" s="13"/>
      <c r="C2533" s="13"/>
      <c r="D2533" s="13"/>
      <c r="E2533" s="13"/>
      <c r="F2533" s="13"/>
      <c r="G2533" s="13"/>
      <c r="H2533" s="13"/>
      <c r="I2533" s="13"/>
      <c r="J2533" s="13"/>
      <c r="K2533" s="13"/>
      <c r="L2533" s="13"/>
      <c r="M2533" s="13"/>
      <c r="N2533" s="13"/>
    </row>
    <row r="2534" ht="15.75" hidden="1" customHeight="1">
      <c r="A2534" s="13"/>
      <c r="B2534" s="13"/>
      <c r="C2534" s="13"/>
      <c r="D2534" s="13"/>
      <c r="E2534" s="13"/>
      <c r="F2534" s="13"/>
      <c r="G2534" s="13"/>
      <c r="H2534" s="13"/>
      <c r="I2534" s="13"/>
      <c r="J2534" s="13"/>
      <c r="K2534" s="13"/>
      <c r="L2534" s="13"/>
      <c r="M2534" s="13"/>
      <c r="N2534" s="13"/>
    </row>
    <row r="2535" ht="15.75" hidden="1" customHeight="1">
      <c r="A2535" s="13"/>
      <c r="B2535" s="13"/>
      <c r="C2535" s="13"/>
      <c r="D2535" s="13"/>
      <c r="E2535" s="13"/>
      <c r="F2535" s="13"/>
      <c r="G2535" s="13"/>
      <c r="H2535" s="13"/>
      <c r="I2535" s="13"/>
      <c r="J2535" s="13"/>
      <c r="K2535" s="13"/>
      <c r="L2535" s="13"/>
      <c r="M2535" s="13"/>
      <c r="N2535" s="13"/>
    </row>
    <row r="2536" ht="15.75" hidden="1" customHeight="1">
      <c r="A2536" s="13"/>
      <c r="B2536" s="13"/>
      <c r="C2536" s="13"/>
      <c r="D2536" s="13"/>
      <c r="E2536" s="13"/>
      <c r="F2536" s="13"/>
      <c r="G2536" s="13"/>
      <c r="H2536" s="13"/>
      <c r="I2536" s="13"/>
      <c r="J2536" s="13"/>
      <c r="K2536" s="13"/>
      <c r="L2536" s="13"/>
      <c r="M2536" s="13"/>
      <c r="N2536" s="13"/>
    </row>
    <row r="2537" ht="15.75" hidden="1" customHeight="1">
      <c r="A2537" s="13"/>
      <c r="B2537" s="13"/>
      <c r="C2537" s="13"/>
      <c r="D2537" s="13"/>
      <c r="E2537" s="13"/>
      <c r="F2537" s="13"/>
      <c r="G2537" s="13"/>
      <c r="H2537" s="13"/>
      <c r="I2537" s="13"/>
      <c r="J2537" s="13"/>
      <c r="K2537" s="13"/>
      <c r="L2537" s="13"/>
      <c r="M2537" s="13"/>
      <c r="N2537" s="13"/>
    </row>
    <row r="2538" ht="15.75" hidden="1" customHeight="1">
      <c r="A2538" s="13"/>
      <c r="B2538" s="13"/>
      <c r="C2538" s="13"/>
      <c r="D2538" s="13"/>
      <c r="E2538" s="13"/>
      <c r="F2538" s="13"/>
      <c r="G2538" s="13"/>
      <c r="H2538" s="13"/>
      <c r="I2538" s="13"/>
      <c r="J2538" s="13"/>
      <c r="K2538" s="13"/>
      <c r="L2538" s="13"/>
      <c r="M2538" s="13"/>
      <c r="N2538" s="13"/>
    </row>
    <row r="2539" ht="15.75" hidden="1" customHeight="1">
      <c r="A2539" s="13"/>
      <c r="B2539" s="13"/>
      <c r="C2539" s="13"/>
      <c r="D2539" s="13"/>
      <c r="E2539" s="13"/>
      <c r="F2539" s="13"/>
      <c r="G2539" s="13"/>
      <c r="H2539" s="13"/>
      <c r="I2539" s="13"/>
      <c r="J2539" s="13"/>
      <c r="K2539" s="13"/>
      <c r="L2539" s="13"/>
      <c r="M2539" s="13"/>
      <c r="N2539" s="13"/>
    </row>
    <row r="2540" ht="15.75" hidden="1" customHeight="1">
      <c r="A2540" s="13"/>
      <c r="B2540" s="13"/>
      <c r="C2540" s="13"/>
      <c r="D2540" s="13"/>
      <c r="E2540" s="13"/>
      <c r="F2540" s="13"/>
      <c r="G2540" s="13"/>
      <c r="H2540" s="13"/>
      <c r="I2540" s="13"/>
      <c r="J2540" s="13"/>
      <c r="K2540" s="13"/>
      <c r="L2540" s="13"/>
      <c r="M2540" s="13"/>
      <c r="N2540" s="13"/>
    </row>
    <row r="2541" ht="15.75" hidden="1" customHeight="1">
      <c r="A2541" s="13"/>
      <c r="B2541" s="13"/>
      <c r="C2541" s="13"/>
      <c r="D2541" s="13"/>
      <c r="E2541" s="13"/>
      <c r="F2541" s="13"/>
      <c r="G2541" s="13"/>
      <c r="H2541" s="13"/>
      <c r="I2541" s="13"/>
      <c r="J2541" s="13"/>
      <c r="K2541" s="13"/>
      <c r="L2541" s="13"/>
      <c r="M2541" s="13"/>
      <c r="N2541" s="13"/>
    </row>
    <row r="2542" ht="15.75" hidden="1" customHeight="1">
      <c r="A2542" s="13"/>
      <c r="B2542" s="13"/>
      <c r="C2542" s="13"/>
      <c r="D2542" s="13"/>
      <c r="E2542" s="13"/>
      <c r="F2542" s="13"/>
      <c r="G2542" s="13"/>
      <c r="H2542" s="13"/>
      <c r="I2542" s="13"/>
      <c r="J2542" s="13"/>
      <c r="K2542" s="13"/>
      <c r="L2542" s="13"/>
      <c r="M2542" s="13"/>
      <c r="N2542" s="13"/>
    </row>
    <row r="2543" ht="15.75" hidden="1" customHeight="1">
      <c r="A2543" s="13"/>
      <c r="B2543" s="13"/>
      <c r="C2543" s="13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</row>
    <row r="2544" ht="15.75" hidden="1" customHeight="1">
      <c r="A2544" s="13"/>
      <c r="B2544" s="13"/>
      <c r="C2544" s="13"/>
      <c r="D2544" s="13"/>
      <c r="E2544" s="13"/>
      <c r="F2544" s="13"/>
      <c r="G2544" s="13"/>
      <c r="H2544" s="13"/>
      <c r="I2544" s="13"/>
      <c r="J2544" s="13"/>
      <c r="K2544" s="13"/>
      <c r="L2544" s="13"/>
      <c r="M2544" s="13"/>
      <c r="N2544" s="13"/>
    </row>
    <row r="2545" ht="15.75" hidden="1" customHeight="1">
      <c r="A2545" s="13"/>
      <c r="B2545" s="13"/>
      <c r="C2545" s="13"/>
      <c r="D2545" s="13"/>
      <c r="E2545" s="13"/>
      <c r="F2545" s="13"/>
      <c r="G2545" s="13"/>
      <c r="H2545" s="13"/>
      <c r="I2545" s="13"/>
      <c r="J2545" s="13"/>
      <c r="K2545" s="13"/>
      <c r="L2545" s="13"/>
      <c r="M2545" s="13"/>
      <c r="N2545" s="13"/>
    </row>
    <row r="2546" ht="15.75" hidden="1" customHeight="1">
      <c r="A2546" s="13"/>
      <c r="B2546" s="13"/>
      <c r="C2546" s="13"/>
      <c r="D2546" s="13"/>
      <c r="E2546" s="13"/>
      <c r="F2546" s="13"/>
      <c r="G2546" s="13"/>
      <c r="H2546" s="13"/>
      <c r="I2546" s="13"/>
      <c r="J2546" s="13"/>
      <c r="K2546" s="13"/>
      <c r="L2546" s="13"/>
      <c r="M2546" s="13"/>
      <c r="N2546" s="13"/>
    </row>
    <row r="2547" ht="15.75" hidden="1" customHeight="1">
      <c r="A2547" s="13"/>
      <c r="B2547" s="13"/>
      <c r="C2547" s="13"/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</row>
    <row r="2548" ht="15.75" hidden="1" customHeight="1">
      <c r="A2548" s="13"/>
      <c r="B2548" s="13"/>
      <c r="C2548" s="13"/>
      <c r="D2548" s="13"/>
      <c r="E2548" s="13"/>
      <c r="F2548" s="13"/>
      <c r="G2548" s="13"/>
      <c r="H2548" s="13"/>
      <c r="I2548" s="13"/>
      <c r="J2548" s="13"/>
      <c r="K2548" s="13"/>
      <c r="L2548" s="13"/>
      <c r="M2548" s="13"/>
      <c r="N2548" s="13"/>
    </row>
    <row r="2549" ht="15.75" hidden="1" customHeight="1">
      <c r="A2549" s="13"/>
      <c r="B2549" s="13"/>
      <c r="C2549" s="13"/>
      <c r="D2549" s="13"/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</row>
    <row r="2550" ht="15.75" hidden="1" customHeight="1">
      <c r="A2550" s="13"/>
      <c r="B2550" s="13"/>
      <c r="C2550" s="13"/>
      <c r="D2550" s="13"/>
      <c r="E2550" s="13"/>
      <c r="F2550" s="13"/>
      <c r="G2550" s="13"/>
      <c r="H2550" s="13"/>
      <c r="I2550" s="13"/>
      <c r="J2550" s="13"/>
      <c r="K2550" s="13"/>
      <c r="L2550" s="13"/>
      <c r="M2550" s="13"/>
      <c r="N2550" s="13"/>
    </row>
    <row r="2551" ht="15.75" hidden="1" customHeight="1">
      <c r="A2551" s="13"/>
      <c r="B2551" s="13"/>
      <c r="C2551" s="13"/>
      <c r="D2551" s="13"/>
      <c r="E2551" s="13"/>
      <c r="F2551" s="13"/>
      <c r="G2551" s="13"/>
      <c r="H2551" s="13"/>
      <c r="I2551" s="13"/>
      <c r="J2551" s="13"/>
      <c r="K2551" s="13"/>
      <c r="L2551" s="13"/>
      <c r="M2551" s="13"/>
      <c r="N2551" s="13"/>
    </row>
    <row r="2552" ht="15.75" hidden="1" customHeight="1">
      <c r="A2552" s="13"/>
      <c r="B2552" s="13"/>
      <c r="C2552" s="13"/>
      <c r="D2552" s="13"/>
      <c r="E2552" s="13"/>
      <c r="F2552" s="13"/>
      <c r="G2552" s="13"/>
      <c r="H2552" s="13"/>
      <c r="I2552" s="13"/>
      <c r="J2552" s="13"/>
      <c r="K2552" s="13"/>
      <c r="L2552" s="13"/>
      <c r="M2552" s="13"/>
      <c r="N2552" s="13"/>
    </row>
    <row r="2553" ht="15.75" hidden="1" customHeight="1">
      <c r="A2553" s="13"/>
      <c r="B2553" s="13"/>
      <c r="C2553" s="13"/>
      <c r="D2553" s="13"/>
      <c r="E2553" s="13"/>
      <c r="F2553" s="13"/>
      <c r="G2553" s="13"/>
      <c r="H2553" s="13"/>
      <c r="I2553" s="13"/>
      <c r="J2553" s="13"/>
      <c r="K2553" s="13"/>
      <c r="L2553" s="13"/>
      <c r="M2553" s="13"/>
      <c r="N2553" s="13"/>
    </row>
    <row r="2554" ht="15.75" hidden="1" customHeight="1">
      <c r="A2554" s="13"/>
      <c r="B2554" s="13"/>
      <c r="C2554" s="13"/>
      <c r="D2554" s="13"/>
      <c r="E2554" s="13"/>
      <c r="F2554" s="13"/>
      <c r="G2554" s="13"/>
      <c r="H2554" s="13"/>
      <c r="I2554" s="13"/>
      <c r="J2554" s="13"/>
      <c r="K2554" s="13"/>
      <c r="L2554" s="13"/>
      <c r="M2554" s="13"/>
      <c r="N2554" s="13"/>
    </row>
    <row r="2555" ht="15.75" hidden="1" customHeight="1">
      <c r="A2555" s="13"/>
      <c r="B2555" s="13"/>
      <c r="C2555" s="13"/>
      <c r="D2555" s="13"/>
      <c r="E2555" s="13"/>
      <c r="F2555" s="13"/>
      <c r="G2555" s="13"/>
      <c r="H2555" s="13"/>
      <c r="I2555" s="13"/>
      <c r="J2555" s="13"/>
      <c r="K2555" s="13"/>
      <c r="L2555" s="13"/>
      <c r="M2555" s="13"/>
      <c r="N2555" s="13"/>
    </row>
    <row r="2556" ht="15.75" hidden="1" customHeight="1">
      <c r="A2556" s="13"/>
      <c r="B2556" s="13"/>
      <c r="C2556" s="13"/>
      <c r="D2556" s="13"/>
      <c r="E2556" s="13"/>
      <c r="F2556" s="13"/>
      <c r="G2556" s="13"/>
      <c r="H2556" s="13"/>
      <c r="I2556" s="13"/>
      <c r="J2556" s="13"/>
      <c r="K2556" s="13"/>
      <c r="L2556" s="13"/>
      <c r="M2556" s="13"/>
      <c r="N2556" s="13"/>
    </row>
    <row r="2557" ht="15.75" hidden="1" customHeight="1">
      <c r="A2557" s="13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13"/>
    </row>
    <row r="2558" ht="15.75" hidden="1" customHeight="1">
      <c r="A2558" s="13"/>
      <c r="B2558" s="13"/>
      <c r="C2558" s="13"/>
      <c r="D2558" s="13"/>
      <c r="E2558" s="13"/>
      <c r="F2558" s="13"/>
      <c r="G2558" s="13"/>
      <c r="H2558" s="13"/>
      <c r="I2558" s="13"/>
      <c r="J2558" s="13"/>
      <c r="K2558" s="13"/>
      <c r="L2558" s="13"/>
      <c r="M2558" s="13"/>
      <c r="N2558" s="13"/>
    </row>
    <row r="2559" ht="15.75" hidden="1" customHeight="1">
      <c r="A2559" s="13"/>
      <c r="B2559" s="13"/>
      <c r="C2559" s="13"/>
      <c r="D2559" s="13"/>
      <c r="E2559" s="13"/>
      <c r="F2559" s="13"/>
      <c r="G2559" s="13"/>
      <c r="H2559" s="13"/>
      <c r="I2559" s="13"/>
      <c r="J2559" s="13"/>
      <c r="K2559" s="13"/>
      <c r="L2559" s="13"/>
      <c r="M2559" s="13"/>
      <c r="N2559" s="13"/>
    </row>
    <row r="2560" ht="15.75" hidden="1" customHeight="1">
      <c r="A2560" s="13"/>
      <c r="B2560" s="13"/>
      <c r="C2560" s="13"/>
      <c r="D2560" s="13"/>
      <c r="E2560" s="13"/>
      <c r="F2560" s="13"/>
      <c r="G2560" s="13"/>
      <c r="H2560" s="13"/>
      <c r="I2560" s="13"/>
      <c r="J2560" s="13"/>
      <c r="K2560" s="13"/>
      <c r="L2560" s="13"/>
      <c r="M2560" s="13"/>
      <c r="N2560" s="13"/>
    </row>
    <row r="2561" ht="15.75" hidden="1" customHeight="1">
      <c r="A2561" s="13"/>
      <c r="B2561" s="13"/>
      <c r="C2561" s="13"/>
      <c r="D2561" s="13"/>
      <c r="E2561" s="13"/>
      <c r="F2561" s="13"/>
      <c r="G2561" s="13"/>
      <c r="H2561" s="13"/>
      <c r="I2561" s="13"/>
      <c r="J2561" s="13"/>
      <c r="K2561" s="13"/>
      <c r="L2561" s="13"/>
      <c r="M2561" s="13"/>
      <c r="N2561" s="13"/>
    </row>
    <row r="2562" ht="15.75" hidden="1" customHeight="1">
      <c r="A2562" s="13"/>
      <c r="B2562" s="13"/>
      <c r="C2562" s="13"/>
      <c r="D2562" s="13"/>
      <c r="E2562" s="13"/>
      <c r="F2562" s="13"/>
      <c r="G2562" s="13"/>
      <c r="H2562" s="13"/>
      <c r="I2562" s="13"/>
      <c r="J2562" s="13"/>
      <c r="K2562" s="13"/>
      <c r="L2562" s="13"/>
      <c r="M2562" s="13"/>
      <c r="N2562" s="13"/>
    </row>
    <row r="2563" ht="15.75" hidden="1" customHeight="1">
      <c r="A2563" s="13"/>
      <c r="B2563" s="13"/>
      <c r="C2563" s="13"/>
      <c r="D2563" s="13"/>
      <c r="E2563" s="13"/>
      <c r="F2563" s="13"/>
      <c r="G2563" s="13"/>
      <c r="H2563" s="13"/>
      <c r="I2563" s="13"/>
      <c r="J2563" s="13"/>
      <c r="K2563" s="13"/>
      <c r="L2563" s="13"/>
      <c r="M2563" s="13"/>
      <c r="N2563" s="13"/>
    </row>
    <row r="2564" ht="15.75" hidden="1" customHeight="1">
      <c r="A2564" s="13"/>
      <c r="B2564" s="13"/>
      <c r="C2564" s="13"/>
      <c r="D2564" s="13"/>
      <c r="E2564" s="13"/>
      <c r="F2564" s="13"/>
      <c r="G2564" s="13"/>
      <c r="H2564" s="13"/>
      <c r="I2564" s="13"/>
      <c r="J2564" s="13"/>
      <c r="K2564" s="13"/>
      <c r="L2564" s="13"/>
      <c r="M2564" s="13"/>
      <c r="N2564" s="13"/>
    </row>
    <row r="2565" ht="15.75" hidden="1" customHeight="1">
      <c r="A2565" s="13"/>
      <c r="B2565" s="13"/>
      <c r="C2565" s="13"/>
      <c r="D2565" s="13"/>
      <c r="E2565" s="13"/>
      <c r="F2565" s="13"/>
      <c r="G2565" s="13"/>
      <c r="H2565" s="13"/>
      <c r="I2565" s="13"/>
      <c r="J2565" s="13"/>
      <c r="K2565" s="13"/>
      <c r="L2565" s="13"/>
      <c r="M2565" s="13"/>
      <c r="N2565" s="13"/>
    </row>
    <row r="2566" ht="15.75" hidden="1" customHeight="1">
      <c r="A2566" s="13"/>
      <c r="B2566" s="13"/>
      <c r="C2566" s="13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/>
    </row>
    <row r="2567" ht="15.75" hidden="1" customHeight="1">
      <c r="A2567" s="13"/>
      <c r="B2567" s="13"/>
      <c r="C2567" s="13"/>
      <c r="D2567" s="13"/>
      <c r="E2567" s="13"/>
      <c r="F2567" s="13"/>
      <c r="G2567" s="13"/>
      <c r="H2567" s="13"/>
      <c r="I2567" s="13"/>
      <c r="J2567" s="13"/>
      <c r="K2567" s="13"/>
      <c r="L2567" s="13"/>
      <c r="M2567" s="13"/>
      <c r="N2567" s="13"/>
    </row>
    <row r="2568" ht="15.75" hidden="1" customHeight="1">
      <c r="A2568" s="13"/>
      <c r="B2568" s="13"/>
      <c r="C2568" s="13"/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</row>
    <row r="2569" ht="15.75" hidden="1" customHeight="1">
      <c r="A2569" s="13"/>
      <c r="B2569" s="13"/>
      <c r="C2569" s="13"/>
      <c r="D2569" s="13"/>
      <c r="E2569" s="13"/>
      <c r="F2569" s="13"/>
      <c r="G2569" s="13"/>
      <c r="H2569" s="13"/>
      <c r="I2569" s="13"/>
      <c r="J2569" s="13"/>
      <c r="K2569" s="13"/>
      <c r="L2569" s="13"/>
      <c r="M2569" s="13"/>
      <c r="N2569" s="13"/>
    </row>
    <row r="2570" ht="15.75" hidden="1" customHeight="1">
      <c r="A2570" s="13"/>
      <c r="B2570" s="13"/>
      <c r="C2570" s="13"/>
      <c r="D2570" s="13"/>
      <c r="E2570" s="13"/>
      <c r="F2570" s="13"/>
      <c r="G2570" s="13"/>
      <c r="H2570" s="13"/>
      <c r="I2570" s="13"/>
      <c r="J2570" s="13"/>
      <c r="K2570" s="13"/>
      <c r="L2570" s="13"/>
      <c r="M2570" s="13"/>
      <c r="N2570" s="13"/>
    </row>
    <row r="2571" ht="15.75" hidden="1" customHeight="1">
      <c r="A2571" s="13"/>
      <c r="B2571" s="13"/>
      <c r="C2571" s="13"/>
      <c r="D2571" s="13"/>
      <c r="E2571" s="13"/>
      <c r="F2571" s="13"/>
      <c r="G2571" s="13"/>
      <c r="H2571" s="13"/>
      <c r="I2571" s="13"/>
      <c r="J2571" s="13"/>
      <c r="K2571" s="13"/>
      <c r="L2571" s="13"/>
      <c r="M2571" s="13"/>
      <c r="N2571" s="13"/>
    </row>
    <row r="2572" ht="15.75" hidden="1" customHeight="1">
      <c r="A2572" s="13"/>
      <c r="B2572" s="13"/>
      <c r="C2572" s="13"/>
      <c r="D2572" s="13"/>
      <c r="E2572" s="13"/>
      <c r="F2572" s="13"/>
      <c r="G2572" s="13"/>
      <c r="H2572" s="13"/>
      <c r="I2572" s="13"/>
      <c r="J2572" s="13"/>
      <c r="K2572" s="13"/>
      <c r="L2572" s="13"/>
      <c r="M2572" s="13"/>
      <c r="N2572" s="13"/>
    </row>
    <row r="2573" ht="15.75" hidden="1" customHeight="1">
      <c r="A2573" s="13"/>
      <c r="B2573" s="13"/>
      <c r="C2573" s="13"/>
      <c r="D2573" s="13"/>
      <c r="E2573" s="13"/>
      <c r="F2573" s="13"/>
      <c r="G2573" s="13"/>
      <c r="H2573" s="13"/>
      <c r="I2573" s="13"/>
      <c r="J2573" s="13"/>
      <c r="K2573" s="13"/>
      <c r="L2573" s="13"/>
      <c r="M2573" s="13"/>
      <c r="N2573" s="13"/>
    </row>
    <row r="2574" ht="15.75" hidden="1" customHeight="1">
      <c r="A2574" s="13"/>
      <c r="B2574" s="13"/>
      <c r="C2574" s="13"/>
      <c r="D2574" s="13"/>
      <c r="E2574" s="13"/>
      <c r="F2574" s="13"/>
      <c r="G2574" s="13"/>
      <c r="H2574" s="13"/>
      <c r="I2574" s="13"/>
      <c r="J2574" s="13"/>
      <c r="K2574" s="13"/>
      <c r="L2574" s="13"/>
      <c r="M2574" s="13"/>
      <c r="N2574" s="13"/>
    </row>
    <row r="2575" ht="15.75" hidden="1" customHeight="1">
      <c r="A2575" s="13"/>
      <c r="B2575" s="13"/>
      <c r="C2575" s="13"/>
      <c r="D2575" s="13"/>
      <c r="E2575" s="13"/>
      <c r="F2575" s="13"/>
      <c r="G2575" s="13"/>
      <c r="H2575" s="13"/>
      <c r="I2575" s="13"/>
      <c r="J2575" s="13"/>
      <c r="K2575" s="13"/>
      <c r="L2575" s="13"/>
      <c r="M2575" s="13"/>
      <c r="N2575" s="13"/>
    </row>
    <row r="2576" ht="15.75" hidden="1" customHeight="1">
      <c r="A2576" s="13"/>
      <c r="B2576" s="13"/>
      <c r="C2576" s="13"/>
      <c r="D2576" s="13"/>
      <c r="E2576" s="13"/>
      <c r="F2576" s="13"/>
      <c r="G2576" s="13"/>
      <c r="H2576" s="13"/>
      <c r="I2576" s="13"/>
      <c r="J2576" s="13"/>
      <c r="K2576" s="13"/>
      <c r="L2576" s="13"/>
      <c r="M2576" s="13"/>
      <c r="N2576" s="13"/>
    </row>
    <row r="2577" ht="15.75" hidden="1" customHeight="1">
      <c r="A2577" s="13"/>
      <c r="B2577" s="13"/>
      <c r="C2577" s="13"/>
      <c r="D2577" s="13"/>
      <c r="E2577" s="13"/>
      <c r="F2577" s="13"/>
      <c r="G2577" s="13"/>
      <c r="H2577" s="13"/>
      <c r="I2577" s="13"/>
      <c r="J2577" s="13"/>
      <c r="K2577" s="13"/>
      <c r="L2577" s="13"/>
      <c r="M2577" s="13"/>
      <c r="N2577" s="13"/>
    </row>
    <row r="2578" ht="15.75" hidden="1" customHeight="1">
      <c r="A2578" s="13"/>
      <c r="B2578" s="13"/>
      <c r="C2578" s="13"/>
      <c r="D2578" s="13"/>
      <c r="E2578" s="13"/>
      <c r="F2578" s="13"/>
      <c r="G2578" s="13"/>
      <c r="H2578" s="13"/>
      <c r="I2578" s="13"/>
      <c r="J2578" s="13"/>
      <c r="K2578" s="13"/>
      <c r="L2578" s="13"/>
      <c r="M2578" s="13"/>
      <c r="N2578" s="13"/>
    </row>
    <row r="2579" ht="15.75" hidden="1" customHeight="1">
      <c r="A2579" s="13"/>
      <c r="B2579" s="13"/>
      <c r="C2579" s="13"/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</row>
    <row r="2580" ht="15.75" hidden="1" customHeight="1">
      <c r="A2580" s="13"/>
      <c r="B2580" s="13"/>
      <c r="C2580" s="13"/>
      <c r="D2580" s="13"/>
      <c r="E2580" s="13"/>
      <c r="F2580" s="13"/>
      <c r="G2580" s="13"/>
      <c r="H2580" s="13"/>
      <c r="I2580" s="13"/>
      <c r="J2580" s="13"/>
      <c r="K2580" s="13"/>
      <c r="L2580" s="13"/>
      <c r="M2580" s="13"/>
      <c r="N2580" s="13"/>
    </row>
    <row r="2581" ht="15.75" hidden="1" customHeight="1">
      <c r="A2581" s="13"/>
      <c r="B2581" s="13"/>
      <c r="C2581" s="13"/>
      <c r="D2581" s="13"/>
      <c r="E2581" s="13"/>
      <c r="F2581" s="13"/>
      <c r="G2581" s="13"/>
      <c r="H2581" s="13"/>
      <c r="I2581" s="13"/>
      <c r="J2581" s="13"/>
      <c r="K2581" s="13"/>
      <c r="L2581" s="13"/>
      <c r="M2581" s="13"/>
      <c r="N2581" s="13"/>
    </row>
    <row r="2582" ht="15.75" hidden="1" customHeight="1">
      <c r="A2582" s="13"/>
      <c r="B2582" s="13"/>
      <c r="C2582" s="13"/>
      <c r="D2582" s="13"/>
      <c r="E2582" s="13"/>
      <c r="F2582" s="13"/>
      <c r="G2582" s="13"/>
      <c r="H2582" s="13"/>
      <c r="I2582" s="13"/>
      <c r="J2582" s="13"/>
      <c r="K2582" s="13"/>
      <c r="L2582" s="13"/>
      <c r="M2582" s="13"/>
      <c r="N2582" s="13"/>
    </row>
    <row r="2583" ht="15.75" hidden="1" customHeight="1">
      <c r="A2583" s="13"/>
      <c r="B2583" s="13"/>
      <c r="C2583" s="13"/>
      <c r="D2583" s="13"/>
      <c r="E2583" s="13"/>
      <c r="F2583" s="13"/>
      <c r="G2583" s="13"/>
      <c r="H2583" s="13"/>
      <c r="I2583" s="13"/>
      <c r="J2583" s="13"/>
      <c r="K2583" s="13"/>
      <c r="L2583" s="13"/>
      <c r="M2583" s="13"/>
      <c r="N2583" s="13"/>
    </row>
    <row r="2584" ht="15.75" hidden="1" customHeight="1">
      <c r="A2584" s="13"/>
      <c r="B2584" s="13"/>
      <c r="C2584" s="13"/>
      <c r="D2584" s="13"/>
      <c r="E2584" s="13"/>
      <c r="F2584" s="13"/>
      <c r="G2584" s="13"/>
      <c r="H2584" s="13"/>
      <c r="I2584" s="13"/>
      <c r="J2584" s="13"/>
      <c r="K2584" s="13"/>
      <c r="L2584" s="13"/>
      <c r="M2584" s="13"/>
      <c r="N2584" s="13"/>
    </row>
    <row r="2585" ht="15.75" hidden="1" customHeight="1">
      <c r="A2585" s="13"/>
      <c r="B2585" s="13"/>
      <c r="C2585" s="13"/>
      <c r="D2585" s="13"/>
      <c r="E2585" s="13"/>
      <c r="F2585" s="13"/>
      <c r="G2585" s="13"/>
      <c r="H2585" s="13"/>
      <c r="I2585" s="13"/>
      <c r="J2585" s="13"/>
      <c r="K2585" s="13"/>
      <c r="L2585" s="13"/>
      <c r="M2585" s="13"/>
      <c r="N2585" s="13"/>
    </row>
    <row r="2586" ht="15.75" hidden="1" customHeight="1">
      <c r="A2586" s="13"/>
      <c r="B2586" s="13"/>
      <c r="C2586" s="13"/>
      <c r="D2586" s="13"/>
      <c r="E2586" s="13"/>
      <c r="F2586" s="13"/>
      <c r="G2586" s="13"/>
      <c r="H2586" s="13"/>
      <c r="I2586" s="13"/>
      <c r="J2586" s="13"/>
      <c r="K2586" s="13"/>
      <c r="L2586" s="13"/>
      <c r="M2586" s="13"/>
      <c r="N2586" s="13"/>
    </row>
    <row r="2587" ht="15.75" hidden="1" customHeight="1">
      <c r="A2587" s="13"/>
      <c r="B2587" s="13"/>
      <c r="C2587" s="13"/>
      <c r="D2587" s="13"/>
      <c r="E2587" s="13"/>
      <c r="F2587" s="13"/>
      <c r="G2587" s="13"/>
      <c r="H2587" s="13"/>
      <c r="I2587" s="13"/>
      <c r="J2587" s="13"/>
      <c r="K2587" s="13"/>
      <c r="L2587" s="13"/>
      <c r="M2587" s="13"/>
      <c r="N2587" s="13"/>
    </row>
    <row r="2588" ht="15.75" hidden="1" customHeight="1">
      <c r="A2588" s="13"/>
      <c r="B2588" s="13"/>
      <c r="C2588" s="13"/>
      <c r="D2588" s="13"/>
      <c r="E2588" s="13"/>
      <c r="F2588" s="13"/>
      <c r="G2588" s="13"/>
      <c r="H2588" s="13"/>
      <c r="I2588" s="13"/>
      <c r="J2588" s="13"/>
      <c r="K2588" s="13"/>
      <c r="L2588" s="13"/>
      <c r="M2588" s="13"/>
      <c r="N2588" s="13"/>
    </row>
    <row r="2589" ht="15.75" hidden="1" customHeight="1">
      <c r="A2589" s="13"/>
      <c r="B2589" s="13"/>
      <c r="C2589" s="13"/>
      <c r="D2589" s="13"/>
      <c r="E2589" s="13"/>
      <c r="F2589" s="13"/>
      <c r="G2589" s="13"/>
      <c r="H2589" s="13"/>
      <c r="I2589" s="13"/>
      <c r="J2589" s="13"/>
      <c r="K2589" s="13"/>
      <c r="L2589" s="13"/>
      <c r="M2589" s="13"/>
      <c r="N2589" s="13"/>
    </row>
    <row r="2590" ht="15.75" hidden="1" customHeight="1">
      <c r="A2590" s="13"/>
      <c r="B2590" s="13"/>
      <c r="C2590" s="13"/>
      <c r="D2590" s="13"/>
      <c r="E2590" s="13"/>
      <c r="F2590" s="13"/>
      <c r="G2590" s="13"/>
      <c r="H2590" s="13"/>
      <c r="I2590" s="13"/>
      <c r="J2590" s="13"/>
      <c r="K2590" s="13"/>
      <c r="L2590" s="13"/>
      <c r="M2590" s="13"/>
      <c r="N2590" s="13"/>
    </row>
    <row r="2591" ht="15.75" hidden="1" customHeight="1">
      <c r="A2591" s="13"/>
      <c r="B2591" s="13"/>
      <c r="C2591" s="13"/>
      <c r="D2591" s="13"/>
      <c r="E2591" s="13"/>
      <c r="F2591" s="13"/>
      <c r="G2591" s="13"/>
      <c r="H2591" s="13"/>
      <c r="I2591" s="13"/>
      <c r="J2591" s="13"/>
      <c r="K2591" s="13"/>
      <c r="L2591" s="13"/>
      <c r="M2591" s="13"/>
      <c r="N2591" s="13"/>
    </row>
    <row r="2592" ht="15.75" hidden="1" customHeight="1">
      <c r="A2592" s="13"/>
      <c r="B2592" s="13"/>
      <c r="C2592" s="13"/>
      <c r="D2592" s="13"/>
      <c r="E2592" s="13"/>
      <c r="F2592" s="13"/>
      <c r="G2592" s="13"/>
      <c r="H2592" s="13"/>
      <c r="I2592" s="13"/>
      <c r="J2592" s="13"/>
      <c r="K2592" s="13"/>
      <c r="L2592" s="13"/>
      <c r="M2592" s="13"/>
      <c r="N2592" s="13"/>
    </row>
    <row r="2593" ht="15.75" hidden="1" customHeight="1">
      <c r="A2593" s="13"/>
      <c r="B2593" s="13"/>
      <c r="C2593" s="13"/>
      <c r="D2593" s="13"/>
      <c r="E2593" s="13"/>
      <c r="F2593" s="13"/>
      <c r="G2593" s="13"/>
      <c r="H2593" s="13"/>
      <c r="I2593" s="13"/>
      <c r="J2593" s="13"/>
      <c r="K2593" s="13"/>
      <c r="L2593" s="13"/>
      <c r="M2593" s="13"/>
      <c r="N2593" s="13"/>
    </row>
    <row r="2594" ht="15.75" hidden="1" customHeight="1">
      <c r="A2594" s="13"/>
      <c r="B2594" s="13"/>
      <c r="C2594" s="13"/>
      <c r="D2594" s="13"/>
      <c r="E2594" s="13"/>
      <c r="F2594" s="13"/>
      <c r="G2594" s="13"/>
      <c r="H2594" s="13"/>
      <c r="I2594" s="13"/>
      <c r="J2594" s="13"/>
      <c r="K2594" s="13"/>
      <c r="L2594" s="13"/>
      <c r="M2594" s="13"/>
      <c r="N2594" s="13"/>
    </row>
    <row r="2595" ht="15.75" hidden="1" customHeight="1">
      <c r="A2595" s="13"/>
      <c r="B2595" s="13"/>
      <c r="C2595" s="13"/>
      <c r="D2595" s="13"/>
      <c r="E2595" s="13"/>
      <c r="F2595" s="13"/>
      <c r="G2595" s="13"/>
      <c r="H2595" s="13"/>
      <c r="I2595" s="13"/>
      <c r="J2595" s="13"/>
      <c r="K2595" s="13"/>
      <c r="L2595" s="13"/>
      <c r="M2595" s="13"/>
      <c r="N2595" s="13"/>
    </row>
    <row r="2596" ht="15.75" hidden="1" customHeight="1">
      <c r="A2596" s="13"/>
      <c r="B2596" s="13"/>
      <c r="C2596" s="13"/>
      <c r="D2596" s="13"/>
      <c r="E2596" s="13"/>
      <c r="F2596" s="13"/>
      <c r="G2596" s="13"/>
      <c r="H2596" s="13"/>
      <c r="I2596" s="13"/>
      <c r="J2596" s="13"/>
      <c r="K2596" s="13"/>
      <c r="L2596" s="13"/>
      <c r="M2596" s="13"/>
      <c r="N2596" s="13"/>
    </row>
    <row r="2597" ht="15.75" hidden="1" customHeight="1">
      <c r="A2597" s="13"/>
      <c r="B2597" s="13"/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</row>
    <row r="2598" ht="15.75" hidden="1" customHeight="1">
      <c r="A2598" s="13"/>
      <c r="B2598" s="13"/>
      <c r="C2598" s="13"/>
      <c r="D2598" s="13"/>
      <c r="E2598" s="13"/>
      <c r="F2598" s="13"/>
      <c r="G2598" s="13"/>
      <c r="H2598" s="13"/>
      <c r="I2598" s="13"/>
      <c r="J2598" s="13"/>
      <c r="K2598" s="13"/>
      <c r="L2598" s="13"/>
      <c r="M2598" s="13"/>
      <c r="N2598" s="13"/>
    </row>
    <row r="2599" ht="15.75" hidden="1" customHeight="1">
      <c r="A2599" s="13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13"/>
    </row>
    <row r="2600" ht="15.75" hidden="1" customHeight="1">
      <c r="A2600" s="13"/>
      <c r="B2600" s="13"/>
      <c r="C2600" s="13"/>
      <c r="D2600" s="13"/>
      <c r="E2600" s="13"/>
      <c r="F2600" s="13"/>
      <c r="G2600" s="13"/>
      <c r="H2600" s="13"/>
      <c r="I2600" s="13"/>
      <c r="J2600" s="13"/>
      <c r="K2600" s="13"/>
      <c r="L2600" s="13"/>
      <c r="M2600" s="13"/>
      <c r="N2600" s="13"/>
    </row>
    <row r="2601" ht="15.75" hidden="1" customHeight="1">
      <c r="A2601" s="13"/>
      <c r="B2601" s="13"/>
      <c r="C2601" s="13"/>
      <c r="D2601" s="13"/>
      <c r="E2601" s="13"/>
      <c r="F2601" s="13"/>
      <c r="G2601" s="13"/>
      <c r="H2601" s="13"/>
      <c r="I2601" s="13"/>
      <c r="J2601" s="13"/>
      <c r="K2601" s="13"/>
      <c r="L2601" s="13"/>
      <c r="M2601" s="13"/>
      <c r="N2601" s="13"/>
    </row>
    <row r="2602" ht="15.75" hidden="1" customHeight="1">
      <c r="A2602" s="13"/>
      <c r="B2602" s="13"/>
      <c r="C2602" s="13"/>
      <c r="D2602" s="13"/>
      <c r="E2602" s="13"/>
      <c r="F2602" s="13"/>
      <c r="G2602" s="13"/>
      <c r="H2602" s="13"/>
      <c r="I2602" s="13"/>
      <c r="J2602" s="13"/>
      <c r="K2602" s="13"/>
      <c r="L2602" s="13"/>
      <c r="M2602" s="13"/>
      <c r="N2602" s="13"/>
    </row>
    <row r="2603" ht="15.75" hidden="1" customHeight="1">
      <c r="A2603" s="13"/>
      <c r="B2603" s="13"/>
      <c r="C2603" s="13"/>
      <c r="D2603" s="13"/>
      <c r="E2603" s="13"/>
      <c r="F2603" s="13"/>
      <c r="G2603" s="13"/>
      <c r="H2603" s="13"/>
      <c r="I2603" s="13"/>
      <c r="J2603" s="13"/>
      <c r="K2603" s="13"/>
      <c r="L2603" s="13"/>
      <c r="M2603" s="13"/>
      <c r="N2603" s="13"/>
    </row>
    <row r="2604" ht="15.75" hidden="1" customHeight="1">
      <c r="A2604" s="13"/>
      <c r="B2604" s="13"/>
      <c r="C2604" s="13"/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</row>
    <row r="2605" ht="15.75" hidden="1" customHeight="1">
      <c r="A2605" s="13"/>
      <c r="B2605" s="13"/>
      <c r="C2605" s="13"/>
      <c r="D2605" s="13"/>
      <c r="E2605" s="13"/>
      <c r="F2605" s="13"/>
      <c r="G2605" s="13"/>
      <c r="H2605" s="13"/>
      <c r="I2605" s="13"/>
      <c r="J2605" s="13"/>
      <c r="K2605" s="13"/>
      <c r="L2605" s="13"/>
      <c r="M2605" s="13"/>
      <c r="N2605" s="13"/>
    </row>
    <row r="2606" ht="15.75" hidden="1" customHeight="1">
      <c r="A2606" s="13"/>
      <c r="B2606" s="13"/>
      <c r="C2606" s="13"/>
      <c r="D2606" s="13"/>
      <c r="E2606" s="13"/>
      <c r="F2606" s="13"/>
      <c r="G2606" s="13"/>
      <c r="H2606" s="13"/>
      <c r="I2606" s="13"/>
      <c r="J2606" s="13"/>
      <c r="K2606" s="13"/>
      <c r="L2606" s="13"/>
      <c r="M2606" s="13"/>
      <c r="N2606" s="13"/>
    </row>
    <row r="2607" ht="15.75" hidden="1" customHeight="1">
      <c r="A2607" s="13"/>
      <c r="B2607" s="13"/>
      <c r="C2607" s="13"/>
      <c r="D2607" s="13"/>
      <c r="E2607" s="13"/>
      <c r="F2607" s="13"/>
      <c r="G2607" s="13"/>
      <c r="H2607" s="13"/>
      <c r="I2607" s="13"/>
      <c r="J2607" s="13"/>
      <c r="K2607" s="13"/>
      <c r="L2607" s="13"/>
      <c r="M2607" s="13"/>
      <c r="N2607" s="13"/>
    </row>
    <row r="2608" ht="15.75" hidden="1" customHeight="1">
      <c r="A2608" s="13"/>
      <c r="B2608" s="13"/>
      <c r="C2608" s="13"/>
      <c r="D2608" s="13"/>
      <c r="E2608" s="13"/>
      <c r="F2608" s="13"/>
      <c r="G2608" s="13"/>
      <c r="H2608" s="13"/>
      <c r="I2608" s="13"/>
      <c r="J2608" s="13"/>
      <c r="K2608" s="13"/>
      <c r="L2608" s="13"/>
      <c r="M2608" s="13"/>
      <c r="N2608" s="13"/>
    </row>
    <row r="2609" ht="15.75" hidden="1" customHeight="1">
      <c r="A2609" s="13"/>
      <c r="B2609" s="13"/>
      <c r="C2609" s="13"/>
      <c r="D2609" s="13"/>
      <c r="E2609" s="13"/>
      <c r="F2609" s="13"/>
      <c r="G2609" s="13"/>
      <c r="H2609" s="13"/>
      <c r="I2609" s="13"/>
      <c r="J2609" s="13"/>
      <c r="K2609" s="13"/>
      <c r="L2609" s="13"/>
      <c r="M2609" s="13"/>
      <c r="N2609" s="13"/>
    </row>
    <row r="2610" ht="15.75" hidden="1" customHeight="1">
      <c r="A2610" s="13"/>
      <c r="B2610" s="13"/>
      <c r="C2610" s="13"/>
      <c r="D2610" s="13"/>
      <c r="E2610" s="13"/>
      <c r="F2610" s="13"/>
      <c r="G2610" s="13"/>
      <c r="H2610" s="13"/>
      <c r="I2610" s="13"/>
      <c r="J2610" s="13"/>
      <c r="K2610" s="13"/>
      <c r="L2610" s="13"/>
      <c r="M2610" s="13"/>
      <c r="N2610" s="13"/>
    </row>
    <row r="2611" ht="15.75" hidden="1" customHeight="1">
      <c r="A2611" s="13"/>
      <c r="B2611" s="13"/>
      <c r="C2611" s="13"/>
      <c r="D2611" s="13"/>
      <c r="E2611" s="13"/>
      <c r="F2611" s="13"/>
      <c r="G2611" s="13"/>
      <c r="H2611" s="13"/>
      <c r="I2611" s="13"/>
      <c r="J2611" s="13"/>
      <c r="K2611" s="13"/>
      <c r="L2611" s="13"/>
      <c r="M2611" s="13"/>
      <c r="N2611" s="13"/>
    </row>
    <row r="2612" ht="15.75" hidden="1" customHeight="1">
      <c r="A2612" s="13"/>
      <c r="B2612" s="13"/>
      <c r="C2612" s="13"/>
      <c r="D2612" s="13"/>
      <c r="E2612" s="13"/>
      <c r="F2612" s="13"/>
      <c r="G2612" s="13"/>
      <c r="H2612" s="13"/>
      <c r="I2612" s="13"/>
      <c r="J2612" s="13"/>
      <c r="K2612" s="13"/>
      <c r="L2612" s="13"/>
      <c r="M2612" s="13"/>
      <c r="N2612" s="13"/>
    </row>
    <row r="2613" ht="15.75" hidden="1" customHeight="1">
      <c r="A2613" s="13"/>
      <c r="B2613" s="13"/>
      <c r="C2613" s="13"/>
      <c r="D2613" s="13"/>
      <c r="E2613" s="13"/>
      <c r="F2613" s="13"/>
      <c r="G2613" s="13"/>
      <c r="H2613" s="13"/>
      <c r="I2613" s="13"/>
      <c r="J2613" s="13"/>
      <c r="K2613" s="13"/>
      <c r="L2613" s="13"/>
      <c r="M2613" s="13"/>
      <c r="N2613" s="13"/>
    </row>
    <row r="2614" ht="15.75" hidden="1" customHeight="1">
      <c r="A2614" s="13"/>
      <c r="B2614" s="13"/>
      <c r="C2614" s="13"/>
      <c r="D2614" s="13"/>
      <c r="E2614" s="13"/>
      <c r="F2614" s="13"/>
      <c r="G2614" s="13"/>
      <c r="H2614" s="13"/>
      <c r="I2614" s="13"/>
      <c r="J2614" s="13"/>
      <c r="K2614" s="13"/>
      <c r="L2614" s="13"/>
      <c r="M2614" s="13"/>
      <c r="N2614" s="13"/>
    </row>
    <row r="2615" ht="15.75" hidden="1" customHeight="1">
      <c r="A2615" s="13"/>
      <c r="B2615" s="13"/>
      <c r="C2615" s="13"/>
      <c r="D2615" s="13"/>
      <c r="E2615" s="13"/>
      <c r="F2615" s="13"/>
      <c r="G2615" s="13"/>
      <c r="H2615" s="13"/>
      <c r="I2615" s="13"/>
      <c r="J2615" s="13"/>
      <c r="K2615" s="13"/>
      <c r="L2615" s="13"/>
      <c r="M2615" s="13"/>
      <c r="N2615" s="13"/>
    </row>
    <row r="2616" ht="15.75" hidden="1" customHeight="1">
      <c r="A2616" s="13"/>
      <c r="B2616" s="13"/>
      <c r="C2616" s="13"/>
      <c r="D2616" s="13"/>
      <c r="E2616" s="13"/>
      <c r="F2616" s="13"/>
      <c r="G2616" s="13"/>
      <c r="H2616" s="13"/>
      <c r="I2616" s="13"/>
      <c r="J2616" s="13"/>
      <c r="K2616" s="13"/>
      <c r="L2616" s="13"/>
      <c r="M2616" s="13"/>
      <c r="N2616" s="13"/>
    </row>
    <row r="2617" ht="15.75" hidden="1" customHeight="1">
      <c r="A2617" s="13"/>
      <c r="B2617" s="13"/>
      <c r="C2617" s="13"/>
      <c r="D2617" s="13"/>
      <c r="E2617" s="13"/>
      <c r="F2617" s="13"/>
      <c r="G2617" s="13"/>
      <c r="H2617" s="13"/>
      <c r="I2617" s="13"/>
      <c r="J2617" s="13"/>
      <c r="K2617" s="13"/>
      <c r="L2617" s="13"/>
      <c r="M2617" s="13"/>
      <c r="N2617" s="13"/>
    </row>
    <row r="2618" ht="15.75" hidden="1" customHeight="1">
      <c r="A2618" s="13"/>
      <c r="B2618" s="13"/>
      <c r="C2618" s="13"/>
      <c r="D2618" s="13"/>
      <c r="E2618" s="13"/>
      <c r="F2618" s="13"/>
      <c r="G2618" s="13"/>
      <c r="H2618" s="13"/>
      <c r="I2618" s="13"/>
      <c r="J2618" s="13"/>
      <c r="K2618" s="13"/>
      <c r="L2618" s="13"/>
      <c r="M2618" s="13"/>
      <c r="N2618" s="13"/>
    </row>
    <row r="2619" ht="15.75" hidden="1" customHeight="1">
      <c r="A2619" s="13"/>
      <c r="B2619" s="13"/>
      <c r="C2619" s="13"/>
      <c r="D2619" s="13"/>
      <c r="E2619" s="13"/>
      <c r="F2619" s="13"/>
      <c r="G2619" s="13"/>
      <c r="H2619" s="13"/>
      <c r="I2619" s="13"/>
      <c r="J2619" s="13"/>
      <c r="K2619" s="13"/>
      <c r="L2619" s="13"/>
      <c r="M2619" s="13"/>
      <c r="N2619" s="13"/>
    </row>
    <row r="2620" ht="15.75" hidden="1" customHeight="1">
      <c r="A2620" s="13"/>
      <c r="B2620" s="13"/>
      <c r="C2620" s="13"/>
      <c r="D2620" s="13"/>
      <c r="E2620" s="13"/>
      <c r="F2620" s="13"/>
      <c r="G2620" s="13"/>
      <c r="H2620" s="13"/>
      <c r="I2620" s="13"/>
      <c r="J2620" s="13"/>
      <c r="K2620" s="13"/>
      <c r="L2620" s="13"/>
      <c r="M2620" s="13"/>
      <c r="N2620" s="13"/>
    </row>
    <row r="2621" ht="15.75" hidden="1" customHeight="1">
      <c r="A2621" s="13"/>
      <c r="B2621" s="13"/>
      <c r="C2621" s="13"/>
      <c r="D2621" s="13"/>
      <c r="E2621" s="13"/>
      <c r="F2621" s="13"/>
      <c r="G2621" s="13"/>
      <c r="H2621" s="13"/>
      <c r="I2621" s="13"/>
      <c r="J2621" s="13"/>
      <c r="K2621" s="13"/>
      <c r="L2621" s="13"/>
      <c r="M2621" s="13"/>
      <c r="N2621" s="13"/>
    </row>
    <row r="2622" ht="15.75" hidden="1" customHeight="1">
      <c r="A2622" s="13"/>
      <c r="B2622" s="13"/>
      <c r="C2622" s="13"/>
      <c r="D2622" s="13"/>
      <c r="E2622" s="13"/>
      <c r="F2622" s="13"/>
      <c r="G2622" s="13"/>
      <c r="H2622" s="13"/>
      <c r="I2622" s="13"/>
      <c r="J2622" s="13"/>
      <c r="K2622" s="13"/>
      <c r="L2622" s="13"/>
      <c r="M2622" s="13"/>
      <c r="N2622" s="13"/>
    </row>
    <row r="2623" ht="15.75" hidden="1" customHeight="1">
      <c r="A2623" s="13"/>
      <c r="B2623" s="13"/>
      <c r="C2623" s="13"/>
      <c r="D2623" s="13"/>
      <c r="E2623" s="13"/>
      <c r="F2623" s="13"/>
      <c r="G2623" s="13"/>
      <c r="H2623" s="13"/>
      <c r="I2623" s="13"/>
      <c r="J2623" s="13"/>
      <c r="K2623" s="13"/>
      <c r="L2623" s="13"/>
      <c r="M2623" s="13"/>
      <c r="N2623" s="13"/>
    </row>
    <row r="2624" ht="15.75" hidden="1" customHeight="1">
      <c r="A2624" s="13"/>
      <c r="B2624" s="13"/>
      <c r="C2624" s="13"/>
      <c r="D2624" s="13"/>
      <c r="E2624" s="13"/>
      <c r="F2624" s="13"/>
      <c r="G2624" s="13"/>
      <c r="H2624" s="13"/>
      <c r="I2624" s="13"/>
      <c r="J2624" s="13"/>
      <c r="K2624" s="13"/>
      <c r="L2624" s="13"/>
      <c r="M2624" s="13"/>
      <c r="N2624" s="13"/>
    </row>
    <row r="2625" ht="15.75" hidden="1" customHeight="1">
      <c r="A2625" s="13"/>
      <c r="B2625" s="13"/>
      <c r="C2625" s="13"/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</row>
    <row r="2626" ht="15.75" hidden="1" customHeight="1">
      <c r="A2626" s="13"/>
      <c r="B2626" s="13"/>
      <c r="C2626" s="13"/>
      <c r="D2626" s="13"/>
      <c r="E2626" s="13"/>
      <c r="F2626" s="13"/>
      <c r="G2626" s="13"/>
      <c r="H2626" s="13"/>
      <c r="I2626" s="13"/>
      <c r="J2626" s="13"/>
      <c r="K2626" s="13"/>
      <c r="L2626" s="13"/>
      <c r="M2626" s="13"/>
      <c r="N2626" s="13"/>
    </row>
    <row r="2627" ht="15.75" hidden="1" customHeight="1">
      <c r="A2627" s="13"/>
      <c r="B2627" s="13"/>
      <c r="C2627" s="13"/>
      <c r="D2627" s="13"/>
      <c r="E2627" s="13"/>
      <c r="F2627" s="13"/>
      <c r="G2627" s="13"/>
      <c r="H2627" s="13"/>
      <c r="I2627" s="13"/>
      <c r="J2627" s="13"/>
      <c r="K2627" s="13"/>
      <c r="L2627" s="13"/>
      <c r="M2627" s="13"/>
      <c r="N2627" s="13"/>
    </row>
    <row r="2628" ht="15.75" hidden="1" customHeight="1">
      <c r="A2628" s="13"/>
      <c r="B2628" s="13"/>
      <c r="C2628" s="13"/>
      <c r="D2628" s="13"/>
      <c r="E2628" s="13"/>
      <c r="F2628" s="13"/>
      <c r="G2628" s="13"/>
      <c r="H2628" s="13"/>
      <c r="I2628" s="13"/>
      <c r="J2628" s="13"/>
      <c r="K2628" s="13"/>
      <c r="L2628" s="13"/>
      <c r="M2628" s="13"/>
      <c r="N2628" s="13"/>
    </row>
    <row r="2629" ht="15.75" hidden="1" customHeight="1">
      <c r="A2629" s="13"/>
      <c r="B2629" s="13"/>
      <c r="C2629" s="13"/>
      <c r="D2629" s="13"/>
      <c r="E2629" s="13"/>
      <c r="F2629" s="13"/>
      <c r="G2629" s="13"/>
      <c r="H2629" s="13"/>
      <c r="I2629" s="13"/>
      <c r="J2629" s="13"/>
      <c r="K2629" s="13"/>
      <c r="L2629" s="13"/>
      <c r="M2629" s="13"/>
      <c r="N2629" s="13"/>
    </row>
    <row r="2630" ht="15.75" hidden="1" customHeight="1">
      <c r="A2630" s="13"/>
      <c r="B2630" s="13"/>
      <c r="C2630" s="13"/>
      <c r="D2630" s="13"/>
      <c r="E2630" s="13"/>
      <c r="F2630" s="13"/>
      <c r="G2630" s="13"/>
      <c r="H2630" s="13"/>
      <c r="I2630" s="13"/>
      <c r="J2630" s="13"/>
      <c r="K2630" s="13"/>
      <c r="L2630" s="13"/>
      <c r="M2630" s="13"/>
      <c r="N2630" s="13"/>
    </row>
    <row r="2631" ht="15.75" hidden="1" customHeight="1">
      <c r="A2631" s="13"/>
      <c r="B2631" s="13"/>
      <c r="C2631" s="13"/>
      <c r="D2631" s="13"/>
      <c r="E2631" s="13"/>
      <c r="F2631" s="13"/>
      <c r="G2631" s="13"/>
      <c r="H2631" s="13"/>
      <c r="I2631" s="13"/>
      <c r="J2631" s="13"/>
      <c r="K2631" s="13"/>
      <c r="L2631" s="13"/>
      <c r="M2631" s="13"/>
      <c r="N2631" s="13"/>
    </row>
    <row r="2632" ht="15.75" hidden="1" customHeight="1">
      <c r="A2632" s="13"/>
      <c r="B2632" s="13"/>
      <c r="C2632" s="13"/>
      <c r="D2632" s="13"/>
      <c r="E2632" s="13"/>
      <c r="F2632" s="13"/>
      <c r="G2632" s="13"/>
      <c r="H2632" s="13"/>
      <c r="I2632" s="13"/>
      <c r="J2632" s="13"/>
      <c r="K2632" s="13"/>
      <c r="L2632" s="13"/>
      <c r="M2632" s="13"/>
      <c r="N2632" s="13"/>
    </row>
    <row r="2633" ht="15.75" hidden="1" customHeight="1">
      <c r="A2633" s="13"/>
      <c r="B2633" s="13"/>
      <c r="C2633" s="13"/>
      <c r="D2633" s="13"/>
      <c r="E2633" s="13"/>
      <c r="F2633" s="13"/>
      <c r="G2633" s="13"/>
      <c r="H2633" s="13"/>
      <c r="I2633" s="13"/>
      <c r="J2633" s="13"/>
      <c r="K2633" s="13"/>
      <c r="L2633" s="13"/>
      <c r="M2633" s="13"/>
      <c r="N2633" s="13"/>
    </row>
    <row r="2634" ht="15.75" hidden="1" customHeight="1">
      <c r="A2634" s="13"/>
      <c r="B2634" s="13"/>
      <c r="C2634" s="13"/>
      <c r="D2634" s="13"/>
      <c r="E2634" s="13"/>
      <c r="F2634" s="13"/>
      <c r="G2634" s="13"/>
      <c r="H2634" s="13"/>
      <c r="I2634" s="13"/>
      <c r="J2634" s="13"/>
      <c r="K2634" s="13"/>
      <c r="L2634" s="13"/>
      <c r="M2634" s="13"/>
      <c r="N2634" s="13"/>
    </row>
    <row r="2635" ht="15.75" hidden="1" customHeight="1">
      <c r="A2635" s="13"/>
      <c r="B2635" s="13"/>
      <c r="C2635" s="13"/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</row>
    <row r="2636" ht="15.75" hidden="1" customHeight="1">
      <c r="A2636" s="13"/>
      <c r="B2636" s="13"/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  <c r="M2636" s="13"/>
      <c r="N2636" s="13"/>
    </row>
    <row r="2637" ht="15.75" hidden="1" customHeight="1">
      <c r="A2637" s="13"/>
      <c r="B2637" s="13"/>
      <c r="C2637" s="13"/>
      <c r="D2637" s="13"/>
      <c r="E2637" s="13"/>
      <c r="F2637" s="13"/>
      <c r="G2637" s="13"/>
      <c r="H2637" s="13"/>
      <c r="I2637" s="13"/>
      <c r="J2637" s="13"/>
      <c r="K2637" s="13"/>
      <c r="L2637" s="13"/>
      <c r="M2637" s="13"/>
      <c r="N2637" s="13"/>
    </row>
    <row r="2638" ht="15.75" hidden="1" customHeight="1">
      <c r="A2638" s="13"/>
      <c r="B2638" s="13"/>
      <c r="C2638" s="13"/>
      <c r="D2638" s="13"/>
      <c r="E2638" s="13"/>
      <c r="F2638" s="13"/>
      <c r="G2638" s="13"/>
      <c r="H2638" s="13"/>
      <c r="I2638" s="13"/>
      <c r="J2638" s="13"/>
      <c r="K2638" s="13"/>
      <c r="L2638" s="13"/>
      <c r="M2638" s="13"/>
      <c r="N2638" s="13"/>
    </row>
    <row r="2639" ht="15.75" hidden="1" customHeight="1">
      <c r="A2639" s="13"/>
      <c r="B2639" s="13"/>
      <c r="C2639" s="13"/>
      <c r="D2639" s="13"/>
      <c r="E2639" s="13"/>
      <c r="F2639" s="13"/>
      <c r="G2639" s="13"/>
      <c r="H2639" s="13"/>
      <c r="I2639" s="13"/>
      <c r="J2639" s="13"/>
      <c r="K2639" s="13"/>
      <c r="L2639" s="13"/>
      <c r="M2639" s="13"/>
      <c r="N2639" s="13"/>
    </row>
    <row r="2640" ht="15.75" hidden="1" customHeight="1">
      <c r="A2640" s="13"/>
      <c r="B2640" s="13"/>
      <c r="C2640" s="13"/>
      <c r="D2640" s="13"/>
      <c r="E2640" s="13"/>
      <c r="F2640" s="13"/>
      <c r="G2640" s="13"/>
      <c r="H2640" s="13"/>
      <c r="I2640" s="13"/>
      <c r="J2640" s="13"/>
      <c r="K2640" s="13"/>
      <c r="L2640" s="13"/>
      <c r="M2640" s="13"/>
      <c r="N2640" s="13"/>
    </row>
    <row r="2641" ht="15.75" hidden="1" customHeight="1">
      <c r="A2641" s="13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13"/>
    </row>
    <row r="2642" ht="15.75" hidden="1" customHeight="1">
      <c r="A2642" s="13"/>
      <c r="B2642" s="13"/>
      <c r="C2642" s="13"/>
      <c r="D2642" s="13"/>
      <c r="E2642" s="13"/>
      <c r="F2642" s="13"/>
      <c r="G2642" s="13"/>
      <c r="H2642" s="13"/>
      <c r="I2642" s="13"/>
      <c r="J2642" s="13"/>
      <c r="K2642" s="13"/>
      <c r="L2642" s="13"/>
      <c r="M2642" s="13"/>
      <c r="N2642" s="13"/>
    </row>
    <row r="2643" ht="15.75" hidden="1" customHeight="1">
      <c r="A2643" s="13"/>
      <c r="B2643" s="13"/>
      <c r="C2643" s="13"/>
      <c r="D2643" s="13"/>
      <c r="E2643" s="13"/>
      <c r="F2643" s="13"/>
      <c r="G2643" s="13"/>
      <c r="H2643" s="13"/>
      <c r="I2643" s="13"/>
      <c r="J2643" s="13"/>
      <c r="K2643" s="13"/>
      <c r="L2643" s="13"/>
      <c r="M2643" s="13"/>
      <c r="N2643" s="13"/>
    </row>
    <row r="2644" ht="15.75" hidden="1" customHeight="1">
      <c r="A2644" s="13"/>
      <c r="B2644" s="13"/>
      <c r="C2644" s="13"/>
      <c r="D2644" s="13"/>
      <c r="E2644" s="13"/>
      <c r="F2644" s="13"/>
      <c r="G2644" s="13"/>
      <c r="H2644" s="13"/>
      <c r="I2644" s="13"/>
      <c r="J2644" s="13"/>
      <c r="K2644" s="13"/>
      <c r="L2644" s="13"/>
      <c r="M2644" s="13"/>
      <c r="N2644" s="13"/>
    </row>
    <row r="2645" ht="15.75" hidden="1" customHeight="1">
      <c r="A2645" s="13"/>
      <c r="B2645" s="13"/>
      <c r="C2645" s="13"/>
      <c r="D2645" s="13"/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</row>
    <row r="2646" ht="15.75" hidden="1" customHeight="1">
      <c r="A2646" s="13"/>
      <c r="B2646" s="13"/>
      <c r="C2646" s="13"/>
      <c r="D2646" s="13"/>
      <c r="E2646" s="13"/>
      <c r="F2646" s="13"/>
      <c r="G2646" s="13"/>
      <c r="H2646" s="13"/>
      <c r="I2646" s="13"/>
      <c r="J2646" s="13"/>
      <c r="K2646" s="13"/>
      <c r="L2646" s="13"/>
      <c r="M2646" s="13"/>
      <c r="N2646" s="13"/>
    </row>
    <row r="2647" ht="15.75" hidden="1" customHeight="1">
      <c r="A2647" s="13"/>
      <c r="B2647" s="13"/>
      <c r="C2647" s="13"/>
      <c r="D2647" s="13"/>
      <c r="E2647" s="13"/>
      <c r="F2647" s="13"/>
      <c r="G2647" s="13"/>
      <c r="H2647" s="13"/>
      <c r="I2647" s="13"/>
      <c r="J2647" s="13"/>
      <c r="K2647" s="13"/>
      <c r="L2647" s="13"/>
      <c r="M2647" s="13"/>
      <c r="N2647" s="13"/>
    </row>
    <row r="2648" ht="15.75" hidden="1" customHeight="1">
      <c r="A2648" s="13"/>
      <c r="B2648" s="13"/>
      <c r="C2648" s="13"/>
      <c r="D2648" s="13"/>
      <c r="E2648" s="13"/>
      <c r="F2648" s="13"/>
      <c r="G2648" s="13"/>
      <c r="H2648" s="13"/>
      <c r="I2648" s="13"/>
      <c r="J2648" s="13"/>
      <c r="K2648" s="13"/>
      <c r="L2648" s="13"/>
      <c r="M2648" s="13"/>
      <c r="N2648" s="13"/>
    </row>
    <row r="2649" ht="15.75" hidden="1" customHeight="1">
      <c r="A2649" s="13"/>
      <c r="B2649" s="13"/>
      <c r="C2649" s="13"/>
      <c r="D2649" s="13"/>
      <c r="E2649" s="13"/>
      <c r="F2649" s="13"/>
      <c r="G2649" s="13"/>
      <c r="H2649" s="13"/>
      <c r="I2649" s="13"/>
      <c r="J2649" s="13"/>
      <c r="K2649" s="13"/>
      <c r="L2649" s="13"/>
      <c r="M2649" s="13"/>
      <c r="N2649" s="13"/>
    </row>
    <row r="2650" ht="15.75" hidden="1" customHeight="1">
      <c r="A2650" s="13"/>
      <c r="B2650" s="13"/>
      <c r="C2650" s="13"/>
      <c r="D2650" s="13"/>
      <c r="E2650" s="13"/>
      <c r="F2650" s="13"/>
      <c r="G2650" s="13"/>
      <c r="H2650" s="13"/>
      <c r="I2650" s="13"/>
      <c r="J2650" s="13"/>
      <c r="K2650" s="13"/>
      <c r="L2650" s="13"/>
      <c r="M2650" s="13"/>
      <c r="N2650" s="13"/>
    </row>
    <row r="2651" ht="15.75" hidden="1" customHeight="1">
      <c r="A2651" s="13"/>
      <c r="B2651" s="13"/>
      <c r="C2651" s="13"/>
      <c r="D2651" s="13"/>
      <c r="E2651" s="13"/>
      <c r="F2651" s="13"/>
      <c r="G2651" s="13"/>
      <c r="H2651" s="13"/>
      <c r="I2651" s="13"/>
      <c r="J2651" s="13"/>
      <c r="K2651" s="13"/>
      <c r="L2651" s="13"/>
      <c r="M2651" s="13"/>
      <c r="N2651" s="13"/>
    </row>
    <row r="2652" ht="15.75" hidden="1" customHeight="1">
      <c r="A2652" s="13"/>
      <c r="B2652" s="13"/>
      <c r="C2652" s="13"/>
      <c r="D2652" s="13"/>
      <c r="E2652" s="13"/>
      <c r="F2652" s="13"/>
      <c r="G2652" s="13"/>
      <c r="H2652" s="13"/>
      <c r="I2652" s="13"/>
      <c r="J2652" s="13"/>
      <c r="K2652" s="13"/>
      <c r="L2652" s="13"/>
      <c r="M2652" s="13"/>
      <c r="N2652" s="13"/>
    </row>
    <row r="2653" ht="15.75" hidden="1" customHeight="1">
      <c r="A2653" s="13"/>
      <c r="B2653" s="13"/>
      <c r="C2653" s="13"/>
      <c r="D2653" s="13"/>
      <c r="E2653" s="13"/>
      <c r="F2653" s="13"/>
      <c r="G2653" s="13"/>
      <c r="H2653" s="13"/>
      <c r="I2653" s="13"/>
      <c r="J2653" s="13"/>
      <c r="K2653" s="13"/>
      <c r="L2653" s="13"/>
      <c r="M2653" s="13"/>
      <c r="N2653" s="13"/>
    </row>
    <row r="2654" ht="15.75" hidden="1" customHeight="1">
      <c r="A2654" s="13"/>
      <c r="B2654" s="13"/>
      <c r="C2654" s="13"/>
      <c r="D2654" s="13"/>
      <c r="E2654" s="13"/>
      <c r="F2654" s="13"/>
      <c r="G2654" s="13"/>
      <c r="H2654" s="13"/>
      <c r="I2654" s="13"/>
      <c r="J2654" s="13"/>
      <c r="K2654" s="13"/>
      <c r="L2654" s="13"/>
      <c r="M2654" s="13"/>
      <c r="N2654" s="13"/>
    </row>
    <row r="2655" ht="15.75" hidden="1" customHeight="1">
      <c r="A2655" s="13"/>
      <c r="B2655" s="13"/>
      <c r="C2655" s="13"/>
      <c r="D2655" s="13"/>
      <c r="E2655" s="13"/>
      <c r="F2655" s="13"/>
      <c r="G2655" s="13"/>
      <c r="H2655" s="13"/>
      <c r="I2655" s="13"/>
      <c r="J2655" s="13"/>
      <c r="K2655" s="13"/>
      <c r="L2655" s="13"/>
      <c r="M2655" s="13"/>
      <c r="N2655" s="13"/>
    </row>
    <row r="2656" ht="15.75" hidden="1" customHeight="1">
      <c r="A2656" s="13"/>
      <c r="B2656" s="13"/>
      <c r="C2656" s="13"/>
      <c r="D2656" s="13"/>
      <c r="E2656" s="13"/>
      <c r="F2656" s="13"/>
      <c r="G2656" s="13"/>
      <c r="H2656" s="13"/>
      <c r="I2656" s="13"/>
      <c r="J2656" s="13"/>
      <c r="K2656" s="13"/>
      <c r="L2656" s="13"/>
      <c r="M2656" s="13"/>
      <c r="N2656" s="13"/>
    </row>
    <row r="2657" ht="15.75" hidden="1" customHeight="1">
      <c r="A2657" s="13"/>
      <c r="B2657" s="13"/>
      <c r="C2657" s="13"/>
      <c r="D2657" s="13"/>
      <c r="E2657" s="13"/>
      <c r="F2657" s="13"/>
      <c r="G2657" s="13"/>
      <c r="H2657" s="13"/>
      <c r="I2657" s="13"/>
      <c r="J2657" s="13"/>
      <c r="K2657" s="13"/>
      <c r="L2657" s="13"/>
      <c r="M2657" s="13"/>
      <c r="N2657" s="13"/>
    </row>
    <row r="2658" ht="15.75" hidden="1" customHeight="1">
      <c r="A2658" s="13"/>
      <c r="B2658" s="13"/>
      <c r="C2658" s="13"/>
      <c r="D2658" s="13"/>
      <c r="E2658" s="13"/>
      <c r="F2658" s="13"/>
      <c r="G2658" s="13"/>
      <c r="H2658" s="13"/>
      <c r="I2658" s="13"/>
      <c r="J2658" s="13"/>
      <c r="K2658" s="13"/>
      <c r="L2658" s="13"/>
      <c r="M2658" s="13"/>
      <c r="N2658" s="13"/>
    </row>
    <row r="2659" ht="15.75" hidden="1" customHeight="1">
      <c r="A2659" s="13"/>
      <c r="B2659" s="13"/>
      <c r="C2659" s="13"/>
      <c r="D2659" s="13"/>
      <c r="E2659" s="13"/>
      <c r="F2659" s="13"/>
      <c r="G2659" s="13"/>
      <c r="H2659" s="13"/>
      <c r="I2659" s="13"/>
      <c r="J2659" s="13"/>
      <c r="K2659" s="13"/>
      <c r="L2659" s="13"/>
      <c r="M2659" s="13"/>
      <c r="N2659" s="13"/>
    </row>
    <row r="2660" ht="15.75" hidden="1" customHeight="1">
      <c r="A2660" s="13"/>
      <c r="B2660" s="13"/>
      <c r="C2660" s="13"/>
      <c r="D2660" s="13"/>
      <c r="E2660" s="13"/>
      <c r="F2660" s="13"/>
      <c r="G2660" s="13"/>
      <c r="H2660" s="13"/>
      <c r="I2660" s="13"/>
      <c r="J2660" s="13"/>
      <c r="K2660" s="13"/>
      <c r="L2660" s="13"/>
      <c r="M2660" s="13"/>
      <c r="N2660" s="13"/>
    </row>
    <row r="2661" ht="15.75" hidden="1" customHeight="1">
      <c r="A2661" s="13"/>
      <c r="B2661" s="13"/>
      <c r="C2661" s="13"/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</row>
    <row r="2662" ht="15.75" hidden="1" customHeight="1">
      <c r="A2662" s="13"/>
      <c r="B2662" s="13"/>
      <c r="C2662" s="13"/>
      <c r="D2662" s="13"/>
      <c r="E2662" s="13"/>
      <c r="F2662" s="13"/>
      <c r="G2662" s="13"/>
      <c r="H2662" s="13"/>
      <c r="I2662" s="13"/>
      <c r="J2662" s="13"/>
      <c r="K2662" s="13"/>
      <c r="L2662" s="13"/>
      <c r="M2662" s="13"/>
      <c r="N2662" s="13"/>
    </row>
    <row r="2663" ht="15.75" hidden="1" customHeight="1">
      <c r="A2663" s="13"/>
      <c r="B2663" s="13"/>
      <c r="C2663" s="13"/>
      <c r="D2663" s="13"/>
      <c r="E2663" s="13"/>
      <c r="F2663" s="13"/>
      <c r="G2663" s="13"/>
      <c r="H2663" s="13"/>
      <c r="I2663" s="13"/>
      <c r="J2663" s="13"/>
      <c r="K2663" s="13"/>
      <c r="L2663" s="13"/>
      <c r="M2663" s="13"/>
      <c r="N2663" s="13"/>
    </row>
    <row r="2664" ht="15.75" hidden="1" customHeight="1">
      <c r="A2664" s="13"/>
      <c r="B2664" s="13"/>
      <c r="C2664" s="13"/>
      <c r="D2664" s="13"/>
      <c r="E2664" s="13"/>
      <c r="F2664" s="13"/>
      <c r="G2664" s="13"/>
      <c r="H2664" s="13"/>
      <c r="I2664" s="13"/>
      <c r="J2664" s="13"/>
      <c r="K2664" s="13"/>
      <c r="L2664" s="13"/>
      <c r="M2664" s="13"/>
      <c r="N2664" s="13"/>
    </row>
    <row r="2665" ht="15.75" hidden="1" customHeight="1">
      <c r="A2665" s="13"/>
      <c r="B2665" s="13"/>
      <c r="C2665" s="13"/>
      <c r="D2665" s="13"/>
      <c r="E2665" s="13"/>
      <c r="F2665" s="13"/>
      <c r="G2665" s="13"/>
      <c r="H2665" s="13"/>
      <c r="I2665" s="13"/>
      <c r="J2665" s="13"/>
      <c r="K2665" s="13"/>
      <c r="L2665" s="13"/>
      <c r="M2665" s="13"/>
      <c r="N2665" s="13"/>
    </row>
    <row r="2666" ht="15.75" hidden="1" customHeight="1">
      <c r="A2666" s="13"/>
      <c r="B2666" s="13"/>
      <c r="C2666" s="13"/>
      <c r="D2666" s="13"/>
      <c r="E2666" s="13"/>
      <c r="F2666" s="13"/>
      <c r="G2666" s="13"/>
      <c r="H2666" s="13"/>
      <c r="I2666" s="13"/>
      <c r="J2666" s="13"/>
      <c r="K2666" s="13"/>
      <c r="L2666" s="13"/>
      <c r="M2666" s="13"/>
      <c r="N2666" s="13"/>
    </row>
    <row r="2667" ht="15.75" hidden="1" customHeight="1">
      <c r="A2667" s="13"/>
      <c r="B2667" s="13"/>
      <c r="C2667" s="13"/>
      <c r="D2667" s="13"/>
      <c r="E2667" s="13"/>
      <c r="F2667" s="13"/>
      <c r="G2667" s="13"/>
      <c r="H2667" s="13"/>
      <c r="I2667" s="13"/>
      <c r="J2667" s="13"/>
      <c r="K2667" s="13"/>
      <c r="L2667" s="13"/>
      <c r="M2667" s="13"/>
      <c r="N2667" s="13"/>
    </row>
    <row r="2668" ht="15.75" hidden="1" customHeight="1">
      <c r="A2668" s="13"/>
      <c r="B2668" s="13"/>
      <c r="C2668" s="13"/>
      <c r="D2668" s="13"/>
      <c r="E2668" s="13"/>
      <c r="F2668" s="13"/>
      <c r="G2668" s="13"/>
      <c r="H2668" s="13"/>
      <c r="I2668" s="13"/>
      <c r="J2668" s="13"/>
      <c r="K2668" s="13"/>
      <c r="L2668" s="13"/>
      <c r="M2668" s="13"/>
      <c r="N2668" s="13"/>
    </row>
    <row r="2669" ht="15.75" hidden="1" customHeight="1">
      <c r="A2669" s="13"/>
      <c r="B2669" s="13"/>
      <c r="C2669" s="13"/>
      <c r="D2669" s="13"/>
      <c r="E2669" s="13"/>
      <c r="F2669" s="13"/>
      <c r="G2669" s="13"/>
      <c r="H2669" s="13"/>
      <c r="I2669" s="13"/>
      <c r="J2669" s="13"/>
      <c r="K2669" s="13"/>
      <c r="L2669" s="13"/>
      <c r="M2669" s="13"/>
      <c r="N2669" s="13"/>
    </row>
    <row r="2670" ht="15.75" hidden="1" customHeight="1">
      <c r="A2670" s="13"/>
      <c r="B2670" s="13"/>
      <c r="C2670" s="13"/>
      <c r="D2670" s="13"/>
      <c r="E2670" s="13"/>
      <c r="F2670" s="13"/>
      <c r="G2670" s="13"/>
      <c r="H2670" s="13"/>
      <c r="I2670" s="13"/>
      <c r="J2670" s="13"/>
      <c r="K2670" s="13"/>
      <c r="L2670" s="13"/>
      <c r="M2670" s="13"/>
      <c r="N2670" s="13"/>
    </row>
    <row r="2671" ht="15.75" hidden="1" customHeight="1">
      <c r="A2671" s="13"/>
      <c r="B2671" s="13"/>
      <c r="C2671" s="13"/>
      <c r="D2671" s="13"/>
      <c r="E2671" s="13"/>
      <c r="F2671" s="13"/>
      <c r="G2671" s="13"/>
      <c r="H2671" s="13"/>
      <c r="I2671" s="13"/>
      <c r="J2671" s="13"/>
      <c r="K2671" s="13"/>
      <c r="L2671" s="13"/>
      <c r="M2671" s="13"/>
      <c r="N2671" s="13"/>
    </row>
    <row r="2672" ht="15.75" hidden="1" customHeight="1">
      <c r="A2672" s="13"/>
      <c r="B2672" s="13"/>
      <c r="C2672" s="13"/>
      <c r="D2672" s="13"/>
      <c r="E2672" s="13"/>
      <c r="F2672" s="13"/>
      <c r="G2672" s="13"/>
      <c r="H2672" s="13"/>
      <c r="I2672" s="13"/>
      <c r="J2672" s="13"/>
      <c r="K2672" s="13"/>
      <c r="L2672" s="13"/>
      <c r="M2672" s="13"/>
      <c r="N2672" s="13"/>
    </row>
    <row r="2673" ht="15.75" hidden="1" customHeight="1">
      <c r="A2673" s="13"/>
      <c r="B2673" s="13"/>
      <c r="C2673" s="13"/>
      <c r="D2673" s="13"/>
      <c r="E2673" s="13"/>
      <c r="F2673" s="13"/>
      <c r="G2673" s="13"/>
      <c r="H2673" s="13"/>
      <c r="I2673" s="13"/>
      <c r="J2673" s="13"/>
      <c r="K2673" s="13"/>
      <c r="L2673" s="13"/>
      <c r="M2673" s="13"/>
      <c r="N2673" s="13"/>
    </row>
    <row r="2674" ht="15.75" hidden="1" customHeight="1">
      <c r="A2674" s="13"/>
      <c r="B2674" s="13"/>
      <c r="C2674" s="13"/>
      <c r="D2674" s="13"/>
      <c r="E2674" s="13"/>
      <c r="F2674" s="13"/>
      <c r="G2674" s="13"/>
      <c r="H2674" s="13"/>
      <c r="I2674" s="13"/>
      <c r="J2674" s="13"/>
      <c r="K2674" s="13"/>
      <c r="L2674" s="13"/>
      <c r="M2674" s="13"/>
      <c r="N2674" s="13"/>
    </row>
    <row r="2675" ht="15.75" hidden="1" customHeight="1">
      <c r="A2675" s="13"/>
      <c r="B2675" s="13"/>
      <c r="C2675" s="13"/>
      <c r="D2675" s="13"/>
      <c r="E2675" s="13"/>
      <c r="F2675" s="13"/>
      <c r="G2675" s="13"/>
      <c r="H2675" s="13"/>
      <c r="I2675" s="13"/>
      <c r="J2675" s="13"/>
      <c r="K2675" s="13"/>
      <c r="L2675" s="13"/>
      <c r="M2675" s="13"/>
      <c r="N2675" s="13"/>
    </row>
    <row r="2676" ht="15.75" hidden="1" customHeight="1">
      <c r="A2676" s="13"/>
      <c r="B2676" s="13"/>
      <c r="C2676" s="13"/>
      <c r="D2676" s="13"/>
      <c r="E2676" s="13"/>
      <c r="F2676" s="13"/>
      <c r="G2676" s="13"/>
      <c r="H2676" s="13"/>
      <c r="I2676" s="13"/>
      <c r="J2676" s="13"/>
      <c r="K2676" s="13"/>
      <c r="L2676" s="13"/>
      <c r="M2676" s="13"/>
      <c r="N2676" s="13"/>
    </row>
    <row r="2677" ht="15.75" hidden="1" customHeight="1">
      <c r="A2677" s="13"/>
      <c r="B2677" s="13"/>
      <c r="C2677" s="13"/>
      <c r="D2677" s="13"/>
      <c r="E2677" s="13"/>
      <c r="F2677" s="13"/>
      <c r="G2677" s="13"/>
      <c r="H2677" s="13"/>
      <c r="I2677" s="13"/>
      <c r="J2677" s="13"/>
      <c r="K2677" s="13"/>
      <c r="L2677" s="13"/>
      <c r="M2677" s="13"/>
      <c r="N2677" s="13"/>
    </row>
    <row r="2678" ht="15.75" hidden="1" customHeight="1">
      <c r="A2678" s="13"/>
      <c r="B2678" s="13"/>
      <c r="C2678" s="13"/>
      <c r="D2678" s="13"/>
      <c r="E2678" s="13"/>
      <c r="F2678" s="13"/>
      <c r="G2678" s="13"/>
      <c r="H2678" s="13"/>
      <c r="I2678" s="13"/>
      <c r="J2678" s="13"/>
      <c r="K2678" s="13"/>
      <c r="L2678" s="13"/>
      <c r="M2678" s="13"/>
      <c r="N2678" s="13"/>
    </row>
    <row r="2679" ht="15.75" hidden="1" customHeight="1">
      <c r="A2679" s="13"/>
      <c r="B2679" s="13"/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</row>
    <row r="2680" ht="15.75" hidden="1" customHeight="1">
      <c r="A2680" s="13"/>
      <c r="B2680" s="13"/>
      <c r="C2680" s="13"/>
      <c r="D2680" s="13"/>
      <c r="E2680" s="13"/>
      <c r="F2680" s="13"/>
      <c r="G2680" s="13"/>
      <c r="H2680" s="13"/>
      <c r="I2680" s="13"/>
      <c r="J2680" s="13"/>
      <c r="K2680" s="13"/>
      <c r="L2680" s="13"/>
      <c r="M2680" s="13"/>
      <c r="N2680" s="13"/>
    </row>
    <row r="2681" ht="15.75" hidden="1" customHeight="1">
      <c r="A2681" s="13"/>
      <c r="B2681" s="13"/>
      <c r="C2681" s="13"/>
      <c r="D2681" s="13"/>
      <c r="E2681" s="13"/>
      <c r="F2681" s="13"/>
      <c r="G2681" s="13"/>
      <c r="H2681" s="13"/>
      <c r="I2681" s="13"/>
      <c r="J2681" s="13"/>
      <c r="K2681" s="13"/>
      <c r="L2681" s="13"/>
      <c r="M2681" s="13"/>
      <c r="N2681" s="13"/>
    </row>
    <row r="2682" ht="15.75" hidden="1" customHeight="1">
      <c r="A2682" s="13"/>
      <c r="B2682" s="13"/>
      <c r="C2682" s="13"/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</row>
    <row r="2683" ht="15.75" hidden="1" customHeight="1">
      <c r="A2683" s="13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13"/>
    </row>
    <row r="2684" ht="15.75" hidden="1" customHeight="1">
      <c r="A2684" s="13"/>
      <c r="B2684" s="13"/>
      <c r="C2684" s="13"/>
      <c r="D2684" s="13"/>
      <c r="E2684" s="13"/>
      <c r="F2684" s="13"/>
      <c r="G2684" s="13"/>
      <c r="H2684" s="13"/>
      <c r="I2684" s="13"/>
      <c r="J2684" s="13"/>
      <c r="K2684" s="13"/>
      <c r="L2684" s="13"/>
      <c r="M2684" s="13"/>
      <c r="N2684" s="13"/>
    </row>
    <row r="2685" ht="15.75" hidden="1" customHeight="1">
      <c r="A2685" s="13"/>
      <c r="B2685" s="13"/>
      <c r="C2685" s="13"/>
      <c r="D2685" s="13"/>
      <c r="E2685" s="13"/>
      <c r="F2685" s="13"/>
      <c r="G2685" s="13"/>
      <c r="H2685" s="13"/>
      <c r="I2685" s="13"/>
      <c r="J2685" s="13"/>
      <c r="K2685" s="13"/>
      <c r="L2685" s="13"/>
      <c r="M2685" s="13"/>
      <c r="N2685" s="13"/>
    </row>
    <row r="2686" ht="15.75" hidden="1" customHeight="1">
      <c r="A2686" s="13"/>
      <c r="B2686" s="13"/>
      <c r="C2686" s="13"/>
      <c r="D2686" s="13"/>
      <c r="E2686" s="13"/>
      <c r="F2686" s="13"/>
      <c r="G2686" s="13"/>
      <c r="H2686" s="13"/>
      <c r="I2686" s="13"/>
      <c r="J2686" s="13"/>
      <c r="K2686" s="13"/>
      <c r="L2686" s="13"/>
      <c r="M2686" s="13"/>
      <c r="N2686" s="13"/>
    </row>
    <row r="2687" ht="15.75" hidden="1" customHeight="1">
      <c r="A2687" s="13"/>
      <c r="B2687" s="13"/>
      <c r="C2687" s="13"/>
      <c r="D2687" s="13"/>
      <c r="E2687" s="13"/>
      <c r="F2687" s="13"/>
      <c r="G2687" s="13"/>
      <c r="H2687" s="13"/>
      <c r="I2687" s="13"/>
      <c r="J2687" s="13"/>
      <c r="K2687" s="13"/>
      <c r="L2687" s="13"/>
      <c r="M2687" s="13"/>
      <c r="N2687" s="13"/>
    </row>
    <row r="2688" ht="15.75" hidden="1" customHeight="1">
      <c r="A2688" s="13"/>
      <c r="B2688" s="13"/>
      <c r="C2688" s="13"/>
      <c r="D2688" s="13"/>
      <c r="E2688" s="13"/>
      <c r="F2688" s="13"/>
      <c r="G2688" s="13"/>
      <c r="H2688" s="13"/>
      <c r="I2688" s="13"/>
      <c r="J2688" s="13"/>
      <c r="K2688" s="13"/>
      <c r="L2688" s="13"/>
      <c r="M2688" s="13"/>
      <c r="N2688" s="13"/>
    </row>
    <row r="2689" ht="15.75" hidden="1" customHeight="1">
      <c r="A2689" s="13"/>
      <c r="B2689" s="13"/>
      <c r="C2689" s="13"/>
      <c r="D2689" s="13"/>
      <c r="E2689" s="13"/>
      <c r="F2689" s="13"/>
      <c r="G2689" s="13"/>
      <c r="H2689" s="13"/>
      <c r="I2689" s="13"/>
      <c r="J2689" s="13"/>
      <c r="K2689" s="13"/>
      <c r="L2689" s="13"/>
      <c r="M2689" s="13"/>
      <c r="N2689" s="13"/>
    </row>
    <row r="2690" ht="15.75" hidden="1" customHeight="1">
      <c r="A2690" s="13"/>
      <c r="B2690" s="13"/>
      <c r="C2690" s="13"/>
      <c r="D2690" s="13"/>
      <c r="E2690" s="13"/>
      <c r="F2690" s="13"/>
      <c r="G2690" s="13"/>
      <c r="H2690" s="13"/>
      <c r="I2690" s="13"/>
      <c r="J2690" s="13"/>
      <c r="K2690" s="13"/>
      <c r="L2690" s="13"/>
      <c r="M2690" s="13"/>
      <c r="N2690" s="13"/>
    </row>
    <row r="2691" ht="15.75" hidden="1" customHeight="1">
      <c r="A2691" s="13"/>
      <c r="B2691" s="13"/>
      <c r="C2691" s="13"/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</row>
    <row r="2692" ht="15.75" hidden="1" customHeight="1">
      <c r="A2692" s="13"/>
      <c r="B2692" s="13"/>
      <c r="C2692" s="13"/>
      <c r="D2692" s="13"/>
      <c r="E2692" s="13"/>
      <c r="F2692" s="13"/>
      <c r="G2692" s="13"/>
      <c r="H2692" s="13"/>
      <c r="I2692" s="13"/>
      <c r="J2692" s="13"/>
      <c r="K2692" s="13"/>
      <c r="L2692" s="13"/>
      <c r="M2692" s="13"/>
      <c r="N2692" s="13"/>
    </row>
    <row r="2693" ht="15.75" hidden="1" customHeight="1">
      <c r="A2693" s="13"/>
      <c r="B2693" s="13"/>
      <c r="C2693" s="13"/>
      <c r="D2693" s="13"/>
      <c r="E2693" s="13"/>
      <c r="F2693" s="13"/>
      <c r="G2693" s="13"/>
      <c r="H2693" s="13"/>
      <c r="I2693" s="13"/>
      <c r="J2693" s="13"/>
      <c r="K2693" s="13"/>
      <c r="L2693" s="13"/>
      <c r="M2693" s="13"/>
      <c r="N2693" s="13"/>
    </row>
    <row r="2694" ht="15.75" hidden="1" customHeight="1">
      <c r="A2694" s="13"/>
      <c r="B2694" s="13"/>
      <c r="C2694" s="13"/>
      <c r="D2694" s="13"/>
      <c r="E2694" s="13"/>
      <c r="F2694" s="13"/>
      <c r="G2694" s="13"/>
      <c r="H2694" s="13"/>
      <c r="I2694" s="13"/>
      <c r="J2694" s="13"/>
      <c r="K2694" s="13"/>
      <c r="L2694" s="13"/>
      <c r="M2694" s="13"/>
      <c r="N2694" s="13"/>
    </row>
    <row r="2695" ht="15.75" hidden="1" customHeight="1">
      <c r="A2695" s="13"/>
      <c r="B2695" s="13"/>
      <c r="C2695" s="13"/>
      <c r="D2695" s="13"/>
      <c r="E2695" s="13"/>
      <c r="F2695" s="13"/>
      <c r="G2695" s="13"/>
      <c r="H2695" s="13"/>
      <c r="I2695" s="13"/>
      <c r="J2695" s="13"/>
      <c r="K2695" s="13"/>
      <c r="L2695" s="13"/>
      <c r="M2695" s="13"/>
      <c r="N2695" s="13"/>
    </row>
    <row r="2696" ht="15.75" hidden="1" customHeight="1">
      <c r="A2696" s="13"/>
      <c r="B2696" s="13"/>
      <c r="C2696" s="13"/>
      <c r="D2696" s="13"/>
      <c r="E2696" s="13"/>
      <c r="F2696" s="13"/>
      <c r="G2696" s="13"/>
      <c r="H2696" s="13"/>
      <c r="I2696" s="13"/>
      <c r="J2696" s="13"/>
      <c r="K2696" s="13"/>
      <c r="L2696" s="13"/>
      <c r="M2696" s="13"/>
      <c r="N2696" s="13"/>
    </row>
    <row r="2697" ht="15.75" hidden="1" customHeight="1">
      <c r="A2697" s="13"/>
      <c r="B2697" s="13"/>
      <c r="C2697" s="13"/>
      <c r="D2697" s="13"/>
      <c r="E2697" s="13"/>
      <c r="F2697" s="13"/>
      <c r="G2697" s="13"/>
      <c r="H2697" s="13"/>
      <c r="I2697" s="13"/>
      <c r="J2697" s="13"/>
      <c r="K2697" s="13"/>
      <c r="L2697" s="13"/>
      <c r="M2697" s="13"/>
      <c r="N2697" s="13"/>
    </row>
    <row r="2698" ht="15.75" hidden="1" customHeight="1">
      <c r="A2698" s="13"/>
      <c r="B2698" s="13"/>
      <c r="C2698" s="13"/>
      <c r="D2698" s="13"/>
      <c r="E2698" s="13"/>
      <c r="F2698" s="13"/>
      <c r="G2698" s="13"/>
      <c r="H2698" s="13"/>
      <c r="I2698" s="13"/>
      <c r="J2698" s="13"/>
      <c r="K2698" s="13"/>
      <c r="L2698" s="13"/>
      <c r="M2698" s="13"/>
      <c r="N2698" s="13"/>
    </row>
    <row r="2699" ht="15.75" hidden="1" customHeight="1">
      <c r="A2699" s="13"/>
      <c r="B2699" s="13"/>
      <c r="C2699" s="13"/>
      <c r="D2699" s="13"/>
      <c r="E2699" s="13"/>
      <c r="F2699" s="13"/>
      <c r="G2699" s="13"/>
      <c r="H2699" s="13"/>
      <c r="I2699" s="13"/>
      <c r="J2699" s="13"/>
      <c r="K2699" s="13"/>
      <c r="L2699" s="13"/>
      <c r="M2699" s="13"/>
      <c r="N2699" s="13"/>
    </row>
    <row r="2700" ht="15.75" hidden="1" customHeight="1">
      <c r="A2700" s="13"/>
      <c r="B2700" s="13"/>
      <c r="C2700" s="13"/>
      <c r="D2700" s="13"/>
      <c r="E2700" s="13"/>
      <c r="F2700" s="13"/>
      <c r="G2700" s="13"/>
      <c r="H2700" s="13"/>
      <c r="I2700" s="13"/>
      <c r="J2700" s="13"/>
      <c r="K2700" s="13"/>
      <c r="L2700" s="13"/>
      <c r="M2700" s="13"/>
      <c r="N2700" s="13"/>
    </row>
    <row r="2701" ht="15.75" hidden="1" customHeight="1">
      <c r="A2701" s="13"/>
      <c r="B2701" s="13"/>
      <c r="C2701" s="13"/>
      <c r="D2701" s="13"/>
      <c r="E2701" s="13"/>
      <c r="F2701" s="13"/>
      <c r="G2701" s="13"/>
      <c r="H2701" s="13"/>
      <c r="I2701" s="13"/>
      <c r="J2701" s="13"/>
      <c r="K2701" s="13"/>
      <c r="L2701" s="13"/>
      <c r="M2701" s="13"/>
      <c r="N2701" s="13"/>
    </row>
    <row r="2702" ht="15.75" hidden="1" customHeight="1">
      <c r="A2702" s="13"/>
      <c r="B2702" s="13"/>
      <c r="C2702" s="13"/>
      <c r="D2702" s="13"/>
      <c r="E2702" s="13"/>
      <c r="F2702" s="13"/>
      <c r="G2702" s="13"/>
      <c r="H2702" s="13"/>
      <c r="I2702" s="13"/>
      <c r="J2702" s="13"/>
      <c r="K2702" s="13"/>
      <c r="L2702" s="13"/>
      <c r="M2702" s="13"/>
      <c r="N2702" s="13"/>
    </row>
    <row r="2703" ht="15.75" hidden="1" customHeight="1">
      <c r="A2703" s="13"/>
      <c r="B2703" s="13"/>
      <c r="C2703" s="13"/>
      <c r="D2703" s="13"/>
      <c r="E2703" s="13"/>
      <c r="F2703" s="13"/>
      <c r="G2703" s="13"/>
      <c r="H2703" s="13"/>
      <c r="I2703" s="13"/>
      <c r="J2703" s="13"/>
      <c r="K2703" s="13"/>
      <c r="L2703" s="13"/>
      <c r="M2703" s="13"/>
      <c r="N2703" s="13"/>
    </row>
    <row r="2704" ht="15.75" hidden="1" customHeight="1">
      <c r="A2704" s="13"/>
      <c r="B2704" s="13"/>
      <c r="C2704" s="13"/>
      <c r="D2704" s="13"/>
      <c r="E2704" s="13"/>
      <c r="F2704" s="13"/>
      <c r="G2704" s="13"/>
      <c r="H2704" s="13"/>
      <c r="I2704" s="13"/>
      <c r="J2704" s="13"/>
      <c r="K2704" s="13"/>
      <c r="L2704" s="13"/>
      <c r="M2704" s="13"/>
      <c r="N2704" s="13"/>
    </row>
    <row r="2705" ht="15.75" hidden="1" customHeight="1">
      <c r="A2705" s="13"/>
      <c r="B2705" s="13"/>
      <c r="C2705" s="13"/>
      <c r="D2705" s="13"/>
      <c r="E2705" s="13"/>
      <c r="F2705" s="13"/>
      <c r="G2705" s="13"/>
      <c r="H2705" s="13"/>
      <c r="I2705" s="13"/>
      <c r="J2705" s="13"/>
      <c r="K2705" s="13"/>
      <c r="L2705" s="13"/>
      <c r="M2705" s="13"/>
      <c r="N2705" s="13"/>
    </row>
    <row r="2706" ht="15.75" hidden="1" customHeight="1">
      <c r="A2706" s="13"/>
      <c r="B2706" s="13"/>
      <c r="C2706" s="13"/>
      <c r="D2706" s="13"/>
      <c r="E2706" s="13"/>
      <c r="F2706" s="13"/>
      <c r="G2706" s="13"/>
      <c r="H2706" s="13"/>
      <c r="I2706" s="13"/>
      <c r="J2706" s="13"/>
      <c r="K2706" s="13"/>
      <c r="L2706" s="13"/>
      <c r="M2706" s="13"/>
      <c r="N2706" s="13"/>
    </row>
    <row r="2707" ht="15.75" hidden="1" customHeight="1">
      <c r="A2707" s="13"/>
      <c r="B2707" s="13"/>
      <c r="C2707" s="13"/>
      <c r="D2707" s="13"/>
      <c r="E2707" s="13"/>
      <c r="F2707" s="13"/>
      <c r="G2707" s="13"/>
      <c r="H2707" s="13"/>
      <c r="I2707" s="13"/>
      <c r="J2707" s="13"/>
      <c r="K2707" s="13"/>
      <c r="L2707" s="13"/>
      <c r="M2707" s="13"/>
      <c r="N2707" s="13"/>
    </row>
    <row r="2708" ht="15.75" hidden="1" customHeight="1">
      <c r="A2708" s="13"/>
      <c r="B2708" s="13"/>
      <c r="C2708" s="13"/>
      <c r="D2708" s="13"/>
      <c r="E2708" s="13"/>
      <c r="F2708" s="13"/>
      <c r="G2708" s="13"/>
      <c r="H2708" s="13"/>
      <c r="I2708" s="13"/>
      <c r="J2708" s="13"/>
      <c r="K2708" s="13"/>
      <c r="L2708" s="13"/>
      <c r="M2708" s="13"/>
      <c r="N2708" s="13"/>
    </row>
    <row r="2709" ht="15.75" hidden="1" customHeight="1">
      <c r="A2709" s="13"/>
      <c r="B2709" s="13"/>
      <c r="C2709" s="13"/>
      <c r="D2709" s="13"/>
      <c r="E2709" s="13"/>
      <c r="F2709" s="13"/>
      <c r="G2709" s="13"/>
      <c r="H2709" s="13"/>
      <c r="I2709" s="13"/>
      <c r="J2709" s="13"/>
      <c r="K2709" s="13"/>
      <c r="L2709" s="13"/>
      <c r="M2709" s="13"/>
      <c r="N2709" s="13"/>
    </row>
    <row r="2710" ht="15.75" hidden="1" customHeight="1">
      <c r="A2710" s="13"/>
      <c r="B2710" s="13"/>
      <c r="C2710" s="13"/>
      <c r="D2710" s="13"/>
      <c r="E2710" s="13"/>
      <c r="F2710" s="13"/>
      <c r="G2710" s="13"/>
      <c r="H2710" s="13"/>
      <c r="I2710" s="13"/>
      <c r="J2710" s="13"/>
      <c r="K2710" s="13"/>
      <c r="L2710" s="13"/>
      <c r="M2710" s="13"/>
      <c r="N2710" s="13"/>
    </row>
    <row r="2711" ht="15.75" hidden="1" customHeight="1">
      <c r="A2711" s="13"/>
      <c r="B2711" s="13"/>
      <c r="C2711" s="13"/>
      <c r="D2711" s="13"/>
      <c r="E2711" s="13"/>
      <c r="F2711" s="13"/>
      <c r="G2711" s="13"/>
      <c r="H2711" s="13"/>
      <c r="I2711" s="13"/>
      <c r="J2711" s="13"/>
      <c r="K2711" s="13"/>
      <c r="L2711" s="13"/>
      <c r="M2711" s="13"/>
      <c r="N2711" s="13"/>
    </row>
    <row r="2712" ht="15.75" hidden="1" customHeight="1">
      <c r="A2712" s="13"/>
      <c r="B2712" s="13"/>
      <c r="C2712" s="13"/>
      <c r="D2712" s="13"/>
      <c r="E2712" s="13"/>
      <c r="F2712" s="13"/>
      <c r="G2712" s="13"/>
      <c r="H2712" s="13"/>
      <c r="I2712" s="13"/>
      <c r="J2712" s="13"/>
      <c r="K2712" s="13"/>
      <c r="L2712" s="13"/>
      <c r="M2712" s="13"/>
      <c r="N2712" s="13"/>
    </row>
    <row r="2713" ht="15.75" hidden="1" customHeight="1">
      <c r="A2713" s="13"/>
      <c r="B2713" s="13"/>
      <c r="C2713" s="13"/>
      <c r="D2713" s="13"/>
      <c r="E2713" s="13"/>
      <c r="F2713" s="13"/>
      <c r="G2713" s="13"/>
      <c r="H2713" s="13"/>
      <c r="I2713" s="13"/>
      <c r="J2713" s="13"/>
      <c r="K2713" s="13"/>
      <c r="L2713" s="13"/>
      <c r="M2713" s="13"/>
      <c r="N2713" s="13"/>
    </row>
    <row r="2714" ht="15.75" hidden="1" customHeight="1">
      <c r="A2714" s="13"/>
      <c r="B2714" s="13"/>
      <c r="C2714" s="13"/>
      <c r="D2714" s="13"/>
      <c r="E2714" s="13"/>
      <c r="F2714" s="13"/>
      <c r="G2714" s="13"/>
      <c r="H2714" s="13"/>
      <c r="I2714" s="13"/>
      <c r="J2714" s="13"/>
      <c r="K2714" s="13"/>
      <c r="L2714" s="13"/>
      <c r="M2714" s="13"/>
      <c r="N2714" s="13"/>
    </row>
    <row r="2715" ht="15.75" hidden="1" customHeight="1">
      <c r="A2715" s="13"/>
      <c r="B2715" s="13"/>
      <c r="C2715" s="13"/>
      <c r="D2715" s="13"/>
      <c r="E2715" s="13"/>
      <c r="F2715" s="13"/>
      <c r="G2715" s="13"/>
      <c r="H2715" s="13"/>
      <c r="I2715" s="13"/>
      <c r="J2715" s="13"/>
      <c r="K2715" s="13"/>
      <c r="L2715" s="13"/>
      <c r="M2715" s="13"/>
      <c r="N2715" s="13"/>
    </row>
    <row r="2716" ht="15.75" hidden="1" customHeight="1">
      <c r="A2716" s="13"/>
      <c r="B2716" s="13"/>
      <c r="C2716" s="13"/>
      <c r="D2716" s="13"/>
      <c r="E2716" s="13"/>
      <c r="F2716" s="13"/>
      <c r="G2716" s="13"/>
      <c r="H2716" s="13"/>
      <c r="I2716" s="13"/>
      <c r="J2716" s="13"/>
      <c r="K2716" s="13"/>
      <c r="L2716" s="13"/>
      <c r="M2716" s="13"/>
      <c r="N2716" s="13"/>
    </row>
    <row r="2717" ht="15.75" hidden="1" customHeight="1">
      <c r="A2717" s="13"/>
      <c r="B2717" s="13"/>
      <c r="C2717" s="13"/>
      <c r="D2717" s="13"/>
      <c r="E2717" s="13"/>
      <c r="F2717" s="13"/>
      <c r="G2717" s="13"/>
      <c r="H2717" s="13"/>
      <c r="I2717" s="13"/>
      <c r="J2717" s="13"/>
      <c r="K2717" s="13"/>
      <c r="L2717" s="13"/>
      <c r="M2717" s="13"/>
      <c r="N2717" s="13"/>
    </row>
    <row r="2718" ht="15.75" hidden="1" customHeight="1">
      <c r="A2718" s="13"/>
      <c r="B2718" s="13"/>
      <c r="C2718" s="13"/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</row>
    <row r="2719" ht="15.75" hidden="1" customHeight="1">
      <c r="A2719" s="13"/>
      <c r="B2719" s="13"/>
      <c r="C2719" s="13"/>
      <c r="D2719" s="13"/>
      <c r="E2719" s="13"/>
      <c r="F2719" s="13"/>
      <c r="G2719" s="13"/>
      <c r="H2719" s="13"/>
      <c r="I2719" s="13"/>
      <c r="J2719" s="13"/>
      <c r="K2719" s="13"/>
      <c r="L2719" s="13"/>
      <c r="M2719" s="13"/>
      <c r="N2719" s="13"/>
    </row>
    <row r="2720" ht="15.75" hidden="1" customHeight="1">
      <c r="A2720" s="13"/>
      <c r="B2720" s="13"/>
      <c r="C2720" s="13"/>
      <c r="D2720" s="13"/>
      <c r="E2720" s="13"/>
      <c r="F2720" s="13"/>
      <c r="G2720" s="13"/>
      <c r="H2720" s="13"/>
      <c r="I2720" s="13"/>
      <c r="J2720" s="13"/>
      <c r="K2720" s="13"/>
      <c r="L2720" s="13"/>
      <c r="M2720" s="13"/>
      <c r="N2720" s="13"/>
    </row>
    <row r="2721" ht="15.75" hidden="1" customHeight="1">
      <c r="A2721" s="13"/>
      <c r="B2721" s="13"/>
      <c r="C2721" s="13"/>
      <c r="D2721" s="13"/>
      <c r="E2721" s="13"/>
      <c r="F2721" s="13"/>
      <c r="G2721" s="13"/>
      <c r="H2721" s="13"/>
      <c r="I2721" s="13"/>
      <c r="J2721" s="13"/>
      <c r="K2721" s="13"/>
      <c r="L2721" s="13"/>
      <c r="M2721" s="13"/>
      <c r="N2721" s="13"/>
    </row>
    <row r="2722" ht="15.75" hidden="1" customHeight="1">
      <c r="A2722" s="13"/>
      <c r="B2722" s="13"/>
      <c r="C2722" s="13"/>
      <c r="D2722" s="13"/>
      <c r="E2722" s="13"/>
      <c r="F2722" s="13"/>
      <c r="G2722" s="13"/>
      <c r="H2722" s="13"/>
      <c r="I2722" s="13"/>
      <c r="J2722" s="13"/>
      <c r="K2722" s="13"/>
      <c r="L2722" s="13"/>
      <c r="M2722" s="13"/>
      <c r="N2722" s="13"/>
    </row>
    <row r="2723" ht="15.75" hidden="1" customHeight="1">
      <c r="A2723" s="13"/>
      <c r="B2723" s="13"/>
      <c r="C2723" s="13"/>
      <c r="D2723" s="13"/>
      <c r="E2723" s="13"/>
      <c r="F2723" s="13"/>
      <c r="G2723" s="13"/>
      <c r="H2723" s="13"/>
      <c r="I2723" s="13"/>
      <c r="J2723" s="13"/>
      <c r="K2723" s="13"/>
      <c r="L2723" s="13"/>
      <c r="M2723" s="13"/>
      <c r="N2723" s="13"/>
    </row>
    <row r="2724" ht="15.75" hidden="1" customHeight="1">
      <c r="A2724" s="13"/>
      <c r="B2724" s="13"/>
      <c r="C2724" s="13"/>
      <c r="D2724" s="13"/>
      <c r="E2724" s="13"/>
      <c r="F2724" s="13"/>
      <c r="G2724" s="13"/>
      <c r="H2724" s="13"/>
      <c r="I2724" s="13"/>
      <c r="J2724" s="13"/>
      <c r="K2724" s="13"/>
      <c r="L2724" s="13"/>
      <c r="M2724" s="13"/>
      <c r="N2724" s="13"/>
    </row>
    <row r="2725" ht="15.75" hidden="1" customHeight="1">
      <c r="A2725" s="13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13"/>
    </row>
    <row r="2726" ht="15.75" hidden="1" customHeight="1">
      <c r="A2726" s="13"/>
      <c r="B2726" s="13"/>
      <c r="C2726" s="13"/>
      <c r="D2726" s="13"/>
      <c r="E2726" s="13"/>
      <c r="F2726" s="13"/>
      <c r="G2726" s="13"/>
      <c r="H2726" s="13"/>
      <c r="I2726" s="13"/>
      <c r="J2726" s="13"/>
      <c r="K2726" s="13"/>
      <c r="L2726" s="13"/>
      <c r="M2726" s="13"/>
      <c r="N2726" s="13"/>
    </row>
    <row r="2727" ht="15.75" hidden="1" customHeight="1">
      <c r="A2727" s="13"/>
      <c r="B2727" s="13"/>
      <c r="C2727" s="13"/>
      <c r="D2727" s="13"/>
      <c r="E2727" s="13"/>
      <c r="F2727" s="13"/>
      <c r="G2727" s="13"/>
      <c r="H2727" s="13"/>
      <c r="I2727" s="13"/>
      <c r="J2727" s="13"/>
      <c r="K2727" s="13"/>
      <c r="L2727" s="13"/>
      <c r="M2727" s="13"/>
      <c r="N2727" s="13"/>
    </row>
    <row r="2728" ht="15.75" hidden="1" customHeight="1">
      <c r="A2728" s="13"/>
      <c r="B2728" s="13"/>
      <c r="C2728" s="13"/>
      <c r="D2728" s="13"/>
      <c r="E2728" s="13"/>
      <c r="F2728" s="13"/>
      <c r="G2728" s="13"/>
      <c r="H2728" s="13"/>
      <c r="I2728" s="13"/>
      <c r="J2728" s="13"/>
      <c r="K2728" s="13"/>
      <c r="L2728" s="13"/>
      <c r="M2728" s="13"/>
      <c r="N2728" s="13"/>
    </row>
    <row r="2729" ht="15.75" hidden="1" customHeight="1">
      <c r="A2729" s="13"/>
      <c r="B2729" s="13"/>
      <c r="C2729" s="13"/>
      <c r="D2729" s="13"/>
      <c r="E2729" s="13"/>
      <c r="F2729" s="13"/>
      <c r="G2729" s="13"/>
      <c r="H2729" s="13"/>
      <c r="I2729" s="13"/>
      <c r="J2729" s="13"/>
      <c r="K2729" s="13"/>
      <c r="L2729" s="13"/>
      <c r="M2729" s="13"/>
      <c r="N2729" s="13"/>
    </row>
    <row r="2730" ht="15.75" hidden="1" customHeight="1">
      <c r="A2730" s="13"/>
      <c r="B2730" s="13"/>
      <c r="C2730" s="13"/>
      <c r="D2730" s="13"/>
      <c r="E2730" s="13"/>
      <c r="F2730" s="13"/>
      <c r="G2730" s="13"/>
      <c r="H2730" s="13"/>
      <c r="I2730" s="13"/>
      <c r="J2730" s="13"/>
      <c r="K2730" s="13"/>
      <c r="L2730" s="13"/>
      <c r="M2730" s="13"/>
      <c r="N2730" s="13"/>
    </row>
    <row r="2731" ht="15.75" hidden="1" customHeight="1">
      <c r="A2731" s="13"/>
      <c r="B2731" s="13"/>
      <c r="C2731" s="13"/>
      <c r="D2731" s="13"/>
      <c r="E2731" s="13"/>
      <c r="F2731" s="13"/>
      <c r="G2731" s="13"/>
      <c r="H2731" s="13"/>
      <c r="I2731" s="13"/>
      <c r="J2731" s="13"/>
      <c r="K2731" s="13"/>
      <c r="L2731" s="13"/>
      <c r="M2731" s="13"/>
      <c r="N2731" s="13"/>
    </row>
    <row r="2732" ht="15.75" hidden="1" customHeight="1">
      <c r="A2732" s="13"/>
      <c r="B2732" s="13"/>
      <c r="C2732" s="13"/>
      <c r="D2732" s="13"/>
      <c r="E2732" s="13"/>
      <c r="F2732" s="13"/>
      <c r="G2732" s="13"/>
      <c r="H2732" s="13"/>
      <c r="I2732" s="13"/>
      <c r="J2732" s="13"/>
      <c r="K2732" s="13"/>
      <c r="L2732" s="13"/>
      <c r="M2732" s="13"/>
      <c r="N2732" s="13"/>
    </row>
    <row r="2733" ht="15.75" hidden="1" customHeight="1">
      <c r="A2733" s="13"/>
      <c r="B2733" s="13"/>
      <c r="C2733" s="13"/>
      <c r="D2733" s="13"/>
      <c r="E2733" s="13"/>
      <c r="F2733" s="13"/>
      <c r="G2733" s="13"/>
      <c r="H2733" s="13"/>
      <c r="I2733" s="13"/>
      <c r="J2733" s="13"/>
      <c r="K2733" s="13"/>
      <c r="L2733" s="13"/>
      <c r="M2733" s="13"/>
      <c r="N2733" s="13"/>
    </row>
    <row r="2734" ht="15.75" hidden="1" customHeight="1">
      <c r="A2734" s="13"/>
      <c r="B2734" s="13"/>
      <c r="C2734" s="13"/>
      <c r="D2734" s="13"/>
      <c r="E2734" s="13"/>
      <c r="F2734" s="13"/>
      <c r="G2734" s="13"/>
      <c r="H2734" s="13"/>
      <c r="I2734" s="13"/>
      <c r="J2734" s="13"/>
      <c r="K2734" s="13"/>
      <c r="L2734" s="13"/>
      <c r="M2734" s="13"/>
      <c r="N2734" s="13"/>
    </row>
    <row r="2735" ht="15.75" hidden="1" customHeight="1">
      <c r="A2735" s="13"/>
      <c r="B2735" s="13"/>
      <c r="C2735" s="13"/>
      <c r="D2735" s="13"/>
      <c r="E2735" s="13"/>
      <c r="F2735" s="13"/>
      <c r="G2735" s="13"/>
      <c r="H2735" s="13"/>
      <c r="I2735" s="13"/>
      <c r="J2735" s="13"/>
      <c r="K2735" s="13"/>
      <c r="L2735" s="13"/>
      <c r="M2735" s="13"/>
      <c r="N2735" s="13"/>
    </row>
    <row r="2736" ht="15.75" hidden="1" customHeight="1">
      <c r="A2736" s="13"/>
      <c r="B2736" s="13"/>
      <c r="C2736" s="13"/>
      <c r="D2736" s="13"/>
      <c r="E2736" s="13"/>
      <c r="F2736" s="13"/>
      <c r="G2736" s="13"/>
      <c r="H2736" s="13"/>
      <c r="I2736" s="13"/>
      <c r="J2736" s="13"/>
      <c r="K2736" s="13"/>
      <c r="L2736" s="13"/>
      <c r="M2736" s="13"/>
      <c r="N2736" s="13"/>
    </row>
    <row r="2737" ht="15.75" hidden="1" customHeight="1">
      <c r="A2737" s="13"/>
      <c r="B2737" s="13"/>
      <c r="C2737" s="13"/>
      <c r="D2737" s="13"/>
      <c r="E2737" s="13"/>
      <c r="F2737" s="13"/>
      <c r="G2737" s="13"/>
      <c r="H2737" s="13"/>
      <c r="I2737" s="13"/>
      <c r="J2737" s="13"/>
      <c r="K2737" s="13"/>
      <c r="L2737" s="13"/>
      <c r="M2737" s="13"/>
      <c r="N2737" s="13"/>
    </row>
    <row r="2738" ht="15.75" hidden="1" customHeight="1">
      <c r="A2738" s="13"/>
      <c r="B2738" s="13"/>
      <c r="C2738" s="13"/>
      <c r="D2738" s="13"/>
      <c r="E2738" s="13"/>
      <c r="F2738" s="13"/>
      <c r="G2738" s="13"/>
      <c r="H2738" s="13"/>
      <c r="I2738" s="13"/>
      <c r="J2738" s="13"/>
      <c r="K2738" s="13"/>
      <c r="L2738" s="13"/>
      <c r="M2738" s="13"/>
      <c r="N2738" s="13"/>
    </row>
    <row r="2739" ht="15.75" hidden="1" customHeight="1">
      <c r="A2739" s="13"/>
      <c r="B2739" s="13"/>
      <c r="C2739" s="13"/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</row>
    <row r="2740" ht="15.75" hidden="1" customHeight="1">
      <c r="A2740" s="13"/>
      <c r="B2740" s="13"/>
      <c r="C2740" s="13"/>
      <c r="D2740" s="13"/>
      <c r="E2740" s="13"/>
      <c r="F2740" s="13"/>
      <c r="G2740" s="13"/>
      <c r="H2740" s="13"/>
      <c r="I2740" s="13"/>
      <c r="J2740" s="13"/>
      <c r="K2740" s="13"/>
      <c r="L2740" s="13"/>
      <c r="M2740" s="13"/>
      <c r="N2740" s="13"/>
    </row>
    <row r="2741" ht="15.75" hidden="1" customHeight="1">
      <c r="A2741" s="13"/>
      <c r="B2741" s="13"/>
      <c r="C2741" s="13"/>
      <c r="D2741" s="13"/>
      <c r="E2741" s="13"/>
      <c r="F2741" s="13"/>
      <c r="G2741" s="13"/>
      <c r="H2741" s="13"/>
      <c r="I2741" s="13"/>
      <c r="J2741" s="13"/>
      <c r="K2741" s="13"/>
      <c r="L2741" s="13"/>
      <c r="M2741" s="13"/>
      <c r="N2741" s="13"/>
    </row>
    <row r="2742" ht="15.75" hidden="1" customHeight="1">
      <c r="A2742" s="13"/>
      <c r="B2742" s="13"/>
      <c r="C2742" s="13"/>
      <c r="D2742" s="13"/>
      <c r="E2742" s="13"/>
      <c r="F2742" s="13"/>
      <c r="G2742" s="13"/>
      <c r="H2742" s="13"/>
      <c r="I2742" s="13"/>
      <c r="J2742" s="13"/>
      <c r="K2742" s="13"/>
      <c r="L2742" s="13"/>
      <c r="M2742" s="13"/>
      <c r="N2742" s="13"/>
    </row>
    <row r="2743" ht="15.75" hidden="1" customHeight="1">
      <c r="A2743" s="13"/>
      <c r="B2743" s="13"/>
      <c r="C2743" s="13"/>
      <c r="D2743" s="13"/>
      <c r="E2743" s="13"/>
      <c r="F2743" s="13"/>
      <c r="G2743" s="13"/>
      <c r="H2743" s="13"/>
      <c r="I2743" s="13"/>
      <c r="J2743" s="13"/>
      <c r="K2743" s="13"/>
      <c r="L2743" s="13"/>
      <c r="M2743" s="13"/>
      <c r="N2743" s="13"/>
    </row>
    <row r="2744" ht="15.75" hidden="1" customHeight="1">
      <c r="A2744" s="13"/>
      <c r="B2744" s="13"/>
      <c r="C2744" s="13"/>
      <c r="D2744" s="13"/>
      <c r="E2744" s="13"/>
      <c r="F2744" s="13"/>
      <c r="G2744" s="13"/>
      <c r="H2744" s="13"/>
      <c r="I2744" s="13"/>
      <c r="J2744" s="13"/>
      <c r="K2744" s="13"/>
      <c r="L2744" s="13"/>
      <c r="M2744" s="13"/>
      <c r="N2744" s="13"/>
    </row>
    <row r="2745" ht="15.75" hidden="1" customHeight="1">
      <c r="A2745" s="13"/>
      <c r="B2745" s="13"/>
      <c r="C2745" s="13"/>
      <c r="D2745" s="13"/>
      <c r="E2745" s="13"/>
      <c r="F2745" s="13"/>
      <c r="G2745" s="13"/>
      <c r="H2745" s="13"/>
      <c r="I2745" s="13"/>
      <c r="J2745" s="13"/>
      <c r="K2745" s="13"/>
      <c r="L2745" s="13"/>
      <c r="M2745" s="13"/>
      <c r="N2745" s="13"/>
    </row>
    <row r="2746" ht="15.75" hidden="1" customHeight="1">
      <c r="A2746" s="13"/>
      <c r="B2746" s="13"/>
      <c r="C2746" s="13"/>
      <c r="D2746" s="13"/>
      <c r="E2746" s="13"/>
      <c r="F2746" s="13"/>
      <c r="G2746" s="13"/>
      <c r="H2746" s="13"/>
      <c r="I2746" s="13"/>
      <c r="J2746" s="13"/>
      <c r="K2746" s="13"/>
      <c r="L2746" s="13"/>
      <c r="M2746" s="13"/>
      <c r="N2746" s="13"/>
    </row>
    <row r="2747" ht="15.75" hidden="1" customHeight="1">
      <c r="A2747" s="13"/>
      <c r="B2747" s="13"/>
      <c r="C2747" s="13"/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</row>
    <row r="2748" ht="15.75" hidden="1" customHeight="1">
      <c r="A2748" s="13"/>
      <c r="B2748" s="13"/>
      <c r="C2748" s="13"/>
      <c r="D2748" s="13"/>
      <c r="E2748" s="13"/>
      <c r="F2748" s="13"/>
      <c r="G2748" s="13"/>
      <c r="H2748" s="13"/>
      <c r="I2748" s="13"/>
      <c r="J2748" s="13"/>
      <c r="K2748" s="13"/>
      <c r="L2748" s="13"/>
      <c r="M2748" s="13"/>
      <c r="N2748" s="13"/>
    </row>
    <row r="2749" ht="15.75" hidden="1" customHeight="1">
      <c r="A2749" s="13"/>
      <c r="B2749" s="13"/>
      <c r="C2749" s="13"/>
      <c r="D2749" s="13"/>
      <c r="E2749" s="13"/>
      <c r="F2749" s="13"/>
      <c r="G2749" s="13"/>
      <c r="H2749" s="13"/>
      <c r="I2749" s="13"/>
      <c r="J2749" s="13"/>
      <c r="K2749" s="13"/>
      <c r="L2749" s="13"/>
      <c r="M2749" s="13"/>
      <c r="N2749" s="13"/>
    </row>
    <row r="2750" ht="15.75" hidden="1" customHeight="1">
      <c r="A2750" s="13"/>
      <c r="B2750" s="13"/>
      <c r="C2750" s="13"/>
      <c r="D2750" s="13"/>
      <c r="E2750" s="13"/>
      <c r="F2750" s="13"/>
      <c r="G2750" s="13"/>
      <c r="H2750" s="13"/>
      <c r="I2750" s="13"/>
      <c r="J2750" s="13"/>
      <c r="K2750" s="13"/>
      <c r="L2750" s="13"/>
      <c r="M2750" s="13"/>
      <c r="N2750" s="13"/>
    </row>
    <row r="2751" ht="15.75" hidden="1" customHeight="1">
      <c r="A2751" s="13"/>
      <c r="B2751" s="13"/>
      <c r="C2751" s="13"/>
      <c r="D2751" s="13"/>
      <c r="E2751" s="13"/>
      <c r="F2751" s="13"/>
      <c r="G2751" s="13"/>
      <c r="H2751" s="13"/>
      <c r="I2751" s="13"/>
      <c r="J2751" s="13"/>
      <c r="K2751" s="13"/>
      <c r="L2751" s="13"/>
      <c r="M2751" s="13"/>
      <c r="N2751" s="13"/>
    </row>
    <row r="2752" ht="15.75" hidden="1" customHeight="1">
      <c r="A2752" s="13"/>
      <c r="B2752" s="13"/>
      <c r="C2752" s="13"/>
      <c r="D2752" s="13"/>
      <c r="E2752" s="13"/>
      <c r="F2752" s="13"/>
      <c r="G2752" s="13"/>
      <c r="H2752" s="13"/>
      <c r="I2752" s="13"/>
      <c r="J2752" s="13"/>
      <c r="K2752" s="13"/>
      <c r="L2752" s="13"/>
      <c r="M2752" s="13"/>
      <c r="N2752" s="13"/>
    </row>
    <row r="2753" ht="15.75" hidden="1" customHeight="1">
      <c r="A2753" s="13"/>
      <c r="B2753" s="13"/>
      <c r="C2753" s="13"/>
      <c r="D2753" s="13"/>
      <c r="E2753" s="13"/>
      <c r="F2753" s="13"/>
      <c r="G2753" s="13"/>
      <c r="H2753" s="13"/>
      <c r="I2753" s="13"/>
      <c r="J2753" s="13"/>
      <c r="K2753" s="13"/>
      <c r="L2753" s="13"/>
      <c r="M2753" s="13"/>
      <c r="N2753" s="13"/>
    </row>
    <row r="2754" ht="15.75" hidden="1" customHeight="1">
      <c r="A2754" s="13"/>
      <c r="B2754" s="13"/>
      <c r="C2754" s="13"/>
      <c r="D2754" s="13"/>
      <c r="E2754" s="13"/>
      <c r="F2754" s="13"/>
      <c r="G2754" s="13"/>
      <c r="H2754" s="13"/>
      <c r="I2754" s="13"/>
      <c r="J2754" s="13"/>
      <c r="K2754" s="13"/>
      <c r="L2754" s="13"/>
      <c r="M2754" s="13"/>
      <c r="N2754" s="13"/>
    </row>
    <row r="2755" ht="15.75" hidden="1" customHeight="1">
      <c r="A2755" s="13"/>
      <c r="B2755" s="13"/>
      <c r="C2755" s="13"/>
      <c r="D2755" s="13"/>
      <c r="E2755" s="13"/>
      <c r="F2755" s="13"/>
      <c r="G2755" s="13"/>
      <c r="H2755" s="13"/>
      <c r="I2755" s="13"/>
      <c r="J2755" s="13"/>
      <c r="K2755" s="13"/>
      <c r="L2755" s="13"/>
      <c r="M2755" s="13"/>
      <c r="N2755" s="13"/>
    </row>
    <row r="2756" ht="15.75" hidden="1" customHeight="1">
      <c r="A2756" s="13"/>
      <c r="B2756" s="13"/>
      <c r="C2756" s="13"/>
      <c r="D2756" s="13"/>
      <c r="E2756" s="13"/>
      <c r="F2756" s="13"/>
      <c r="G2756" s="13"/>
      <c r="H2756" s="13"/>
      <c r="I2756" s="13"/>
      <c r="J2756" s="13"/>
      <c r="K2756" s="13"/>
      <c r="L2756" s="13"/>
      <c r="M2756" s="13"/>
      <c r="N2756" s="13"/>
    </row>
    <row r="2757" ht="15.75" hidden="1" customHeight="1">
      <c r="A2757" s="13"/>
      <c r="B2757" s="13"/>
      <c r="C2757" s="13"/>
      <c r="D2757" s="13"/>
      <c r="E2757" s="13"/>
      <c r="F2757" s="13"/>
      <c r="G2757" s="13"/>
      <c r="H2757" s="13"/>
      <c r="I2757" s="13"/>
      <c r="J2757" s="13"/>
      <c r="K2757" s="13"/>
      <c r="L2757" s="13"/>
      <c r="M2757" s="13"/>
      <c r="N2757" s="13"/>
    </row>
    <row r="2758" ht="15.75" hidden="1" customHeight="1">
      <c r="A2758" s="13"/>
      <c r="B2758" s="13"/>
      <c r="C2758" s="13"/>
      <c r="D2758" s="13"/>
      <c r="E2758" s="13"/>
      <c r="F2758" s="13"/>
      <c r="G2758" s="13"/>
      <c r="H2758" s="13"/>
      <c r="I2758" s="13"/>
      <c r="J2758" s="13"/>
      <c r="K2758" s="13"/>
      <c r="L2758" s="13"/>
      <c r="M2758" s="13"/>
      <c r="N2758" s="13"/>
    </row>
    <row r="2759" ht="15.75" hidden="1" customHeight="1">
      <c r="A2759" s="13"/>
      <c r="B2759" s="13"/>
      <c r="C2759" s="13"/>
      <c r="D2759" s="13"/>
      <c r="E2759" s="13"/>
      <c r="F2759" s="13"/>
      <c r="G2759" s="13"/>
      <c r="H2759" s="13"/>
      <c r="I2759" s="13"/>
      <c r="J2759" s="13"/>
      <c r="K2759" s="13"/>
      <c r="L2759" s="13"/>
      <c r="M2759" s="13"/>
      <c r="N2759" s="13"/>
    </row>
    <row r="2760" ht="15.75" hidden="1" customHeight="1">
      <c r="A2760" s="13"/>
      <c r="B2760" s="13"/>
      <c r="C2760" s="13"/>
      <c r="D2760" s="13"/>
      <c r="E2760" s="13"/>
      <c r="F2760" s="13"/>
      <c r="G2760" s="13"/>
      <c r="H2760" s="13"/>
      <c r="I2760" s="13"/>
      <c r="J2760" s="13"/>
      <c r="K2760" s="13"/>
      <c r="L2760" s="13"/>
      <c r="M2760" s="13"/>
      <c r="N2760" s="13"/>
    </row>
    <row r="2761" ht="15.75" hidden="1" customHeight="1">
      <c r="A2761" s="13"/>
      <c r="B2761" s="13"/>
      <c r="C2761" s="13"/>
      <c r="D2761" s="13"/>
      <c r="E2761" s="13"/>
      <c r="F2761" s="13"/>
      <c r="G2761" s="13"/>
      <c r="H2761" s="13"/>
      <c r="I2761" s="13"/>
      <c r="J2761" s="13"/>
      <c r="K2761" s="13"/>
      <c r="L2761" s="13"/>
      <c r="M2761" s="13"/>
      <c r="N2761" s="13"/>
    </row>
    <row r="2762" ht="15.75" hidden="1" customHeight="1">
      <c r="A2762" s="13"/>
      <c r="B2762" s="13"/>
      <c r="C2762" s="13"/>
      <c r="D2762" s="13"/>
      <c r="E2762" s="13"/>
      <c r="F2762" s="13"/>
      <c r="G2762" s="13"/>
      <c r="H2762" s="13"/>
      <c r="I2762" s="13"/>
      <c r="J2762" s="13"/>
      <c r="K2762" s="13"/>
      <c r="L2762" s="13"/>
      <c r="M2762" s="13"/>
      <c r="N2762" s="13"/>
    </row>
    <row r="2763" ht="15.75" hidden="1" customHeight="1">
      <c r="A2763" s="13"/>
      <c r="B2763" s="13"/>
      <c r="C2763" s="13"/>
      <c r="D2763" s="13"/>
      <c r="E2763" s="13"/>
      <c r="F2763" s="13"/>
      <c r="G2763" s="13"/>
      <c r="H2763" s="13"/>
      <c r="I2763" s="13"/>
      <c r="J2763" s="13"/>
      <c r="K2763" s="13"/>
      <c r="L2763" s="13"/>
      <c r="M2763" s="13"/>
      <c r="N2763" s="13"/>
    </row>
    <row r="2764" ht="15.75" hidden="1" customHeight="1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</row>
    <row r="2765" ht="15.75" hidden="1" customHeight="1">
      <c r="A2765" s="13"/>
      <c r="B2765" s="13"/>
      <c r="C2765" s="13"/>
      <c r="D2765" s="13"/>
      <c r="E2765" s="13"/>
      <c r="F2765" s="13"/>
      <c r="G2765" s="13"/>
      <c r="H2765" s="13"/>
      <c r="I2765" s="13"/>
      <c r="J2765" s="13"/>
      <c r="K2765" s="13"/>
      <c r="L2765" s="13"/>
      <c r="M2765" s="13"/>
      <c r="N2765" s="13"/>
    </row>
    <row r="2766" ht="15.75" hidden="1" customHeight="1">
      <c r="A2766" s="13"/>
      <c r="B2766" s="13"/>
      <c r="C2766" s="13"/>
      <c r="D2766" s="13"/>
      <c r="E2766" s="13"/>
      <c r="F2766" s="13"/>
      <c r="G2766" s="13"/>
      <c r="H2766" s="13"/>
      <c r="I2766" s="13"/>
      <c r="J2766" s="13"/>
      <c r="K2766" s="13"/>
      <c r="L2766" s="13"/>
      <c r="M2766" s="13"/>
      <c r="N2766" s="13"/>
    </row>
    <row r="2767" ht="15.75" hidden="1" customHeight="1">
      <c r="A2767" s="13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13"/>
    </row>
    <row r="2768" ht="15.75" hidden="1" customHeight="1">
      <c r="A2768" s="13"/>
      <c r="B2768" s="13"/>
      <c r="C2768" s="13"/>
      <c r="D2768" s="13"/>
      <c r="E2768" s="13"/>
      <c r="F2768" s="13"/>
      <c r="G2768" s="13"/>
      <c r="H2768" s="13"/>
      <c r="I2768" s="13"/>
      <c r="J2768" s="13"/>
      <c r="K2768" s="13"/>
      <c r="L2768" s="13"/>
      <c r="M2768" s="13"/>
      <c r="N2768" s="13"/>
    </row>
    <row r="2769" ht="15.75" hidden="1" customHeight="1">
      <c r="A2769" s="13"/>
      <c r="B2769" s="13"/>
      <c r="C2769" s="13"/>
      <c r="D2769" s="13"/>
      <c r="E2769" s="13"/>
      <c r="F2769" s="13"/>
      <c r="G2769" s="13"/>
      <c r="H2769" s="13"/>
      <c r="I2769" s="13"/>
      <c r="J2769" s="13"/>
      <c r="K2769" s="13"/>
      <c r="L2769" s="13"/>
      <c r="M2769" s="13"/>
      <c r="N2769" s="13"/>
    </row>
    <row r="2770" ht="15.75" hidden="1" customHeight="1">
      <c r="A2770" s="13"/>
      <c r="B2770" s="13"/>
      <c r="C2770" s="13"/>
      <c r="D2770" s="13"/>
      <c r="E2770" s="13"/>
      <c r="F2770" s="13"/>
      <c r="G2770" s="13"/>
      <c r="H2770" s="13"/>
      <c r="I2770" s="13"/>
      <c r="J2770" s="13"/>
      <c r="K2770" s="13"/>
      <c r="L2770" s="13"/>
      <c r="M2770" s="13"/>
      <c r="N2770" s="13"/>
    </row>
    <row r="2771" ht="15.75" hidden="1" customHeight="1">
      <c r="A2771" s="13"/>
      <c r="B2771" s="13"/>
      <c r="C2771" s="13"/>
      <c r="D2771" s="13"/>
      <c r="E2771" s="13"/>
      <c r="F2771" s="13"/>
      <c r="G2771" s="13"/>
      <c r="H2771" s="13"/>
      <c r="I2771" s="13"/>
      <c r="J2771" s="13"/>
      <c r="K2771" s="13"/>
      <c r="L2771" s="13"/>
      <c r="M2771" s="13"/>
      <c r="N2771" s="13"/>
    </row>
    <row r="2772" ht="15.75" hidden="1" customHeight="1">
      <c r="A2772" s="13"/>
      <c r="B2772" s="13"/>
      <c r="C2772" s="13"/>
      <c r="D2772" s="13"/>
      <c r="E2772" s="13"/>
      <c r="F2772" s="13"/>
      <c r="G2772" s="13"/>
      <c r="H2772" s="13"/>
      <c r="I2772" s="13"/>
      <c r="J2772" s="13"/>
      <c r="K2772" s="13"/>
      <c r="L2772" s="13"/>
      <c r="M2772" s="13"/>
      <c r="N2772" s="13"/>
    </row>
    <row r="2773" ht="15.75" hidden="1" customHeight="1">
      <c r="A2773" s="13"/>
      <c r="B2773" s="13"/>
      <c r="C2773" s="13"/>
      <c r="D2773" s="13"/>
      <c r="E2773" s="13"/>
      <c r="F2773" s="13"/>
      <c r="G2773" s="13"/>
      <c r="H2773" s="13"/>
      <c r="I2773" s="13"/>
      <c r="J2773" s="13"/>
      <c r="K2773" s="13"/>
      <c r="L2773" s="13"/>
      <c r="M2773" s="13"/>
      <c r="N2773" s="13"/>
    </row>
    <row r="2774" ht="15.75" hidden="1" customHeight="1">
      <c r="A2774" s="13"/>
      <c r="B2774" s="13"/>
      <c r="C2774" s="13"/>
      <c r="D2774" s="13"/>
      <c r="E2774" s="13"/>
      <c r="F2774" s="13"/>
      <c r="G2774" s="13"/>
      <c r="H2774" s="13"/>
      <c r="I2774" s="13"/>
      <c r="J2774" s="13"/>
      <c r="K2774" s="13"/>
      <c r="L2774" s="13"/>
      <c r="M2774" s="13"/>
      <c r="N2774" s="13"/>
    </row>
    <row r="2775" ht="15.75" hidden="1" customHeight="1">
      <c r="A2775" s="13"/>
      <c r="B2775" s="13"/>
      <c r="C2775" s="13"/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</row>
    <row r="2776" ht="15.75" hidden="1" customHeight="1">
      <c r="A2776" s="13"/>
      <c r="B2776" s="13"/>
      <c r="C2776" s="13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</row>
    <row r="2777" ht="15.75" hidden="1" customHeight="1">
      <c r="A2777" s="13"/>
      <c r="B2777" s="13"/>
      <c r="C2777" s="13"/>
      <c r="D2777" s="13"/>
      <c r="E2777" s="13"/>
      <c r="F2777" s="13"/>
      <c r="G2777" s="13"/>
      <c r="H2777" s="13"/>
      <c r="I2777" s="13"/>
      <c r="J2777" s="13"/>
      <c r="K2777" s="13"/>
      <c r="L2777" s="13"/>
      <c r="M2777" s="13"/>
      <c r="N2777" s="13"/>
    </row>
    <row r="2778" ht="15.75" hidden="1" customHeight="1">
      <c r="A2778" s="13"/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</row>
    <row r="2779" ht="15.75" hidden="1" customHeight="1">
      <c r="A2779" s="13"/>
      <c r="B2779" s="13"/>
      <c r="C2779" s="13"/>
      <c r="D2779" s="13"/>
      <c r="E2779" s="13"/>
      <c r="F2779" s="13"/>
      <c r="G2779" s="13"/>
      <c r="H2779" s="13"/>
      <c r="I2779" s="13"/>
      <c r="J2779" s="13"/>
      <c r="K2779" s="13"/>
      <c r="L2779" s="13"/>
      <c r="M2779" s="13"/>
      <c r="N2779" s="13"/>
    </row>
    <row r="2780" ht="15.75" hidden="1" customHeight="1">
      <c r="A2780" s="13"/>
      <c r="B2780" s="13"/>
      <c r="C2780" s="13"/>
      <c r="D2780" s="13"/>
      <c r="E2780" s="13"/>
      <c r="F2780" s="13"/>
      <c r="G2780" s="13"/>
      <c r="H2780" s="13"/>
      <c r="I2780" s="13"/>
      <c r="J2780" s="13"/>
      <c r="K2780" s="13"/>
      <c r="L2780" s="13"/>
      <c r="M2780" s="13"/>
      <c r="N2780" s="13"/>
    </row>
    <row r="2781" ht="15.75" hidden="1" customHeight="1">
      <c r="A2781" s="13"/>
      <c r="B2781" s="13"/>
      <c r="C2781" s="13"/>
      <c r="D2781" s="13"/>
      <c r="E2781" s="13"/>
      <c r="F2781" s="13"/>
      <c r="G2781" s="13"/>
      <c r="H2781" s="13"/>
      <c r="I2781" s="13"/>
      <c r="J2781" s="13"/>
      <c r="K2781" s="13"/>
      <c r="L2781" s="13"/>
      <c r="M2781" s="13"/>
      <c r="N2781" s="13"/>
    </row>
    <row r="2782" ht="15.75" hidden="1" customHeight="1">
      <c r="A2782" s="13"/>
      <c r="B2782" s="13"/>
      <c r="C2782" s="13"/>
      <c r="D2782" s="13"/>
      <c r="E2782" s="13"/>
      <c r="F2782" s="13"/>
      <c r="G2782" s="13"/>
      <c r="H2782" s="13"/>
      <c r="I2782" s="13"/>
      <c r="J2782" s="13"/>
      <c r="K2782" s="13"/>
      <c r="L2782" s="13"/>
      <c r="M2782" s="13"/>
      <c r="N2782" s="13"/>
    </row>
    <row r="2783" ht="15.75" hidden="1" customHeight="1">
      <c r="A2783" s="13"/>
      <c r="B2783" s="13"/>
      <c r="C2783" s="13"/>
      <c r="D2783" s="13"/>
      <c r="E2783" s="13"/>
      <c r="F2783" s="13"/>
      <c r="G2783" s="13"/>
      <c r="H2783" s="13"/>
      <c r="I2783" s="13"/>
      <c r="J2783" s="13"/>
      <c r="K2783" s="13"/>
      <c r="L2783" s="13"/>
      <c r="M2783" s="13"/>
      <c r="N2783" s="13"/>
    </row>
    <row r="2784" ht="15.75" hidden="1" customHeight="1">
      <c r="A2784" s="13"/>
      <c r="B2784" s="13"/>
      <c r="C2784" s="13"/>
      <c r="D2784" s="13"/>
      <c r="E2784" s="13"/>
      <c r="F2784" s="13"/>
      <c r="G2784" s="13"/>
      <c r="H2784" s="13"/>
      <c r="I2784" s="13"/>
      <c r="J2784" s="13"/>
      <c r="K2784" s="13"/>
      <c r="L2784" s="13"/>
      <c r="M2784" s="13"/>
      <c r="N2784" s="13"/>
    </row>
    <row r="2785" ht="15.75" hidden="1" customHeight="1">
      <c r="A2785" s="13"/>
      <c r="B2785" s="13"/>
      <c r="C2785" s="13"/>
      <c r="D2785" s="13"/>
      <c r="E2785" s="13"/>
      <c r="F2785" s="13"/>
      <c r="G2785" s="13"/>
      <c r="H2785" s="13"/>
      <c r="I2785" s="13"/>
      <c r="J2785" s="13"/>
      <c r="K2785" s="13"/>
      <c r="L2785" s="13"/>
      <c r="M2785" s="13"/>
      <c r="N2785" s="13"/>
    </row>
    <row r="2786" ht="15.75" hidden="1" customHeight="1">
      <c r="A2786" s="13"/>
      <c r="B2786" s="13"/>
      <c r="C2786" s="13"/>
      <c r="D2786" s="13"/>
      <c r="E2786" s="13"/>
      <c r="F2786" s="13"/>
      <c r="G2786" s="13"/>
      <c r="H2786" s="13"/>
      <c r="I2786" s="13"/>
      <c r="J2786" s="13"/>
      <c r="K2786" s="13"/>
      <c r="L2786" s="13"/>
      <c r="M2786" s="13"/>
      <c r="N2786" s="13"/>
    </row>
    <row r="2787" ht="15.75" hidden="1" customHeight="1">
      <c r="A2787" s="13"/>
      <c r="B2787" s="13"/>
      <c r="C2787" s="13"/>
      <c r="D2787" s="13"/>
      <c r="E2787" s="13"/>
      <c r="F2787" s="13"/>
      <c r="G2787" s="13"/>
      <c r="H2787" s="13"/>
      <c r="I2787" s="13"/>
      <c r="J2787" s="13"/>
      <c r="K2787" s="13"/>
      <c r="L2787" s="13"/>
      <c r="M2787" s="13"/>
      <c r="N2787" s="13"/>
    </row>
    <row r="2788" ht="15.75" hidden="1" customHeight="1">
      <c r="A2788" s="13"/>
      <c r="B2788" s="13"/>
      <c r="C2788" s="13"/>
      <c r="D2788" s="13"/>
      <c r="E2788" s="13"/>
      <c r="F2788" s="13"/>
      <c r="G2788" s="13"/>
      <c r="H2788" s="13"/>
      <c r="I2788" s="13"/>
      <c r="J2788" s="13"/>
      <c r="K2788" s="13"/>
      <c r="L2788" s="13"/>
      <c r="M2788" s="13"/>
      <c r="N2788" s="13"/>
    </row>
    <row r="2789" ht="15.75" hidden="1" customHeight="1">
      <c r="A2789" s="13"/>
      <c r="B2789" s="13"/>
      <c r="C2789" s="13"/>
      <c r="D2789" s="13"/>
      <c r="E2789" s="13"/>
      <c r="F2789" s="13"/>
      <c r="G2789" s="13"/>
      <c r="H2789" s="13"/>
      <c r="I2789" s="13"/>
      <c r="J2789" s="13"/>
      <c r="K2789" s="13"/>
      <c r="L2789" s="13"/>
      <c r="M2789" s="13"/>
      <c r="N2789" s="13"/>
    </row>
    <row r="2790" ht="15.75" hidden="1" customHeight="1">
      <c r="A2790" s="13"/>
      <c r="B2790" s="13"/>
      <c r="C2790" s="13"/>
      <c r="D2790" s="13"/>
      <c r="E2790" s="13"/>
      <c r="F2790" s="13"/>
      <c r="G2790" s="13"/>
      <c r="H2790" s="13"/>
      <c r="I2790" s="13"/>
      <c r="J2790" s="13"/>
      <c r="K2790" s="13"/>
      <c r="L2790" s="13"/>
      <c r="M2790" s="13"/>
      <c r="N2790" s="13"/>
    </row>
    <row r="2791" ht="15.75" hidden="1" customHeight="1">
      <c r="A2791" s="13"/>
      <c r="B2791" s="13"/>
      <c r="C2791" s="13"/>
      <c r="D2791" s="13"/>
      <c r="E2791" s="13"/>
      <c r="F2791" s="13"/>
      <c r="G2791" s="13"/>
      <c r="H2791" s="13"/>
      <c r="I2791" s="13"/>
      <c r="J2791" s="13"/>
      <c r="K2791" s="13"/>
      <c r="L2791" s="13"/>
      <c r="M2791" s="13"/>
      <c r="N2791" s="13"/>
    </row>
    <row r="2792" ht="15.75" hidden="1" customHeight="1">
      <c r="A2792" s="13"/>
      <c r="B2792" s="13"/>
      <c r="C2792" s="13"/>
      <c r="D2792" s="13"/>
      <c r="E2792" s="13"/>
      <c r="F2792" s="13"/>
      <c r="G2792" s="13"/>
      <c r="H2792" s="13"/>
      <c r="I2792" s="13"/>
      <c r="J2792" s="13"/>
      <c r="K2792" s="13"/>
      <c r="L2792" s="13"/>
      <c r="M2792" s="13"/>
      <c r="N2792" s="13"/>
    </row>
    <row r="2793" ht="15.75" hidden="1" customHeight="1">
      <c r="A2793" s="13"/>
      <c r="B2793" s="13"/>
      <c r="C2793" s="13"/>
      <c r="D2793" s="13"/>
      <c r="E2793" s="13"/>
      <c r="F2793" s="13"/>
      <c r="G2793" s="13"/>
      <c r="H2793" s="13"/>
      <c r="I2793" s="13"/>
      <c r="J2793" s="13"/>
      <c r="K2793" s="13"/>
      <c r="L2793" s="13"/>
      <c r="M2793" s="13"/>
      <c r="N2793" s="13"/>
    </row>
    <row r="2794" ht="15.75" hidden="1" customHeight="1">
      <c r="A2794" s="13"/>
      <c r="B2794" s="13"/>
      <c r="C2794" s="13"/>
      <c r="D2794" s="13"/>
      <c r="E2794" s="13"/>
      <c r="F2794" s="13"/>
      <c r="G2794" s="13"/>
      <c r="H2794" s="13"/>
      <c r="I2794" s="13"/>
      <c r="J2794" s="13"/>
      <c r="K2794" s="13"/>
      <c r="L2794" s="13"/>
      <c r="M2794" s="13"/>
      <c r="N2794" s="13"/>
    </row>
    <row r="2795" ht="15.75" hidden="1" customHeight="1">
      <c r="A2795" s="13"/>
      <c r="B2795" s="13"/>
      <c r="C2795" s="13"/>
      <c r="D2795" s="13"/>
      <c r="E2795" s="13"/>
      <c r="F2795" s="13"/>
      <c r="G2795" s="13"/>
      <c r="H2795" s="13"/>
      <c r="I2795" s="13"/>
      <c r="J2795" s="13"/>
      <c r="K2795" s="13"/>
      <c r="L2795" s="13"/>
      <c r="M2795" s="13"/>
      <c r="N2795" s="13"/>
    </row>
    <row r="2796" ht="15.75" hidden="1" customHeight="1">
      <c r="A2796" s="13"/>
      <c r="B2796" s="13"/>
      <c r="C2796" s="13"/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</row>
    <row r="2797" ht="15.75" hidden="1" customHeight="1">
      <c r="A2797" s="13"/>
      <c r="B2797" s="13"/>
      <c r="C2797" s="13"/>
      <c r="D2797" s="13"/>
      <c r="E2797" s="13"/>
      <c r="F2797" s="13"/>
      <c r="G2797" s="13"/>
      <c r="H2797" s="13"/>
      <c r="I2797" s="13"/>
      <c r="J2797" s="13"/>
      <c r="K2797" s="13"/>
      <c r="L2797" s="13"/>
      <c r="M2797" s="13"/>
      <c r="N2797" s="13"/>
    </row>
    <row r="2798" ht="15.75" hidden="1" customHeight="1">
      <c r="A2798" s="13"/>
      <c r="B2798" s="13"/>
      <c r="C2798" s="13"/>
      <c r="D2798" s="13"/>
      <c r="E2798" s="13"/>
      <c r="F2798" s="13"/>
      <c r="G2798" s="13"/>
      <c r="H2798" s="13"/>
      <c r="I2798" s="13"/>
      <c r="J2798" s="13"/>
      <c r="K2798" s="13"/>
      <c r="L2798" s="13"/>
      <c r="M2798" s="13"/>
      <c r="N2798" s="13"/>
    </row>
    <row r="2799" ht="15.75" hidden="1" customHeight="1">
      <c r="A2799" s="13"/>
      <c r="B2799" s="13"/>
      <c r="C2799" s="13"/>
      <c r="D2799" s="13"/>
      <c r="E2799" s="13"/>
      <c r="F2799" s="13"/>
      <c r="G2799" s="13"/>
      <c r="H2799" s="13"/>
      <c r="I2799" s="13"/>
      <c r="J2799" s="13"/>
      <c r="K2799" s="13"/>
      <c r="L2799" s="13"/>
      <c r="M2799" s="13"/>
      <c r="N2799" s="13"/>
    </row>
    <row r="2800" ht="15.75" hidden="1" customHeight="1">
      <c r="A2800" s="13"/>
      <c r="B2800" s="13"/>
      <c r="C2800" s="13"/>
      <c r="D2800" s="13"/>
      <c r="E2800" s="13"/>
      <c r="F2800" s="13"/>
      <c r="G2800" s="13"/>
      <c r="H2800" s="13"/>
      <c r="I2800" s="13"/>
      <c r="J2800" s="13"/>
      <c r="K2800" s="13"/>
      <c r="L2800" s="13"/>
      <c r="M2800" s="13"/>
      <c r="N2800" s="13"/>
    </row>
    <row r="2801" ht="15.75" hidden="1" customHeight="1">
      <c r="A2801" s="13"/>
      <c r="B2801" s="13"/>
      <c r="C2801" s="13"/>
      <c r="D2801" s="13"/>
      <c r="E2801" s="13"/>
      <c r="F2801" s="13"/>
      <c r="G2801" s="13"/>
      <c r="H2801" s="13"/>
      <c r="I2801" s="13"/>
      <c r="J2801" s="13"/>
      <c r="K2801" s="13"/>
      <c r="L2801" s="13"/>
      <c r="M2801" s="13"/>
      <c r="N2801" s="13"/>
    </row>
    <row r="2802" ht="15.75" hidden="1" customHeight="1">
      <c r="A2802" s="13"/>
      <c r="B2802" s="13"/>
      <c r="C2802" s="13"/>
      <c r="D2802" s="13"/>
      <c r="E2802" s="13"/>
      <c r="F2802" s="13"/>
      <c r="G2802" s="13"/>
      <c r="H2802" s="13"/>
      <c r="I2802" s="13"/>
      <c r="J2802" s="13"/>
      <c r="K2802" s="13"/>
      <c r="L2802" s="13"/>
      <c r="M2802" s="13"/>
      <c r="N2802" s="13"/>
    </row>
    <row r="2803" ht="15.75" hidden="1" customHeight="1">
      <c r="A2803" s="13"/>
      <c r="B2803" s="13"/>
      <c r="C2803" s="13"/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</row>
    <row r="2804" ht="15.75" hidden="1" customHeight="1">
      <c r="A2804" s="13"/>
      <c r="B2804" s="13"/>
      <c r="C2804" s="13"/>
      <c r="D2804" s="13"/>
      <c r="E2804" s="13"/>
      <c r="F2804" s="13"/>
      <c r="G2804" s="13"/>
      <c r="H2804" s="13"/>
      <c r="I2804" s="13"/>
      <c r="J2804" s="13"/>
      <c r="K2804" s="13"/>
      <c r="L2804" s="13"/>
      <c r="M2804" s="13"/>
      <c r="N2804" s="13"/>
    </row>
    <row r="2805" ht="15.75" hidden="1" customHeight="1">
      <c r="A2805" s="13"/>
      <c r="B2805" s="13"/>
      <c r="C2805" s="13"/>
      <c r="D2805" s="13"/>
      <c r="E2805" s="13"/>
      <c r="F2805" s="13"/>
      <c r="G2805" s="13"/>
      <c r="H2805" s="13"/>
      <c r="I2805" s="13"/>
      <c r="J2805" s="13"/>
      <c r="K2805" s="13"/>
      <c r="L2805" s="13"/>
      <c r="M2805" s="13"/>
      <c r="N2805" s="13"/>
    </row>
    <row r="2806" ht="15.75" hidden="1" customHeight="1">
      <c r="A2806" s="13"/>
      <c r="B2806" s="13"/>
      <c r="C2806" s="13"/>
      <c r="D2806" s="13"/>
      <c r="E2806" s="13"/>
      <c r="F2806" s="13"/>
      <c r="G2806" s="13"/>
      <c r="H2806" s="13"/>
      <c r="I2806" s="13"/>
      <c r="J2806" s="13"/>
      <c r="K2806" s="13"/>
      <c r="L2806" s="13"/>
      <c r="M2806" s="13"/>
      <c r="N2806" s="13"/>
    </row>
    <row r="2807" ht="15.75" hidden="1" customHeight="1">
      <c r="A2807" s="13"/>
      <c r="B2807" s="13"/>
      <c r="C2807" s="13"/>
      <c r="D2807" s="13"/>
      <c r="E2807" s="13"/>
      <c r="F2807" s="13"/>
      <c r="G2807" s="13"/>
      <c r="H2807" s="13"/>
      <c r="I2807" s="13"/>
      <c r="J2807" s="13"/>
      <c r="K2807" s="13"/>
      <c r="L2807" s="13"/>
      <c r="M2807" s="13"/>
      <c r="N2807" s="13"/>
    </row>
    <row r="2808" ht="15.75" hidden="1" customHeight="1">
      <c r="A2808" s="13"/>
      <c r="B2808" s="13"/>
      <c r="C2808" s="13"/>
      <c r="D2808" s="13"/>
      <c r="E2808" s="13"/>
      <c r="F2808" s="13"/>
      <c r="G2808" s="13"/>
      <c r="H2808" s="13"/>
      <c r="I2808" s="13"/>
      <c r="J2808" s="13"/>
      <c r="K2808" s="13"/>
      <c r="L2808" s="13"/>
      <c r="M2808" s="13"/>
      <c r="N2808" s="13"/>
    </row>
    <row r="2809" ht="15.75" hidden="1" customHeight="1">
      <c r="A2809" s="13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13"/>
    </row>
    <row r="2810" ht="15.75" hidden="1" customHeight="1">
      <c r="A2810" s="13"/>
      <c r="B2810" s="13"/>
      <c r="C2810" s="13"/>
      <c r="D2810" s="13"/>
      <c r="E2810" s="13"/>
      <c r="F2810" s="13"/>
      <c r="G2810" s="13"/>
      <c r="H2810" s="13"/>
      <c r="I2810" s="13"/>
      <c r="J2810" s="13"/>
      <c r="K2810" s="13"/>
      <c r="L2810" s="13"/>
      <c r="M2810" s="13"/>
      <c r="N2810" s="13"/>
    </row>
    <row r="2811" ht="15.75" hidden="1" customHeight="1">
      <c r="A2811" s="13"/>
      <c r="B2811" s="13"/>
      <c r="C2811" s="13"/>
      <c r="D2811" s="13"/>
      <c r="E2811" s="13"/>
      <c r="F2811" s="13"/>
      <c r="G2811" s="13"/>
      <c r="H2811" s="13"/>
      <c r="I2811" s="13"/>
      <c r="J2811" s="13"/>
      <c r="K2811" s="13"/>
      <c r="L2811" s="13"/>
      <c r="M2811" s="13"/>
      <c r="N2811" s="13"/>
    </row>
    <row r="2812" ht="15.75" hidden="1" customHeight="1">
      <c r="A2812" s="13"/>
      <c r="B2812" s="13"/>
      <c r="C2812" s="13"/>
      <c r="D2812" s="13"/>
      <c r="E2812" s="13"/>
      <c r="F2812" s="13"/>
      <c r="G2812" s="13"/>
      <c r="H2812" s="13"/>
      <c r="I2812" s="13"/>
      <c r="J2812" s="13"/>
      <c r="K2812" s="13"/>
      <c r="L2812" s="13"/>
      <c r="M2812" s="13"/>
      <c r="N2812" s="13"/>
    </row>
    <row r="2813" ht="15.75" hidden="1" customHeight="1">
      <c r="A2813" s="13"/>
      <c r="B2813" s="13"/>
      <c r="C2813" s="13"/>
      <c r="D2813" s="13"/>
      <c r="E2813" s="13"/>
      <c r="F2813" s="13"/>
      <c r="G2813" s="13"/>
      <c r="H2813" s="13"/>
      <c r="I2813" s="13"/>
      <c r="J2813" s="13"/>
      <c r="K2813" s="13"/>
      <c r="L2813" s="13"/>
      <c r="M2813" s="13"/>
      <c r="N2813" s="13"/>
    </row>
    <row r="2814" ht="15.75" hidden="1" customHeight="1">
      <c r="A2814" s="13"/>
      <c r="B2814" s="13"/>
      <c r="C2814" s="13"/>
      <c r="D2814" s="13"/>
      <c r="E2814" s="13"/>
      <c r="F2814" s="13"/>
      <c r="G2814" s="13"/>
      <c r="H2814" s="13"/>
      <c r="I2814" s="13"/>
      <c r="J2814" s="13"/>
      <c r="K2814" s="13"/>
      <c r="L2814" s="13"/>
      <c r="M2814" s="13"/>
      <c r="N2814" s="13"/>
    </row>
    <row r="2815" ht="15.75" hidden="1" customHeight="1">
      <c r="A2815" s="13"/>
      <c r="B2815" s="13"/>
      <c r="C2815" s="13"/>
      <c r="D2815" s="13"/>
      <c r="E2815" s="13"/>
      <c r="F2815" s="13"/>
      <c r="G2815" s="13"/>
      <c r="H2815" s="13"/>
      <c r="I2815" s="13"/>
      <c r="J2815" s="13"/>
      <c r="K2815" s="13"/>
      <c r="L2815" s="13"/>
      <c r="M2815" s="13"/>
      <c r="N2815" s="13"/>
    </row>
    <row r="2816" ht="15.75" hidden="1" customHeight="1">
      <c r="A2816" s="13"/>
      <c r="B2816" s="13"/>
      <c r="C2816" s="13"/>
      <c r="D2816" s="13"/>
      <c r="E2816" s="13"/>
      <c r="F2816" s="13"/>
      <c r="G2816" s="13"/>
      <c r="H2816" s="13"/>
      <c r="I2816" s="13"/>
      <c r="J2816" s="13"/>
      <c r="K2816" s="13"/>
      <c r="L2816" s="13"/>
      <c r="M2816" s="13"/>
      <c r="N2816" s="13"/>
    </row>
    <row r="2817" ht="15.75" hidden="1" customHeight="1">
      <c r="A2817" s="13"/>
      <c r="B2817" s="13"/>
      <c r="C2817" s="13"/>
      <c r="D2817" s="13"/>
      <c r="E2817" s="13"/>
      <c r="F2817" s="13"/>
      <c r="G2817" s="13"/>
      <c r="H2817" s="13"/>
      <c r="I2817" s="13"/>
      <c r="J2817" s="13"/>
      <c r="K2817" s="13"/>
      <c r="L2817" s="13"/>
      <c r="M2817" s="13"/>
      <c r="N2817" s="13"/>
    </row>
    <row r="2818" ht="15.75" hidden="1" customHeight="1">
      <c r="A2818" s="13"/>
      <c r="B2818" s="13"/>
      <c r="C2818" s="13"/>
      <c r="D2818" s="13"/>
      <c r="E2818" s="13"/>
      <c r="F2818" s="13"/>
      <c r="G2818" s="13"/>
      <c r="H2818" s="13"/>
      <c r="I2818" s="13"/>
      <c r="J2818" s="13"/>
      <c r="K2818" s="13"/>
      <c r="L2818" s="13"/>
      <c r="M2818" s="13"/>
      <c r="N2818" s="13"/>
    </row>
    <row r="2819" ht="15.75" hidden="1" customHeight="1">
      <c r="A2819" s="13"/>
      <c r="B2819" s="13"/>
      <c r="C2819" s="13"/>
      <c r="D2819" s="13"/>
      <c r="E2819" s="13"/>
      <c r="F2819" s="13"/>
      <c r="G2819" s="13"/>
      <c r="H2819" s="13"/>
      <c r="I2819" s="13"/>
      <c r="J2819" s="13"/>
      <c r="K2819" s="13"/>
      <c r="L2819" s="13"/>
      <c r="M2819" s="13"/>
      <c r="N2819" s="13"/>
    </row>
    <row r="2820" ht="15.75" hidden="1" customHeight="1">
      <c r="A2820" s="13"/>
      <c r="B2820" s="13"/>
      <c r="C2820" s="13"/>
      <c r="D2820" s="13"/>
      <c r="E2820" s="13"/>
      <c r="F2820" s="13"/>
      <c r="G2820" s="13"/>
      <c r="H2820" s="13"/>
      <c r="I2820" s="13"/>
      <c r="J2820" s="13"/>
      <c r="K2820" s="13"/>
      <c r="L2820" s="13"/>
      <c r="M2820" s="13"/>
      <c r="N2820" s="13"/>
    </row>
    <row r="2821" ht="15.75" hidden="1" customHeight="1">
      <c r="A2821" s="13"/>
      <c r="B2821" s="13"/>
      <c r="C2821" s="13"/>
      <c r="D2821" s="13"/>
      <c r="E2821" s="13"/>
      <c r="F2821" s="13"/>
      <c r="G2821" s="13"/>
      <c r="H2821" s="13"/>
      <c r="I2821" s="13"/>
      <c r="J2821" s="13"/>
      <c r="K2821" s="13"/>
      <c r="L2821" s="13"/>
      <c r="M2821" s="13"/>
      <c r="N2821" s="13"/>
    </row>
    <row r="2822" ht="15.75" hidden="1" customHeight="1">
      <c r="A2822" s="13"/>
      <c r="B2822" s="13"/>
      <c r="C2822" s="13"/>
      <c r="D2822" s="13"/>
      <c r="E2822" s="13"/>
      <c r="F2822" s="13"/>
      <c r="G2822" s="13"/>
      <c r="H2822" s="13"/>
      <c r="I2822" s="13"/>
      <c r="J2822" s="13"/>
      <c r="K2822" s="13"/>
      <c r="L2822" s="13"/>
      <c r="M2822" s="13"/>
      <c r="N2822" s="13"/>
    </row>
    <row r="2823" ht="15.75" hidden="1" customHeight="1">
      <c r="A2823" s="13"/>
      <c r="B2823" s="13"/>
      <c r="C2823" s="13"/>
      <c r="D2823" s="13"/>
      <c r="E2823" s="13"/>
      <c r="F2823" s="13"/>
      <c r="G2823" s="13"/>
      <c r="H2823" s="13"/>
      <c r="I2823" s="13"/>
      <c r="J2823" s="13"/>
      <c r="K2823" s="13"/>
      <c r="L2823" s="13"/>
      <c r="M2823" s="13"/>
      <c r="N2823" s="13"/>
    </row>
    <row r="2824" ht="15.75" hidden="1" customHeight="1">
      <c r="A2824" s="13"/>
      <c r="B2824" s="13"/>
      <c r="C2824" s="13"/>
      <c r="D2824" s="13"/>
      <c r="E2824" s="13"/>
      <c r="F2824" s="13"/>
      <c r="G2824" s="13"/>
      <c r="H2824" s="13"/>
      <c r="I2824" s="13"/>
      <c r="J2824" s="13"/>
      <c r="K2824" s="13"/>
      <c r="L2824" s="13"/>
      <c r="M2824" s="13"/>
      <c r="N2824" s="13"/>
    </row>
    <row r="2825" ht="15.75" hidden="1" customHeight="1">
      <c r="A2825" s="13"/>
      <c r="B2825" s="13"/>
      <c r="C2825" s="13"/>
      <c r="D2825" s="13"/>
      <c r="E2825" s="13"/>
      <c r="F2825" s="13"/>
      <c r="G2825" s="13"/>
      <c r="H2825" s="13"/>
      <c r="I2825" s="13"/>
      <c r="J2825" s="13"/>
      <c r="K2825" s="13"/>
      <c r="L2825" s="13"/>
      <c r="M2825" s="13"/>
      <c r="N2825" s="13"/>
    </row>
    <row r="2826" ht="15.75" hidden="1" customHeight="1">
      <c r="A2826" s="13"/>
      <c r="B2826" s="13"/>
      <c r="C2826" s="13"/>
      <c r="D2826" s="13"/>
      <c r="E2826" s="13"/>
      <c r="F2826" s="13"/>
      <c r="G2826" s="13"/>
      <c r="H2826" s="13"/>
      <c r="I2826" s="13"/>
      <c r="J2826" s="13"/>
      <c r="K2826" s="13"/>
      <c r="L2826" s="13"/>
      <c r="M2826" s="13"/>
      <c r="N2826" s="13"/>
    </row>
    <row r="2827" ht="15.75" hidden="1" customHeight="1">
      <c r="A2827" s="13"/>
      <c r="B2827" s="13"/>
      <c r="C2827" s="13"/>
      <c r="D2827" s="13"/>
      <c r="E2827" s="13"/>
      <c r="F2827" s="13"/>
      <c r="G2827" s="13"/>
      <c r="H2827" s="13"/>
      <c r="I2827" s="13"/>
      <c r="J2827" s="13"/>
      <c r="K2827" s="13"/>
      <c r="L2827" s="13"/>
      <c r="M2827" s="13"/>
      <c r="N2827" s="13"/>
    </row>
    <row r="2828" ht="15.75" hidden="1" customHeight="1">
      <c r="A2828" s="13"/>
      <c r="B2828" s="13"/>
      <c r="C2828" s="13"/>
      <c r="D2828" s="13"/>
      <c r="E2828" s="13"/>
      <c r="F2828" s="13"/>
      <c r="G2828" s="13"/>
      <c r="H2828" s="13"/>
      <c r="I2828" s="13"/>
      <c r="J2828" s="13"/>
      <c r="K2828" s="13"/>
      <c r="L2828" s="13"/>
      <c r="M2828" s="13"/>
      <c r="N2828" s="13"/>
    </row>
    <row r="2829" ht="15.75" hidden="1" customHeight="1">
      <c r="A2829" s="13"/>
      <c r="B2829" s="13"/>
      <c r="C2829" s="13"/>
      <c r="D2829" s="13"/>
      <c r="E2829" s="13"/>
      <c r="F2829" s="13"/>
      <c r="G2829" s="13"/>
      <c r="H2829" s="13"/>
      <c r="I2829" s="13"/>
      <c r="J2829" s="13"/>
      <c r="K2829" s="13"/>
      <c r="L2829" s="13"/>
      <c r="M2829" s="13"/>
      <c r="N2829" s="13"/>
    </row>
    <row r="2830" ht="15.75" hidden="1" customHeight="1">
      <c r="A2830" s="13"/>
      <c r="B2830" s="13"/>
      <c r="C2830" s="13"/>
      <c r="D2830" s="13"/>
      <c r="E2830" s="13"/>
      <c r="F2830" s="13"/>
      <c r="G2830" s="13"/>
      <c r="H2830" s="13"/>
      <c r="I2830" s="13"/>
      <c r="J2830" s="13"/>
      <c r="K2830" s="13"/>
      <c r="L2830" s="13"/>
      <c r="M2830" s="13"/>
      <c r="N2830" s="13"/>
    </row>
    <row r="2831" ht="15.75" hidden="1" customHeight="1">
      <c r="A2831" s="13"/>
      <c r="B2831" s="13"/>
      <c r="C2831" s="13"/>
      <c r="D2831" s="13"/>
      <c r="E2831" s="13"/>
      <c r="F2831" s="13"/>
      <c r="G2831" s="13"/>
      <c r="H2831" s="13"/>
      <c r="I2831" s="13"/>
      <c r="J2831" s="13"/>
      <c r="K2831" s="13"/>
      <c r="L2831" s="13"/>
      <c r="M2831" s="13"/>
      <c r="N2831" s="13"/>
    </row>
    <row r="2832" ht="15.75" hidden="1" customHeight="1">
      <c r="A2832" s="13"/>
      <c r="B2832" s="13"/>
      <c r="C2832" s="13"/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</row>
    <row r="2833" ht="15.75" hidden="1" customHeight="1">
      <c r="A2833" s="13"/>
      <c r="B2833" s="13"/>
      <c r="C2833" s="13"/>
      <c r="D2833" s="13"/>
      <c r="E2833" s="13"/>
      <c r="F2833" s="13"/>
      <c r="G2833" s="13"/>
      <c r="H2833" s="13"/>
      <c r="I2833" s="13"/>
      <c r="J2833" s="13"/>
      <c r="K2833" s="13"/>
      <c r="L2833" s="13"/>
      <c r="M2833" s="13"/>
      <c r="N2833" s="13"/>
    </row>
    <row r="2834" ht="15.75" hidden="1" customHeight="1">
      <c r="A2834" s="13"/>
      <c r="B2834" s="13"/>
      <c r="C2834" s="13"/>
      <c r="D2834" s="13"/>
      <c r="E2834" s="13"/>
      <c r="F2834" s="13"/>
      <c r="G2834" s="13"/>
      <c r="H2834" s="13"/>
      <c r="I2834" s="13"/>
      <c r="J2834" s="13"/>
      <c r="K2834" s="13"/>
      <c r="L2834" s="13"/>
      <c r="M2834" s="13"/>
      <c r="N2834" s="13"/>
    </row>
    <row r="2835" ht="15.75" hidden="1" customHeight="1">
      <c r="A2835" s="13"/>
      <c r="B2835" s="13"/>
      <c r="C2835" s="13"/>
      <c r="D2835" s="13"/>
      <c r="E2835" s="13"/>
      <c r="F2835" s="13"/>
      <c r="G2835" s="13"/>
      <c r="H2835" s="13"/>
      <c r="I2835" s="13"/>
      <c r="J2835" s="13"/>
      <c r="K2835" s="13"/>
      <c r="L2835" s="13"/>
      <c r="M2835" s="13"/>
      <c r="N2835" s="13"/>
    </row>
    <row r="2836" ht="15.75" hidden="1" customHeight="1">
      <c r="A2836" s="13"/>
      <c r="B2836" s="13"/>
      <c r="C2836" s="13"/>
      <c r="D2836" s="13"/>
      <c r="E2836" s="13"/>
      <c r="F2836" s="13"/>
      <c r="G2836" s="13"/>
      <c r="H2836" s="13"/>
      <c r="I2836" s="13"/>
      <c r="J2836" s="13"/>
      <c r="K2836" s="13"/>
      <c r="L2836" s="13"/>
      <c r="M2836" s="13"/>
      <c r="N2836" s="13"/>
    </row>
    <row r="2837" ht="15.75" hidden="1" customHeight="1">
      <c r="A2837" s="13"/>
      <c r="B2837" s="13"/>
      <c r="C2837" s="13"/>
      <c r="D2837" s="13"/>
      <c r="E2837" s="13"/>
      <c r="F2837" s="13"/>
      <c r="G2837" s="13"/>
      <c r="H2837" s="13"/>
      <c r="I2837" s="13"/>
      <c r="J2837" s="13"/>
      <c r="K2837" s="13"/>
      <c r="L2837" s="13"/>
      <c r="M2837" s="13"/>
      <c r="N2837" s="13"/>
    </row>
    <row r="2838" ht="15.75" hidden="1" customHeight="1">
      <c r="A2838" s="13"/>
      <c r="B2838" s="13"/>
      <c r="C2838" s="13"/>
      <c r="D2838" s="13"/>
      <c r="E2838" s="13"/>
      <c r="F2838" s="13"/>
      <c r="G2838" s="13"/>
      <c r="H2838" s="13"/>
      <c r="I2838" s="13"/>
      <c r="J2838" s="13"/>
      <c r="K2838" s="13"/>
      <c r="L2838" s="13"/>
      <c r="M2838" s="13"/>
      <c r="N2838" s="13"/>
    </row>
    <row r="2839" ht="15.75" hidden="1" customHeight="1">
      <c r="A2839" s="13"/>
      <c r="B2839" s="13"/>
      <c r="C2839" s="13"/>
      <c r="D2839" s="13"/>
      <c r="E2839" s="13"/>
      <c r="F2839" s="13"/>
      <c r="G2839" s="13"/>
      <c r="H2839" s="13"/>
      <c r="I2839" s="13"/>
      <c r="J2839" s="13"/>
      <c r="K2839" s="13"/>
      <c r="L2839" s="13"/>
      <c r="M2839" s="13"/>
      <c r="N2839" s="13"/>
    </row>
    <row r="2840" ht="15.75" hidden="1" customHeight="1">
      <c r="A2840" s="13"/>
      <c r="B2840" s="13"/>
      <c r="C2840" s="13"/>
      <c r="D2840" s="13"/>
      <c r="E2840" s="13"/>
      <c r="F2840" s="13"/>
      <c r="G2840" s="13"/>
      <c r="H2840" s="13"/>
      <c r="I2840" s="13"/>
      <c r="J2840" s="13"/>
      <c r="K2840" s="13"/>
      <c r="L2840" s="13"/>
      <c r="M2840" s="13"/>
      <c r="N2840" s="13"/>
    </row>
    <row r="2841" ht="15.75" hidden="1" customHeight="1">
      <c r="A2841" s="13"/>
      <c r="B2841" s="13"/>
      <c r="C2841" s="13"/>
      <c r="D2841" s="13"/>
      <c r="E2841" s="13"/>
      <c r="F2841" s="13"/>
      <c r="G2841" s="13"/>
      <c r="H2841" s="13"/>
      <c r="I2841" s="13"/>
      <c r="J2841" s="13"/>
      <c r="K2841" s="13"/>
      <c r="L2841" s="13"/>
      <c r="M2841" s="13"/>
      <c r="N2841" s="13"/>
    </row>
    <row r="2842" ht="15.75" hidden="1" customHeight="1">
      <c r="A2842" s="13"/>
      <c r="B2842" s="13"/>
      <c r="C2842" s="13"/>
      <c r="D2842" s="13"/>
      <c r="E2842" s="13"/>
      <c r="F2842" s="13"/>
      <c r="G2842" s="13"/>
      <c r="H2842" s="13"/>
      <c r="I2842" s="13"/>
      <c r="J2842" s="13"/>
      <c r="K2842" s="13"/>
      <c r="L2842" s="13"/>
      <c r="M2842" s="13"/>
      <c r="N2842" s="13"/>
    </row>
    <row r="2843" ht="15.75" hidden="1" customHeight="1">
      <c r="A2843" s="13"/>
      <c r="B2843" s="13"/>
      <c r="C2843" s="13"/>
      <c r="D2843" s="13"/>
      <c r="E2843" s="13"/>
      <c r="F2843" s="13"/>
      <c r="G2843" s="13"/>
      <c r="H2843" s="13"/>
      <c r="I2843" s="13"/>
      <c r="J2843" s="13"/>
      <c r="K2843" s="13"/>
      <c r="L2843" s="13"/>
      <c r="M2843" s="13"/>
      <c r="N2843" s="13"/>
    </row>
    <row r="2844" ht="15.75" hidden="1" customHeight="1">
      <c r="A2844" s="13"/>
      <c r="B2844" s="13"/>
      <c r="C2844" s="13"/>
      <c r="D2844" s="13"/>
      <c r="E2844" s="13"/>
      <c r="F2844" s="13"/>
      <c r="G2844" s="13"/>
      <c r="H2844" s="13"/>
      <c r="I2844" s="13"/>
      <c r="J2844" s="13"/>
      <c r="K2844" s="13"/>
      <c r="L2844" s="13"/>
      <c r="M2844" s="13"/>
      <c r="N2844" s="13"/>
    </row>
    <row r="2845" ht="15.75" hidden="1" customHeight="1">
      <c r="A2845" s="13"/>
      <c r="B2845" s="13"/>
      <c r="C2845" s="13"/>
      <c r="D2845" s="13"/>
      <c r="E2845" s="13"/>
      <c r="F2845" s="13"/>
      <c r="G2845" s="13"/>
      <c r="H2845" s="13"/>
      <c r="I2845" s="13"/>
      <c r="J2845" s="13"/>
      <c r="K2845" s="13"/>
      <c r="L2845" s="13"/>
      <c r="M2845" s="13"/>
      <c r="N2845" s="13"/>
    </row>
    <row r="2846" ht="15.75" hidden="1" customHeight="1">
      <c r="A2846" s="13"/>
      <c r="B2846" s="13"/>
      <c r="C2846" s="13"/>
      <c r="D2846" s="13"/>
      <c r="E2846" s="13"/>
      <c r="F2846" s="13"/>
      <c r="G2846" s="13"/>
      <c r="H2846" s="13"/>
      <c r="I2846" s="13"/>
      <c r="J2846" s="13"/>
      <c r="K2846" s="13"/>
      <c r="L2846" s="13"/>
      <c r="M2846" s="13"/>
      <c r="N2846" s="13"/>
    </row>
    <row r="2847" ht="15.75" hidden="1" customHeight="1">
      <c r="A2847" s="13"/>
      <c r="B2847" s="13"/>
      <c r="C2847" s="13"/>
      <c r="D2847" s="13"/>
      <c r="E2847" s="13"/>
      <c r="F2847" s="13"/>
      <c r="G2847" s="13"/>
      <c r="H2847" s="13"/>
      <c r="I2847" s="13"/>
      <c r="J2847" s="13"/>
      <c r="K2847" s="13"/>
      <c r="L2847" s="13"/>
      <c r="M2847" s="13"/>
      <c r="N2847" s="13"/>
    </row>
    <row r="2848" ht="15.75" hidden="1" customHeight="1">
      <c r="A2848" s="13"/>
      <c r="B2848" s="13"/>
      <c r="C2848" s="13"/>
      <c r="D2848" s="13"/>
      <c r="E2848" s="13"/>
      <c r="F2848" s="13"/>
      <c r="G2848" s="13"/>
      <c r="H2848" s="13"/>
      <c r="I2848" s="13"/>
      <c r="J2848" s="13"/>
      <c r="K2848" s="13"/>
      <c r="L2848" s="13"/>
      <c r="M2848" s="13"/>
      <c r="N2848" s="13"/>
    </row>
    <row r="2849" ht="15.75" hidden="1" customHeight="1">
      <c r="A2849" s="13"/>
      <c r="B2849" s="13"/>
      <c r="C2849" s="13"/>
      <c r="D2849" s="13"/>
      <c r="E2849" s="13"/>
      <c r="F2849" s="13"/>
      <c r="G2849" s="13"/>
      <c r="H2849" s="13"/>
      <c r="I2849" s="13"/>
      <c r="J2849" s="13"/>
      <c r="K2849" s="13"/>
      <c r="L2849" s="13"/>
      <c r="M2849" s="13"/>
      <c r="N2849" s="13"/>
    </row>
    <row r="2850" ht="15.75" hidden="1" customHeight="1">
      <c r="A2850" s="13"/>
      <c r="B2850" s="13"/>
      <c r="C2850" s="13"/>
      <c r="D2850" s="13"/>
      <c r="E2850" s="13"/>
      <c r="F2850" s="13"/>
      <c r="G2850" s="13"/>
      <c r="H2850" s="13"/>
      <c r="I2850" s="13"/>
      <c r="J2850" s="13"/>
      <c r="K2850" s="13"/>
      <c r="L2850" s="13"/>
      <c r="M2850" s="13"/>
      <c r="N2850" s="13"/>
    </row>
    <row r="2851" ht="15.75" hidden="1" customHeight="1">
      <c r="A2851" s="13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13"/>
    </row>
    <row r="2852" ht="15.75" hidden="1" customHeight="1">
      <c r="A2852" s="13"/>
      <c r="B2852" s="13"/>
      <c r="C2852" s="13"/>
      <c r="D2852" s="13"/>
      <c r="E2852" s="13"/>
      <c r="F2852" s="13"/>
      <c r="G2852" s="13"/>
      <c r="H2852" s="13"/>
      <c r="I2852" s="13"/>
      <c r="J2852" s="13"/>
      <c r="K2852" s="13"/>
      <c r="L2852" s="13"/>
      <c r="M2852" s="13"/>
      <c r="N2852" s="13"/>
    </row>
    <row r="2853" ht="15.75" hidden="1" customHeight="1">
      <c r="A2853" s="13"/>
      <c r="B2853" s="13"/>
      <c r="C2853" s="13"/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</row>
    <row r="2854" ht="15.75" hidden="1" customHeight="1">
      <c r="A2854" s="13"/>
      <c r="B2854" s="13"/>
      <c r="C2854" s="13"/>
      <c r="D2854" s="13"/>
      <c r="E2854" s="13"/>
      <c r="F2854" s="13"/>
      <c r="G2854" s="13"/>
      <c r="H2854" s="13"/>
      <c r="I2854" s="13"/>
      <c r="J2854" s="13"/>
      <c r="K2854" s="13"/>
      <c r="L2854" s="13"/>
      <c r="M2854" s="13"/>
      <c r="N2854" s="13"/>
    </row>
    <row r="2855" ht="15.75" hidden="1" customHeight="1">
      <c r="A2855" s="13"/>
      <c r="B2855" s="13"/>
      <c r="C2855" s="13"/>
      <c r="D2855" s="13"/>
      <c r="E2855" s="13"/>
      <c r="F2855" s="13"/>
      <c r="G2855" s="13"/>
      <c r="H2855" s="13"/>
      <c r="I2855" s="13"/>
      <c r="J2855" s="13"/>
      <c r="K2855" s="13"/>
      <c r="L2855" s="13"/>
      <c r="M2855" s="13"/>
      <c r="N2855" s="13"/>
    </row>
    <row r="2856" ht="15.75" hidden="1" customHeight="1">
      <c r="A2856" s="13"/>
      <c r="B2856" s="13"/>
      <c r="C2856" s="13"/>
      <c r="D2856" s="13"/>
      <c r="E2856" s="13"/>
      <c r="F2856" s="13"/>
      <c r="G2856" s="13"/>
      <c r="H2856" s="13"/>
      <c r="I2856" s="13"/>
      <c r="J2856" s="13"/>
      <c r="K2856" s="13"/>
      <c r="L2856" s="13"/>
      <c r="M2856" s="13"/>
      <c r="N2856" s="13"/>
    </row>
    <row r="2857" ht="15.75" hidden="1" customHeight="1">
      <c r="A2857" s="13"/>
      <c r="B2857" s="13"/>
      <c r="C2857" s="13"/>
      <c r="D2857" s="13"/>
      <c r="E2857" s="13"/>
      <c r="F2857" s="13"/>
      <c r="G2857" s="13"/>
      <c r="H2857" s="13"/>
      <c r="I2857" s="13"/>
      <c r="J2857" s="13"/>
      <c r="K2857" s="13"/>
      <c r="L2857" s="13"/>
      <c r="M2857" s="13"/>
      <c r="N2857" s="13"/>
    </row>
    <row r="2858" ht="15.75" hidden="1" customHeight="1">
      <c r="A2858" s="13"/>
      <c r="B2858" s="13"/>
      <c r="C2858" s="13"/>
      <c r="D2858" s="13"/>
      <c r="E2858" s="13"/>
      <c r="F2858" s="13"/>
      <c r="G2858" s="13"/>
      <c r="H2858" s="13"/>
      <c r="I2858" s="13"/>
      <c r="J2858" s="13"/>
      <c r="K2858" s="13"/>
      <c r="L2858" s="13"/>
      <c r="M2858" s="13"/>
      <c r="N2858" s="13"/>
    </row>
    <row r="2859" ht="15.75" hidden="1" customHeight="1">
      <c r="A2859" s="13"/>
      <c r="B2859" s="13"/>
      <c r="C2859" s="13"/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</row>
    <row r="2860" ht="15.75" hidden="1" customHeight="1">
      <c r="A2860" s="13"/>
      <c r="B2860" s="13"/>
      <c r="C2860" s="13"/>
      <c r="D2860" s="13"/>
      <c r="E2860" s="13"/>
      <c r="F2860" s="13"/>
      <c r="G2860" s="13"/>
      <c r="H2860" s="13"/>
      <c r="I2860" s="13"/>
      <c r="J2860" s="13"/>
      <c r="K2860" s="13"/>
      <c r="L2860" s="13"/>
      <c r="M2860" s="13"/>
      <c r="N2860" s="13"/>
    </row>
    <row r="2861" ht="15.75" hidden="1" customHeight="1">
      <c r="A2861" s="13"/>
      <c r="B2861" s="13"/>
      <c r="C2861" s="13"/>
      <c r="D2861" s="13"/>
      <c r="E2861" s="13"/>
      <c r="F2861" s="13"/>
      <c r="G2861" s="13"/>
      <c r="H2861" s="13"/>
      <c r="I2861" s="13"/>
      <c r="J2861" s="13"/>
      <c r="K2861" s="13"/>
      <c r="L2861" s="13"/>
      <c r="M2861" s="13"/>
      <c r="N2861" s="13"/>
    </row>
    <row r="2862" ht="15.75" hidden="1" customHeight="1">
      <c r="A2862" s="13"/>
      <c r="B2862" s="13"/>
      <c r="C2862" s="13"/>
      <c r="D2862" s="13"/>
      <c r="E2862" s="13"/>
      <c r="F2862" s="13"/>
      <c r="G2862" s="13"/>
      <c r="H2862" s="13"/>
      <c r="I2862" s="13"/>
      <c r="J2862" s="13"/>
      <c r="K2862" s="13"/>
      <c r="L2862" s="13"/>
      <c r="M2862" s="13"/>
      <c r="N2862" s="13"/>
    </row>
    <row r="2863" ht="15.75" hidden="1" customHeight="1">
      <c r="A2863" s="13"/>
      <c r="B2863" s="13"/>
      <c r="C2863" s="13"/>
      <c r="D2863" s="13"/>
      <c r="E2863" s="13"/>
      <c r="F2863" s="13"/>
      <c r="G2863" s="13"/>
      <c r="H2863" s="13"/>
      <c r="I2863" s="13"/>
      <c r="J2863" s="13"/>
      <c r="K2863" s="13"/>
      <c r="L2863" s="13"/>
      <c r="M2863" s="13"/>
      <c r="N2863" s="13"/>
    </row>
    <row r="2864" ht="15.75" hidden="1" customHeight="1">
      <c r="A2864" s="13"/>
      <c r="B2864" s="13"/>
      <c r="C2864" s="13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</row>
    <row r="2865" ht="15.75" hidden="1" customHeight="1">
      <c r="A2865" s="13"/>
      <c r="B2865" s="13"/>
      <c r="C2865" s="13"/>
      <c r="D2865" s="13"/>
      <c r="E2865" s="13"/>
      <c r="F2865" s="13"/>
      <c r="G2865" s="13"/>
      <c r="H2865" s="13"/>
      <c r="I2865" s="13"/>
      <c r="J2865" s="13"/>
      <c r="K2865" s="13"/>
      <c r="L2865" s="13"/>
      <c r="M2865" s="13"/>
      <c r="N2865" s="13"/>
    </row>
    <row r="2866" ht="15.75" hidden="1" customHeight="1">
      <c r="A2866" s="13"/>
      <c r="B2866" s="13"/>
      <c r="C2866" s="13"/>
      <c r="D2866" s="13"/>
      <c r="E2866" s="13"/>
      <c r="F2866" s="13"/>
      <c r="G2866" s="13"/>
      <c r="H2866" s="13"/>
      <c r="I2866" s="13"/>
      <c r="J2866" s="13"/>
      <c r="K2866" s="13"/>
      <c r="L2866" s="13"/>
      <c r="M2866" s="13"/>
      <c r="N2866" s="13"/>
    </row>
    <row r="2867" ht="15.75" hidden="1" customHeight="1">
      <c r="A2867" s="13"/>
      <c r="B2867" s="13"/>
      <c r="C2867" s="13"/>
      <c r="D2867" s="13"/>
      <c r="E2867" s="13"/>
      <c r="F2867" s="13"/>
      <c r="G2867" s="13"/>
      <c r="H2867" s="13"/>
      <c r="I2867" s="13"/>
      <c r="J2867" s="13"/>
      <c r="K2867" s="13"/>
      <c r="L2867" s="13"/>
      <c r="M2867" s="13"/>
      <c r="N2867" s="13"/>
    </row>
    <row r="2868" ht="15.75" hidden="1" customHeight="1">
      <c r="A2868" s="13"/>
      <c r="B2868" s="13"/>
      <c r="C2868" s="13"/>
      <c r="D2868" s="13"/>
      <c r="E2868" s="13"/>
      <c r="F2868" s="13"/>
      <c r="G2868" s="13"/>
      <c r="H2868" s="13"/>
      <c r="I2868" s="13"/>
      <c r="J2868" s="13"/>
      <c r="K2868" s="13"/>
      <c r="L2868" s="13"/>
      <c r="M2868" s="13"/>
      <c r="N2868" s="13"/>
    </row>
    <row r="2869" ht="15.75" hidden="1" customHeight="1">
      <c r="A2869" s="13"/>
      <c r="B2869" s="13"/>
      <c r="C2869" s="13"/>
      <c r="D2869" s="13"/>
      <c r="E2869" s="13"/>
      <c r="F2869" s="13"/>
      <c r="G2869" s="13"/>
      <c r="H2869" s="13"/>
      <c r="I2869" s="13"/>
      <c r="J2869" s="13"/>
      <c r="K2869" s="13"/>
      <c r="L2869" s="13"/>
      <c r="M2869" s="13"/>
      <c r="N2869" s="13"/>
    </row>
    <row r="2870" ht="15.75" hidden="1" customHeight="1">
      <c r="A2870" s="13"/>
      <c r="B2870" s="13"/>
      <c r="C2870" s="13"/>
      <c r="D2870" s="13"/>
      <c r="E2870" s="13"/>
      <c r="F2870" s="13"/>
      <c r="G2870" s="13"/>
      <c r="H2870" s="13"/>
      <c r="I2870" s="13"/>
      <c r="J2870" s="13"/>
      <c r="K2870" s="13"/>
      <c r="L2870" s="13"/>
      <c r="M2870" s="13"/>
      <c r="N2870" s="13"/>
    </row>
    <row r="2871" ht="15.75" hidden="1" customHeight="1">
      <c r="A2871" s="13"/>
      <c r="B2871" s="13"/>
      <c r="C2871" s="13"/>
      <c r="D2871" s="13"/>
      <c r="E2871" s="13"/>
      <c r="F2871" s="13"/>
      <c r="G2871" s="13"/>
      <c r="H2871" s="13"/>
      <c r="I2871" s="13"/>
      <c r="J2871" s="13"/>
      <c r="K2871" s="13"/>
      <c r="L2871" s="13"/>
      <c r="M2871" s="13"/>
      <c r="N2871" s="13"/>
    </row>
    <row r="2872" ht="15.75" hidden="1" customHeight="1">
      <c r="A2872" s="13"/>
      <c r="B2872" s="13"/>
      <c r="C2872" s="13"/>
      <c r="D2872" s="13"/>
      <c r="E2872" s="13"/>
      <c r="F2872" s="13"/>
      <c r="G2872" s="13"/>
      <c r="H2872" s="13"/>
      <c r="I2872" s="13"/>
      <c r="J2872" s="13"/>
      <c r="K2872" s="13"/>
      <c r="L2872" s="13"/>
      <c r="M2872" s="13"/>
      <c r="N2872" s="13"/>
    </row>
    <row r="2873" ht="15.75" hidden="1" customHeight="1">
      <c r="A2873" s="13"/>
      <c r="B2873" s="13"/>
      <c r="C2873" s="13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</row>
    <row r="2874" ht="15.75" hidden="1" customHeight="1">
      <c r="A2874" s="13"/>
      <c r="B2874" s="13"/>
      <c r="C2874" s="13"/>
      <c r="D2874" s="13"/>
      <c r="E2874" s="13"/>
      <c r="F2874" s="13"/>
      <c r="G2874" s="13"/>
      <c r="H2874" s="13"/>
      <c r="I2874" s="13"/>
      <c r="J2874" s="13"/>
      <c r="K2874" s="13"/>
      <c r="L2874" s="13"/>
      <c r="M2874" s="13"/>
      <c r="N2874" s="13"/>
    </row>
    <row r="2875" ht="15.75" hidden="1" customHeight="1">
      <c r="A2875" s="13"/>
      <c r="B2875" s="13"/>
      <c r="C2875" s="13"/>
      <c r="D2875" s="13"/>
      <c r="E2875" s="13"/>
      <c r="F2875" s="13"/>
      <c r="G2875" s="13"/>
      <c r="H2875" s="13"/>
      <c r="I2875" s="13"/>
      <c r="J2875" s="13"/>
      <c r="K2875" s="13"/>
      <c r="L2875" s="13"/>
      <c r="M2875" s="13"/>
      <c r="N2875" s="13"/>
    </row>
    <row r="2876" ht="15.75" hidden="1" customHeight="1">
      <c r="A2876" s="13"/>
      <c r="B2876" s="13"/>
      <c r="C2876" s="13"/>
      <c r="D2876" s="13"/>
      <c r="E2876" s="13"/>
      <c r="F2876" s="13"/>
      <c r="G2876" s="13"/>
      <c r="H2876" s="13"/>
      <c r="I2876" s="13"/>
      <c r="J2876" s="13"/>
      <c r="K2876" s="13"/>
      <c r="L2876" s="13"/>
      <c r="M2876" s="13"/>
      <c r="N2876" s="13"/>
    </row>
    <row r="2877" ht="15.75" hidden="1" customHeight="1">
      <c r="A2877" s="13"/>
      <c r="B2877" s="13"/>
      <c r="C2877" s="13"/>
      <c r="D2877" s="13"/>
      <c r="E2877" s="13"/>
      <c r="F2877" s="13"/>
      <c r="G2877" s="13"/>
      <c r="H2877" s="13"/>
      <c r="I2877" s="13"/>
      <c r="J2877" s="13"/>
      <c r="K2877" s="13"/>
      <c r="L2877" s="13"/>
      <c r="M2877" s="13"/>
      <c r="N2877" s="13"/>
    </row>
    <row r="2878" ht="15.75" hidden="1" customHeight="1">
      <c r="A2878" s="13"/>
      <c r="B2878" s="13"/>
      <c r="C2878" s="13"/>
      <c r="D2878" s="13"/>
      <c r="E2878" s="13"/>
      <c r="F2878" s="13"/>
      <c r="G2878" s="13"/>
      <c r="H2878" s="13"/>
      <c r="I2878" s="13"/>
      <c r="J2878" s="13"/>
      <c r="K2878" s="13"/>
      <c r="L2878" s="13"/>
      <c r="M2878" s="13"/>
      <c r="N2878" s="13"/>
    </row>
    <row r="2879" ht="15.75" hidden="1" customHeight="1">
      <c r="A2879" s="13"/>
      <c r="B2879" s="13"/>
      <c r="C2879" s="13"/>
      <c r="D2879" s="13"/>
      <c r="E2879" s="13"/>
      <c r="F2879" s="13"/>
      <c r="G2879" s="13"/>
      <c r="H2879" s="13"/>
      <c r="I2879" s="13"/>
      <c r="J2879" s="13"/>
      <c r="K2879" s="13"/>
      <c r="L2879" s="13"/>
      <c r="M2879" s="13"/>
      <c r="N2879" s="13"/>
    </row>
    <row r="2880" ht="15.75" hidden="1" customHeight="1">
      <c r="A2880" s="13"/>
      <c r="B2880" s="13"/>
      <c r="C2880" s="13"/>
      <c r="D2880" s="13"/>
      <c r="E2880" s="13"/>
      <c r="F2880" s="13"/>
      <c r="G2880" s="13"/>
      <c r="H2880" s="13"/>
      <c r="I2880" s="13"/>
      <c r="J2880" s="13"/>
      <c r="K2880" s="13"/>
      <c r="L2880" s="13"/>
      <c r="M2880" s="13"/>
      <c r="N2880" s="13"/>
    </row>
    <row r="2881" ht="15.75" hidden="1" customHeight="1">
      <c r="A2881" s="13"/>
      <c r="B2881" s="13"/>
      <c r="C2881" s="13"/>
      <c r="D2881" s="13"/>
      <c r="E2881" s="13"/>
      <c r="F2881" s="13"/>
      <c r="G2881" s="13"/>
      <c r="H2881" s="13"/>
      <c r="I2881" s="13"/>
      <c r="J2881" s="13"/>
      <c r="K2881" s="13"/>
      <c r="L2881" s="13"/>
      <c r="M2881" s="13"/>
      <c r="N2881" s="13"/>
    </row>
    <row r="2882" ht="15.75" hidden="1" customHeight="1">
      <c r="A2882" s="13"/>
      <c r="B2882" s="13"/>
      <c r="C2882" s="13"/>
      <c r="D2882" s="13"/>
      <c r="E2882" s="13"/>
      <c r="F2882" s="13"/>
      <c r="G2882" s="13"/>
      <c r="H2882" s="13"/>
      <c r="I2882" s="13"/>
      <c r="J2882" s="13"/>
      <c r="K2882" s="13"/>
      <c r="L2882" s="13"/>
      <c r="M2882" s="13"/>
      <c r="N2882" s="13"/>
    </row>
    <row r="2883" ht="15.75" hidden="1" customHeight="1">
      <c r="A2883" s="13"/>
      <c r="B2883" s="13"/>
      <c r="C2883" s="13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</row>
    <row r="2884" ht="15.75" hidden="1" customHeight="1">
      <c r="A2884" s="13"/>
      <c r="B2884" s="13"/>
      <c r="C2884" s="13"/>
      <c r="D2884" s="13"/>
      <c r="E2884" s="13"/>
      <c r="F2884" s="13"/>
      <c r="G2884" s="13"/>
      <c r="H2884" s="13"/>
      <c r="I2884" s="13"/>
      <c r="J2884" s="13"/>
      <c r="K2884" s="13"/>
      <c r="L2884" s="13"/>
      <c r="M2884" s="13"/>
      <c r="N2884" s="13"/>
    </row>
    <row r="2885" ht="15.75" hidden="1" customHeight="1">
      <c r="A2885" s="13"/>
      <c r="B2885" s="13"/>
      <c r="C2885" s="13"/>
      <c r="D2885" s="13"/>
      <c r="E2885" s="13"/>
      <c r="F2885" s="13"/>
      <c r="G2885" s="13"/>
      <c r="H2885" s="13"/>
      <c r="I2885" s="13"/>
      <c r="J2885" s="13"/>
      <c r="K2885" s="13"/>
      <c r="L2885" s="13"/>
      <c r="M2885" s="13"/>
      <c r="N2885" s="13"/>
    </row>
    <row r="2886" ht="15.75" hidden="1" customHeight="1">
      <c r="A2886" s="13"/>
      <c r="B2886" s="13"/>
      <c r="C2886" s="13"/>
      <c r="D2886" s="13"/>
      <c r="E2886" s="13"/>
      <c r="F2886" s="13"/>
      <c r="G2886" s="13"/>
      <c r="H2886" s="13"/>
      <c r="I2886" s="13"/>
      <c r="J2886" s="13"/>
      <c r="K2886" s="13"/>
      <c r="L2886" s="13"/>
      <c r="M2886" s="13"/>
      <c r="N2886" s="13"/>
    </row>
    <row r="2887" ht="15.75" hidden="1" customHeight="1">
      <c r="A2887" s="13"/>
      <c r="B2887" s="13"/>
      <c r="C2887" s="13"/>
      <c r="D2887" s="13"/>
      <c r="E2887" s="13"/>
      <c r="F2887" s="13"/>
      <c r="G2887" s="13"/>
      <c r="H2887" s="13"/>
      <c r="I2887" s="13"/>
      <c r="J2887" s="13"/>
      <c r="K2887" s="13"/>
      <c r="L2887" s="13"/>
      <c r="M2887" s="13"/>
      <c r="N2887" s="13"/>
    </row>
    <row r="2888" ht="15.75" hidden="1" customHeight="1">
      <c r="A2888" s="13"/>
      <c r="B2888" s="13"/>
      <c r="C2888" s="13"/>
      <c r="D2888" s="13"/>
      <c r="E2888" s="13"/>
      <c r="F2888" s="13"/>
      <c r="G2888" s="13"/>
      <c r="H2888" s="13"/>
      <c r="I2888" s="13"/>
      <c r="J2888" s="13"/>
      <c r="K2888" s="13"/>
      <c r="L2888" s="13"/>
      <c r="M2888" s="13"/>
      <c r="N2888" s="13"/>
    </row>
    <row r="2889" ht="15.75" hidden="1" customHeight="1">
      <c r="A2889" s="13"/>
      <c r="B2889" s="13"/>
      <c r="C2889" s="13"/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</row>
    <row r="2890" ht="15.75" hidden="1" customHeight="1">
      <c r="A2890" s="13"/>
      <c r="B2890" s="13"/>
      <c r="C2890" s="13"/>
      <c r="D2890" s="13"/>
      <c r="E2890" s="13"/>
      <c r="F2890" s="13"/>
      <c r="G2890" s="13"/>
      <c r="H2890" s="13"/>
      <c r="I2890" s="13"/>
      <c r="J2890" s="13"/>
      <c r="K2890" s="13"/>
      <c r="L2890" s="13"/>
      <c r="M2890" s="13"/>
      <c r="N2890" s="13"/>
    </row>
    <row r="2891" ht="15.75" hidden="1" customHeight="1">
      <c r="A2891" s="13"/>
      <c r="B2891" s="13"/>
      <c r="C2891" s="13"/>
      <c r="D2891" s="13"/>
      <c r="E2891" s="13"/>
      <c r="F2891" s="13"/>
      <c r="G2891" s="13"/>
      <c r="H2891" s="13"/>
      <c r="I2891" s="13"/>
      <c r="J2891" s="13"/>
      <c r="K2891" s="13"/>
      <c r="L2891" s="13"/>
      <c r="M2891" s="13"/>
      <c r="N2891" s="13"/>
    </row>
    <row r="2892" ht="15.75" hidden="1" customHeight="1">
      <c r="A2892" s="13"/>
      <c r="B2892" s="13"/>
      <c r="C2892" s="13"/>
      <c r="D2892" s="13"/>
      <c r="E2892" s="13"/>
      <c r="F2892" s="13"/>
      <c r="G2892" s="13"/>
      <c r="H2892" s="13"/>
      <c r="I2892" s="13"/>
      <c r="J2892" s="13"/>
      <c r="K2892" s="13"/>
      <c r="L2892" s="13"/>
      <c r="M2892" s="13"/>
      <c r="N2892" s="13"/>
    </row>
    <row r="2893" ht="15.75" hidden="1" customHeight="1">
      <c r="A2893" s="13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13"/>
    </row>
    <row r="2894" ht="15.75" hidden="1" customHeight="1">
      <c r="A2894" s="13"/>
      <c r="B2894" s="13"/>
      <c r="C2894" s="13"/>
      <c r="D2894" s="13"/>
      <c r="E2894" s="13"/>
      <c r="F2894" s="13"/>
      <c r="G2894" s="13"/>
      <c r="H2894" s="13"/>
      <c r="I2894" s="13"/>
      <c r="J2894" s="13"/>
      <c r="K2894" s="13"/>
      <c r="L2894" s="13"/>
      <c r="M2894" s="13"/>
      <c r="N2894" s="13"/>
    </row>
    <row r="2895" ht="15.75" hidden="1" customHeight="1">
      <c r="A2895" s="13"/>
      <c r="B2895" s="13"/>
      <c r="C2895" s="13"/>
      <c r="D2895" s="13"/>
      <c r="E2895" s="13"/>
      <c r="F2895" s="13"/>
      <c r="G2895" s="13"/>
      <c r="H2895" s="13"/>
      <c r="I2895" s="13"/>
      <c r="J2895" s="13"/>
      <c r="K2895" s="13"/>
      <c r="L2895" s="13"/>
      <c r="M2895" s="13"/>
      <c r="N2895" s="13"/>
    </row>
    <row r="2896" ht="15.75" hidden="1" customHeight="1">
      <c r="A2896" s="13"/>
      <c r="B2896" s="13"/>
      <c r="C2896" s="13"/>
      <c r="D2896" s="13"/>
      <c r="E2896" s="13"/>
      <c r="F2896" s="13"/>
      <c r="G2896" s="13"/>
      <c r="H2896" s="13"/>
      <c r="I2896" s="13"/>
      <c r="J2896" s="13"/>
      <c r="K2896" s="13"/>
      <c r="L2896" s="13"/>
      <c r="M2896" s="13"/>
      <c r="N2896" s="13"/>
    </row>
    <row r="2897" ht="15.75" hidden="1" customHeight="1">
      <c r="A2897" s="13"/>
      <c r="B2897" s="13"/>
      <c r="C2897" s="13"/>
      <c r="D2897" s="13"/>
      <c r="E2897" s="13"/>
      <c r="F2897" s="13"/>
      <c r="G2897" s="13"/>
      <c r="H2897" s="13"/>
      <c r="I2897" s="13"/>
      <c r="J2897" s="13"/>
      <c r="K2897" s="13"/>
      <c r="L2897" s="13"/>
      <c r="M2897" s="13"/>
      <c r="N2897" s="13"/>
    </row>
    <row r="2898" ht="15.75" hidden="1" customHeight="1">
      <c r="A2898" s="13"/>
      <c r="B2898" s="13"/>
      <c r="C2898" s="13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</row>
    <row r="2899" ht="15.75" hidden="1" customHeight="1">
      <c r="A2899" s="13"/>
      <c r="B2899" s="13"/>
      <c r="C2899" s="13"/>
      <c r="D2899" s="13"/>
      <c r="E2899" s="13"/>
      <c r="F2899" s="13"/>
      <c r="G2899" s="13"/>
      <c r="H2899" s="13"/>
      <c r="I2899" s="13"/>
      <c r="J2899" s="13"/>
      <c r="K2899" s="13"/>
      <c r="L2899" s="13"/>
      <c r="M2899" s="13"/>
      <c r="N2899" s="13"/>
    </row>
    <row r="2900" ht="15.75" hidden="1" customHeight="1">
      <c r="A2900" s="13"/>
      <c r="B2900" s="13"/>
      <c r="C2900" s="13"/>
      <c r="D2900" s="13"/>
      <c r="E2900" s="13"/>
      <c r="F2900" s="13"/>
      <c r="G2900" s="13"/>
      <c r="H2900" s="13"/>
      <c r="I2900" s="13"/>
      <c r="J2900" s="13"/>
      <c r="K2900" s="13"/>
      <c r="L2900" s="13"/>
      <c r="M2900" s="13"/>
      <c r="N2900" s="13"/>
    </row>
    <row r="2901" ht="15.75" hidden="1" customHeight="1">
      <c r="A2901" s="13"/>
      <c r="B2901" s="13"/>
      <c r="C2901" s="13"/>
      <c r="D2901" s="13"/>
      <c r="E2901" s="13"/>
      <c r="F2901" s="13"/>
      <c r="G2901" s="13"/>
      <c r="H2901" s="13"/>
      <c r="I2901" s="13"/>
      <c r="J2901" s="13"/>
      <c r="K2901" s="13"/>
      <c r="L2901" s="13"/>
      <c r="M2901" s="13"/>
      <c r="N2901" s="13"/>
    </row>
    <row r="2902" ht="15.75" hidden="1" customHeight="1">
      <c r="A2902" s="13"/>
      <c r="B2902" s="13"/>
      <c r="C2902" s="13"/>
      <c r="D2902" s="13"/>
      <c r="E2902" s="13"/>
      <c r="F2902" s="13"/>
      <c r="G2902" s="13"/>
      <c r="H2902" s="13"/>
      <c r="I2902" s="13"/>
      <c r="J2902" s="13"/>
      <c r="K2902" s="13"/>
      <c r="L2902" s="13"/>
      <c r="M2902" s="13"/>
      <c r="N2902" s="13"/>
    </row>
    <row r="2903" ht="15.75" hidden="1" customHeight="1">
      <c r="A2903" s="13"/>
      <c r="B2903" s="13"/>
      <c r="C2903" s="13"/>
      <c r="D2903" s="13"/>
      <c r="E2903" s="13"/>
      <c r="F2903" s="13"/>
      <c r="G2903" s="13"/>
      <c r="H2903" s="13"/>
      <c r="I2903" s="13"/>
      <c r="J2903" s="13"/>
      <c r="K2903" s="13"/>
      <c r="L2903" s="13"/>
      <c r="M2903" s="13"/>
      <c r="N2903" s="13"/>
    </row>
    <row r="2904" ht="15.75" hidden="1" customHeight="1">
      <c r="A2904" s="13"/>
      <c r="B2904" s="13"/>
      <c r="C2904" s="13"/>
      <c r="D2904" s="13"/>
      <c r="E2904" s="13"/>
      <c r="F2904" s="13"/>
      <c r="G2904" s="13"/>
      <c r="H2904" s="13"/>
      <c r="I2904" s="13"/>
      <c r="J2904" s="13"/>
      <c r="K2904" s="13"/>
      <c r="L2904" s="13"/>
      <c r="M2904" s="13"/>
      <c r="N2904" s="13"/>
    </row>
    <row r="2905" ht="15.75" hidden="1" customHeight="1">
      <c r="A2905" s="13"/>
      <c r="B2905" s="13"/>
      <c r="C2905" s="13"/>
      <c r="D2905" s="13"/>
      <c r="E2905" s="13"/>
      <c r="F2905" s="13"/>
      <c r="G2905" s="13"/>
      <c r="H2905" s="13"/>
      <c r="I2905" s="13"/>
      <c r="J2905" s="13"/>
      <c r="K2905" s="13"/>
      <c r="L2905" s="13"/>
      <c r="M2905" s="13"/>
      <c r="N2905" s="13"/>
    </row>
    <row r="2906" ht="15.75" hidden="1" customHeight="1">
      <c r="A2906" s="13"/>
      <c r="B2906" s="13"/>
      <c r="C2906" s="13"/>
      <c r="D2906" s="13"/>
      <c r="E2906" s="13"/>
      <c r="F2906" s="13"/>
      <c r="G2906" s="13"/>
      <c r="H2906" s="13"/>
      <c r="I2906" s="13"/>
      <c r="J2906" s="13"/>
      <c r="K2906" s="13"/>
      <c r="L2906" s="13"/>
      <c r="M2906" s="13"/>
      <c r="N2906" s="13"/>
    </row>
    <row r="2907" ht="15.75" hidden="1" customHeight="1">
      <c r="A2907" s="13"/>
      <c r="B2907" s="13"/>
      <c r="C2907" s="13"/>
      <c r="D2907" s="13"/>
      <c r="E2907" s="13"/>
      <c r="F2907" s="13"/>
      <c r="G2907" s="13"/>
      <c r="H2907" s="13"/>
      <c r="I2907" s="13"/>
      <c r="J2907" s="13"/>
      <c r="K2907" s="13"/>
      <c r="L2907" s="13"/>
      <c r="M2907" s="13"/>
      <c r="N2907" s="13"/>
    </row>
    <row r="2908" ht="15.75" hidden="1" customHeight="1">
      <c r="A2908" s="13"/>
      <c r="B2908" s="13"/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</row>
    <row r="2909" ht="15.75" hidden="1" customHeight="1">
      <c r="A2909" s="13"/>
      <c r="B2909" s="13"/>
      <c r="C2909" s="13"/>
      <c r="D2909" s="13"/>
      <c r="E2909" s="13"/>
      <c r="F2909" s="13"/>
      <c r="G2909" s="13"/>
      <c r="H2909" s="13"/>
      <c r="I2909" s="13"/>
      <c r="J2909" s="13"/>
      <c r="K2909" s="13"/>
      <c r="L2909" s="13"/>
      <c r="M2909" s="13"/>
      <c r="N2909" s="13"/>
    </row>
    <row r="2910" ht="15.75" hidden="1" customHeight="1">
      <c r="A2910" s="13"/>
      <c r="B2910" s="13"/>
      <c r="C2910" s="13"/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</row>
    <row r="2911" ht="15.75" hidden="1" customHeight="1">
      <c r="A2911" s="13"/>
      <c r="B2911" s="13"/>
      <c r="C2911" s="13"/>
      <c r="D2911" s="13"/>
      <c r="E2911" s="13"/>
      <c r="F2911" s="13"/>
      <c r="G2911" s="13"/>
      <c r="H2911" s="13"/>
      <c r="I2911" s="13"/>
      <c r="J2911" s="13"/>
      <c r="K2911" s="13"/>
      <c r="L2911" s="13"/>
      <c r="M2911" s="13"/>
      <c r="N2911" s="13"/>
    </row>
    <row r="2912" ht="15.75" hidden="1" customHeight="1">
      <c r="A2912" s="13"/>
      <c r="B2912" s="13"/>
      <c r="C2912" s="13"/>
      <c r="D2912" s="13"/>
      <c r="E2912" s="13"/>
      <c r="F2912" s="13"/>
      <c r="G2912" s="13"/>
      <c r="H2912" s="13"/>
      <c r="I2912" s="13"/>
      <c r="J2912" s="13"/>
      <c r="K2912" s="13"/>
      <c r="L2912" s="13"/>
      <c r="M2912" s="13"/>
      <c r="N2912" s="13"/>
    </row>
    <row r="2913" ht="15.75" hidden="1" customHeight="1">
      <c r="A2913" s="13"/>
      <c r="B2913" s="13"/>
      <c r="C2913" s="13"/>
      <c r="D2913" s="13"/>
      <c r="E2913" s="13"/>
      <c r="F2913" s="13"/>
      <c r="G2913" s="13"/>
      <c r="H2913" s="13"/>
      <c r="I2913" s="13"/>
      <c r="J2913" s="13"/>
      <c r="K2913" s="13"/>
      <c r="L2913" s="13"/>
      <c r="M2913" s="13"/>
      <c r="N2913" s="13"/>
    </row>
    <row r="2914" ht="15.75" hidden="1" customHeight="1">
      <c r="A2914" s="13"/>
      <c r="B2914" s="13"/>
      <c r="C2914" s="13"/>
      <c r="D2914" s="13"/>
      <c r="E2914" s="13"/>
      <c r="F2914" s="13"/>
      <c r="G2914" s="13"/>
      <c r="H2914" s="13"/>
      <c r="I2914" s="13"/>
      <c r="J2914" s="13"/>
      <c r="K2914" s="13"/>
      <c r="L2914" s="13"/>
      <c r="M2914" s="13"/>
      <c r="N2914" s="13"/>
    </row>
    <row r="2915" ht="15.75" hidden="1" customHeight="1">
      <c r="A2915" s="13"/>
      <c r="B2915" s="13"/>
      <c r="C2915" s="13"/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</row>
    <row r="2916" ht="15.75" hidden="1" customHeight="1">
      <c r="A2916" s="13"/>
      <c r="B2916" s="13"/>
      <c r="C2916" s="13"/>
      <c r="D2916" s="13"/>
      <c r="E2916" s="13"/>
      <c r="F2916" s="13"/>
      <c r="G2916" s="13"/>
      <c r="H2916" s="13"/>
      <c r="I2916" s="13"/>
      <c r="J2916" s="13"/>
      <c r="K2916" s="13"/>
      <c r="L2916" s="13"/>
      <c r="M2916" s="13"/>
      <c r="N2916" s="13"/>
    </row>
    <row r="2917" ht="15.75" hidden="1" customHeight="1">
      <c r="A2917" s="13"/>
      <c r="B2917" s="13"/>
      <c r="C2917" s="13"/>
      <c r="D2917" s="13"/>
      <c r="E2917" s="13"/>
      <c r="F2917" s="13"/>
      <c r="G2917" s="13"/>
      <c r="H2917" s="13"/>
      <c r="I2917" s="13"/>
      <c r="J2917" s="13"/>
      <c r="K2917" s="13"/>
      <c r="L2917" s="13"/>
      <c r="M2917" s="13"/>
      <c r="N2917" s="13"/>
    </row>
    <row r="2918" ht="15.75" hidden="1" customHeight="1">
      <c r="A2918" s="13"/>
      <c r="B2918" s="13"/>
      <c r="C2918" s="13"/>
      <c r="D2918" s="13"/>
      <c r="E2918" s="13"/>
      <c r="F2918" s="13"/>
      <c r="G2918" s="13"/>
      <c r="H2918" s="13"/>
      <c r="I2918" s="13"/>
      <c r="J2918" s="13"/>
      <c r="K2918" s="13"/>
      <c r="L2918" s="13"/>
      <c r="M2918" s="13"/>
      <c r="N2918" s="13"/>
    </row>
    <row r="2919" ht="15.75" hidden="1" customHeight="1">
      <c r="A2919" s="13"/>
      <c r="B2919" s="13"/>
      <c r="C2919" s="13"/>
      <c r="D2919" s="13"/>
      <c r="E2919" s="13"/>
      <c r="F2919" s="13"/>
      <c r="G2919" s="13"/>
      <c r="H2919" s="13"/>
      <c r="I2919" s="13"/>
      <c r="J2919" s="13"/>
      <c r="K2919" s="13"/>
      <c r="L2919" s="13"/>
      <c r="M2919" s="13"/>
      <c r="N2919" s="13"/>
    </row>
    <row r="2920" ht="15.75" hidden="1" customHeight="1">
      <c r="A2920" s="13"/>
      <c r="B2920" s="13"/>
      <c r="C2920" s="13"/>
      <c r="D2920" s="13"/>
      <c r="E2920" s="13"/>
      <c r="F2920" s="13"/>
      <c r="G2920" s="13"/>
      <c r="H2920" s="13"/>
      <c r="I2920" s="13"/>
      <c r="J2920" s="13"/>
      <c r="K2920" s="13"/>
      <c r="L2920" s="13"/>
      <c r="M2920" s="13"/>
      <c r="N2920" s="13"/>
    </row>
    <row r="2921" ht="15.75" hidden="1" customHeight="1">
      <c r="A2921" s="13"/>
      <c r="B2921" s="13"/>
      <c r="C2921" s="13"/>
      <c r="D2921" s="13"/>
      <c r="E2921" s="13"/>
      <c r="F2921" s="13"/>
      <c r="G2921" s="13"/>
      <c r="H2921" s="13"/>
      <c r="I2921" s="13"/>
      <c r="J2921" s="13"/>
      <c r="K2921" s="13"/>
      <c r="L2921" s="13"/>
      <c r="M2921" s="13"/>
      <c r="N2921" s="13"/>
    </row>
    <row r="2922" ht="15.75" hidden="1" customHeight="1">
      <c r="A2922" s="13"/>
      <c r="B2922" s="13"/>
      <c r="C2922" s="13"/>
      <c r="D2922" s="13"/>
      <c r="E2922" s="13"/>
      <c r="F2922" s="13"/>
      <c r="G2922" s="13"/>
      <c r="H2922" s="13"/>
      <c r="I2922" s="13"/>
      <c r="J2922" s="13"/>
      <c r="K2922" s="13"/>
      <c r="L2922" s="13"/>
      <c r="M2922" s="13"/>
      <c r="N2922" s="13"/>
    </row>
    <row r="2923" ht="15.75" hidden="1" customHeight="1">
      <c r="A2923" s="13"/>
      <c r="B2923" s="13"/>
      <c r="C2923" s="13"/>
      <c r="D2923" s="13"/>
      <c r="E2923" s="13"/>
      <c r="F2923" s="13"/>
      <c r="G2923" s="13"/>
      <c r="H2923" s="13"/>
      <c r="I2923" s="13"/>
      <c r="J2923" s="13"/>
      <c r="K2923" s="13"/>
      <c r="L2923" s="13"/>
      <c r="M2923" s="13"/>
      <c r="N2923" s="13"/>
    </row>
    <row r="2924" ht="15.75" hidden="1" customHeight="1">
      <c r="A2924" s="13"/>
      <c r="B2924" s="13"/>
      <c r="C2924" s="13"/>
      <c r="D2924" s="13"/>
      <c r="E2924" s="13"/>
      <c r="F2924" s="13"/>
      <c r="G2924" s="13"/>
      <c r="H2924" s="13"/>
      <c r="I2924" s="13"/>
      <c r="J2924" s="13"/>
      <c r="K2924" s="13"/>
      <c r="L2924" s="13"/>
      <c r="M2924" s="13"/>
      <c r="N2924" s="13"/>
    </row>
    <row r="2925" ht="15.75" hidden="1" customHeight="1">
      <c r="A2925" s="13"/>
      <c r="B2925" s="13"/>
      <c r="C2925" s="13"/>
      <c r="D2925" s="13"/>
      <c r="E2925" s="13"/>
      <c r="F2925" s="13"/>
      <c r="G2925" s="13"/>
      <c r="H2925" s="13"/>
      <c r="I2925" s="13"/>
      <c r="J2925" s="13"/>
      <c r="K2925" s="13"/>
      <c r="L2925" s="13"/>
      <c r="M2925" s="13"/>
      <c r="N2925" s="13"/>
    </row>
    <row r="2926" ht="15.75" hidden="1" customHeight="1">
      <c r="A2926" s="13"/>
      <c r="B2926" s="13"/>
      <c r="C2926" s="13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</row>
    <row r="2927" ht="15.75" hidden="1" customHeight="1">
      <c r="A2927" s="13"/>
      <c r="B2927" s="13"/>
      <c r="C2927" s="13"/>
      <c r="D2927" s="13"/>
      <c r="E2927" s="13"/>
      <c r="F2927" s="13"/>
      <c r="G2927" s="13"/>
      <c r="H2927" s="13"/>
      <c r="I2927" s="13"/>
      <c r="J2927" s="13"/>
      <c r="K2927" s="13"/>
      <c r="L2927" s="13"/>
      <c r="M2927" s="13"/>
      <c r="N2927" s="13"/>
    </row>
    <row r="2928" ht="15.75" hidden="1" customHeight="1">
      <c r="A2928" s="13"/>
      <c r="B2928" s="13"/>
      <c r="C2928" s="13"/>
      <c r="D2928" s="13"/>
      <c r="E2928" s="13"/>
      <c r="F2928" s="13"/>
      <c r="G2928" s="13"/>
      <c r="H2928" s="13"/>
      <c r="I2928" s="13"/>
      <c r="J2928" s="13"/>
      <c r="K2928" s="13"/>
      <c r="L2928" s="13"/>
      <c r="M2928" s="13"/>
      <c r="N2928" s="13"/>
    </row>
    <row r="2929" ht="15.75" hidden="1" customHeight="1">
      <c r="A2929" s="13"/>
      <c r="B2929" s="13"/>
      <c r="C2929" s="13"/>
      <c r="D2929" s="13"/>
      <c r="E2929" s="13"/>
      <c r="F2929" s="13"/>
      <c r="G2929" s="13"/>
      <c r="H2929" s="13"/>
      <c r="I2929" s="13"/>
      <c r="J2929" s="13"/>
      <c r="K2929" s="13"/>
      <c r="L2929" s="13"/>
      <c r="M2929" s="13"/>
      <c r="N2929" s="13"/>
    </row>
    <row r="2930" ht="15.75" hidden="1" customHeight="1">
      <c r="A2930" s="13"/>
      <c r="B2930" s="13"/>
      <c r="C2930" s="13"/>
      <c r="D2930" s="13"/>
      <c r="E2930" s="13"/>
      <c r="F2930" s="13"/>
      <c r="G2930" s="13"/>
      <c r="H2930" s="13"/>
      <c r="I2930" s="13"/>
      <c r="J2930" s="13"/>
      <c r="K2930" s="13"/>
      <c r="L2930" s="13"/>
      <c r="M2930" s="13"/>
      <c r="N2930" s="13"/>
    </row>
    <row r="2931" ht="15.75" hidden="1" customHeight="1">
      <c r="A2931" s="13"/>
      <c r="B2931" s="13"/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  <c r="M2931" s="13"/>
      <c r="N2931" s="13"/>
    </row>
    <row r="2932" ht="15.75" hidden="1" customHeight="1">
      <c r="A2932" s="13"/>
      <c r="B2932" s="13"/>
      <c r="C2932" s="13"/>
      <c r="D2932" s="13"/>
      <c r="E2932" s="13"/>
      <c r="F2932" s="13"/>
      <c r="G2932" s="13"/>
      <c r="H2932" s="13"/>
      <c r="I2932" s="13"/>
      <c r="J2932" s="13"/>
      <c r="K2932" s="13"/>
      <c r="L2932" s="13"/>
      <c r="M2932" s="13"/>
      <c r="N2932" s="13"/>
    </row>
    <row r="2933" ht="15.75" hidden="1" customHeight="1">
      <c r="A2933" s="13"/>
      <c r="B2933" s="13"/>
      <c r="C2933" s="13"/>
      <c r="D2933" s="13"/>
      <c r="E2933" s="13"/>
      <c r="F2933" s="13"/>
      <c r="G2933" s="13"/>
      <c r="H2933" s="13"/>
      <c r="I2933" s="13"/>
      <c r="J2933" s="13"/>
      <c r="K2933" s="13"/>
      <c r="L2933" s="13"/>
      <c r="M2933" s="13"/>
      <c r="N2933" s="13"/>
    </row>
    <row r="2934" ht="15.75" hidden="1" customHeight="1">
      <c r="A2934" s="13"/>
      <c r="B2934" s="13"/>
      <c r="C2934" s="13"/>
      <c r="D2934" s="13"/>
      <c r="E2934" s="13"/>
      <c r="F2934" s="13"/>
      <c r="G2934" s="13"/>
      <c r="H2934" s="13"/>
      <c r="I2934" s="13"/>
      <c r="J2934" s="13"/>
      <c r="K2934" s="13"/>
      <c r="L2934" s="13"/>
      <c r="M2934" s="13"/>
      <c r="N2934" s="13"/>
    </row>
    <row r="2935" ht="15.75" hidden="1" customHeight="1">
      <c r="A2935" s="13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</row>
    <row r="2936" ht="15.75" hidden="1" customHeight="1">
      <c r="A2936" s="13"/>
      <c r="B2936" s="13"/>
      <c r="C2936" s="13"/>
      <c r="D2936" s="13"/>
      <c r="E2936" s="13"/>
      <c r="F2936" s="13"/>
      <c r="G2936" s="13"/>
      <c r="H2936" s="13"/>
      <c r="I2936" s="13"/>
      <c r="J2936" s="13"/>
      <c r="K2936" s="13"/>
      <c r="L2936" s="13"/>
      <c r="M2936" s="13"/>
      <c r="N2936" s="13"/>
    </row>
    <row r="2937" ht="15.75" hidden="1" customHeight="1">
      <c r="A2937" s="13"/>
      <c r="B2937" s="13"/>
      <c r="C2937" s="13"/>
      <c r="D2937" s="13"/>
      <c r="E2937" s="13"/>
      <c r="F2937" s="13"/>
      <c r="G2937" s="13"/>
      <c r="H2937" s="13"/>
      <c r="I2937" s="13"/>
      <c r="J2937" s="13"/>
      <c r="K2937" s="13"/>
      <c r="L2937" s="13"/>
      <c r="M2937" s="13"/>
      <c r="N2937" s="13"/>
    </row>
    <row r="2938" ht="15.75" hidden="1" customHeight="1">
      <c r="A2938" s="13"/>
      <c r="B2938" s="13"/>
      <c r="C2938" s="13"/>
      <c r="D2938" s="13"/>
      <c r="E2938" s="13"/>
      <c r="F2938" s="13"/>
      <c r="G2938" s="13"/>
      <c r="H2938" s="13"/>
      <c r="I2938" s="13"/>
      <c r="J2938" s="13"/>
      <c r="K2938" s="13"/>
      <c r="L2938" s="13"/>
      <c r="M2938" s="13"/>
      <c r="N2938" s="13"/>
    </row>
    <row r="2939" ht="15.75" hidden="1" customHeight="1">
      <c r="A2939" s="13"/>
      <c r="B2939" s="13"/>
      <c r="C2939" s="13"/>
      <c r="D2939" s="13"/>
      <c r="E2939" s="13"/>
      <c r="F2939" s="13"/>
      <c r="G2939" s="13"/>
      <c r="H2939" s="13"/>
      <c r="I2939" s="13"/>
      <c r="J2939" s="13"/>
      <c r="K2939" s="13"/>
      <c r="L2939" s="13"/>
      <c r="M2939" s="13"/>
      <c r="N2939" s="13"/>
    </row>
    <row r="2940" ht="15.75" hidden="1" customHeight="1">
      <c r="A2940" s="13"/>
      <c r="B2940" s="13"/>
      <c r="C2940" s="13"/>
      <c r="D2940" s="13"/>
      <c r="E2940" s="13"/>
      <c r="F2940" s="13"/>
      <c r="G2940" s="13"/>
      <c r="H2940" s="13"/>
      <c r="I2940" s="13"/>
      <c r="J2940" s="13"/>
      <c r="K2940" s="13"/>
      <c r="L2940" s="13"/>
      <c r="M2940" s="13"/>
      <c r="N2940" s="13"/>
    </row>
    <row r="2941" ht="15.75" hidden="1" customHeight="1">
      <c r="A2941" s="13"/>
      <c r="B2941" s="13"/>
      <c r="C2941" s="13"/>
      <c r="D2941" s="13"/>
      <c r="E2941" s="13"/>
      <c r="F2941" s="13"/>
      <c r="G2941" s="13"/>
      <c r="H2941" s="13"/>
      <c r="I2941" s="13"/>
      <c r="J2941" s="13"/>
      <c r="K2941" s="13"/>
      <c r="L2941" s="13"/>
      <c r="M2941" s="13"/>
      <c r="N2941" s="13"/>
    </row>
    <row r="2942" ht="15.75" hidden="1" customHeight="1">
      <c r="A2942" s="13"/>
      <c r="B2942" s="13"/>
      <c r="C2942" s="13"/>
      <c r="D2942" s="13"/>
      <c r="E2942" s="13"/>
      <c r="F2942" s="13"/>
      <c r="G2942" s="13"/>
      <c r="H2942" s="13"/>
      <c r="I2942" s="13"/>
      <c r="J2942" s="13"/>
      <c r="K2942" s="13"/>
      <c r="L2942" s="13"/>
      <c r="M2942" s="13"/>
      <c r="N2942" s="13"/>
    </row>
    <row r="2943" ht="15.75" hidden="1" customHeight="1">
      <c r="A2943" s="13"/>
      <c r="B2943" s="13"/>
      <c r="C2943" s="13"/>
      <c r="D2943" s="13"/>
      <c r="E2943" s="13"/>
      <c r="F2943" s="13"/>
      <c r="G2943" s="13"/>
      <c r="H2943" s="13"/>
      <c r="I2943" s="13"/>
      <c r="J2943" s="13"/>
      <c r="K2943" s="13"/>
      <c r="L2943" s="13"/>
      <c r="M2943" s="13"/>
      <c r="N2943" s="13"/>
    </row>
    <row r="2944" ht="15.75" hidden="1" customHeight="1">
      <c r="A2944" s="13"/>
      <c r="B2944" s="13"/>
      <c r="C2944" s="13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</row>
    <row r="2945" ht="15.75" hidden="1" customHeight="1">
      <c r="A2945" s="13"/>
      <c r="B2945" s="13"/>
      <c r="C2945" s="13"/>
      <c r="D2945" s="13"/>
      <c r="E2945" s="13"/>
      <c r="F2945" s="13"/>
      <c r="G2945" s="13"/>
      <c r="H2945" s="13"/>
      <c r="I2945" s="13"/>
      <c r="J2945" s="13"/>
      <c r="K2945" s="13"/>
      <c r="L2945" s="13"/>
      <c r="M2945" s="13"/>
      <c r="N2945" s="13"/>
    </row>
    <row r="2946" ht="15.75" hidden="1" customHeight="1">
      <c r="A2946" s="13"/>
      <c r="B2946" s="13"/>
      <c r="C2946" s="13"/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</row>
    <row r="2947" ht="15.75" hidden="1" customHeight="1">
      <c r="A2947" s="13"/>
      <c r="B2947" s="13"/>
      <c r="C2947" s="13"/>
      <c r="D2947" s="13"/>
      <c r="E2947" s="13"/>
      <c r="F2947" s="13"/>
      <c r="G2947" s="13"/>
      <c r="H2947" s="13"/>
      <c r="I2947" s="13"/>
      <c r="J2947" s="13"/>
      <c r="K2947" s="13"/>
      <c r="L2947" s="13"/>
      <c r="M2947" s="13"/>
      <c r="N2947" s="13"/>
    </row>
    <row r="2948" ht="15.75" hidden="1" customHeight="1">
      <c r="A2948" s="13"/>
      <c r="B2948" s="13"/>
      <c r="C2948" s="13"/>
      <c r="D2948" s="13"/>
      <c r="E2948" s="13"/>
      <c r="F2948" s="13"/>
      <c r="G2948" s="13"/>
      <c r="H2948" s="13"/>
      <c r="I2948" s="13"/>
      <c r="J2948" s="13"/>
      <c r="K2948" s="13"/>
      <c r="L2948" s="13"/>
      <c r="M2948" s="13"/>
      <c r="N2948" s="13"/>
    </row>
    <row r="2949" ht="15.75" hidden="1" customHeight="1">
      <c r="A2949" s="13"/>
      <c r="B2949" s="13"/>
      <c r="C2949" s="13"/>
      <c r="D2949" s="13"/>
      <c r="E2949" s="13"/>
      <c r="F2949" s="13"/>
      <c r="G2949" s="13"/>
      <c r="H2949" s="13"/>
      <c r="I2949" s="13"/>
      <c r="J2949" s="13"/>
      <c r="K2949" s="13"/>
      <c r="L2949" s="13"/>
      <c r="M2949" s="13"/>
      <c r="N2949" s="13"/>
    </row>
    <row r="2950" ht="15.75" hidden="1" customHeight="1">
      <c r="A2950" s="13"/>
      <c r="B2950" s="13"/>
      <c r="C2950" s="13"/>
      <c r="D2950" s="13"/>
      <c r="E2950" s="13"/>
      <c r="F2950" s="13"/>
      <c r="G2950" s="13"/>
      <c r="H2950" s="13"/>
      <c r="I2950" s="13"/>
      <c r="J2950" s="13"/>
      <c r="K2950" s="13"/>
      <c r="L2950" s="13"/>
      <c r="M2950" s="13"/>
      <c r="N2950" s="13"/>
    </row>
    <row r="2951" ht="15.75" hidden="1" customHeight="1">
      <c r="A2951" s="13"/>
      <c r="B2951" s="13"/>
      <c r="C2951" s="13"/>
      <c r="D2951" s="13"/>
      <c r="E2951" s="13"/>
      <c r="F2951" s="13"/>
      <c r="G2951" s="13"/>
      <c r="H2951" s="13"/>
      <c r="I2951" s="13"/>
      <c r="J2951" s="13"/>
      <c r="K2951" s="13"/>
      <c r="L2951" s="13"/>
      <c r="M2951" s="13"/>
      <c r="N2951" s="13"/>
    </row>
    <row r="2952" ht="15.75" hidden="1" customHeight="1">
      <c r="A2952" s="13"/>
      <c r="B2952" s="13"/>
      <c r="C2952" s="13"/>
      <c r="D2952" s="13"/>
      <c r="E2952" s="13"/>
      <c r="F2952" s="13"/>
      <c r="G2952" s="13"/>
      <c r="H2952" s="13"/>
      <c r="I2952" s="13"/>
      <c r="J2952" s="13"/>
      <c r="K2952" s="13"/>
      <c r="L2952" s="13"/>
      <c r="M2952" s="13"/>
      <c r="N2952" s="13"/>
    </row>
    <row r="2953" ht="15.75" hidden="1" customHeight="1">
      <c r="A2953" s="13"/>
      <c r="B2953" s="13"/>
      <c r="C2953" s="13"/>
      <c r="D2953" s="13"/>
      <c r="E2953" s="13"/>
      <c r="F2953" s="13"/>
      <c r="G2953" s="13"/>
      <c r="H2953" s="13"/>
      <c r="I2953" s="13"/>
      <c r="J2953" s="13"/>
      <c r="K2953" s="13"/>
      <c r="L2953" s="13"/>
      <c r="M2953" s="13"/>
      <c r="N2953" s="13"/>
    </row>
    <row r="2954" ht="15.75" hidden="1" customHeight="1">
      <c r="A2954" s="13"/>
      <c r="B2954" s="13"/>
      <c r="C2954" s="13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</row>
    <row r="2955" ht="15.75" hidden="1" customHeight="1">
      <c r="A2955" s="13"/>
      <c r="B2955" s="13"/>
      <c r="C2955" s="13"/>
      <c r="D2955" s="13"/>
      <c r="E2955" s="13"/>
      <c r="F2955" s="13"/>
      <c r="G2955" s="13"/>
      <c r="H2955" s="13"/>
      <c r="I2955" s="13"/>
      <c r="J2955" s="13"/>
      <c r="K2955" s="13"/>
      <c r="L2955" s="13"/>
      <c r="M2955" s="13"/>
      <c r="N2955" s="13"/>
    </row>
    <row r="2956" ht="15.75" hidden="1" customHeight="1">
      <c r="A2956" s="13"/>
      <c r="B2956" s="13"/>
      <c r="C2956" s="13"/>
      <c r="D2956" s="13"/>
      <c r="E2956" s="13"/>
      <c r="F2956" s="13"/>
      <c r="G2956" s="13"/>
      <c r="H2956" s="13"/>
      <c r="I2956" s="13"/>
      <c r="J2956" s="13"/>
      <c r="K2956" s="13"/>
      <c r="L2956" s="13"/>
      <c r="M2956" s="13"/>
      <c r="N2956" s="13"/>
    </row>
    <row r="2957" ht="15.75" hidden="1" customHeight="1">
      <c r="A2957" s="13"/>
      <c r="B2957" s="13"/>
      <c r="C2957" s="13"/>
      <c r="D2957" s="13"/>
      <c r="E2957" s="13"/>
      <c r="F2957" s="13"/>
      <c r="G2957" s="13"/>
      <c r="H2957" s="13"/>
      <c r="I2957" s="13"/>
      <c r="J2957" s="13"/>
      <c r="K2957" s="13"/>
      <c r="L2957" s="13"/>
      <c r="M2957" s="13"/>
      <c r="N2957" s="13"/>
    </row>
    <row r="2958" ht="15.75" hidden="1" customHeight="1">
      <c r="A2958" s="13"/>
      <c r="B2958" s="13"/>
      <c r="C2958" s="13"/>
      <c r="D2958" s="13"/>
      <c r="E2958" s="13"/>
      <c r="F2958" s="13"/>
      <c r="G2958" s="13"/>
      <c r="H2958" s="13"/>
      <c r="I2958" s="13"/>
      <c r="J2958" s="13"/>
      <c r="K2958" s="13"/>
      <c r="L2958" s="13"/>
      <c r="M2958" s="13"/>
      <c r="N2958" s="13"/>
    </row>
    <row r="2959" ht="15.75" hidden="1" customHeight="1">
      <c r="A2959" s="13"/>
      <c r="B2959" s="13"/>
      <c r="C2959" s="13"/>
      <c r="D2959" s="13"/>
      <c r="E2959" s="13"/>
      <c r="F2959" s="13"/>
      <c r="G2959" s="13"/>
      <c r="H2959" s="13"/>
      <c r="I2959" s="13"/>
      <c r="J2959" s="13"/>
      <c r="K2959" s="13"/>
      <c r="L2959" s="13"/>
      <c r="M2959" s="13"/>
      <c r="N2959" s="13"/>
    </row>
    <row r="2960" ht="15.75" hidden="1" customHeight="1">
      <c r="A2960" s="13"/>
      <c r="B2960" s="13"/>
      <c r="C2960" s="13"/>
      <c r="D2960" s="13"/>
      <c r="E2960" s="13"/>
      <c r="F2960" s="13"/>
      <c r="G2960" s="13"/>
      <c r="H2960" s="13"/>
      <c r="I2960" s="13"/>
      <c r="J2960" s="13"/>
      <c r="K2960" s="13"/>
      <c r="L2960" s="13"/>
      <c r="M2960" s="13"/>
      <c r="N2960" s="13"/>
    </row>
    <row r="2961" ht="15.75" hidden="1" customHeight="1">
      <c r="A2961" s="13"/>
      <c r="B2961" s="13"/>
      <c r="C2961" s="13"/>
      <c r="D2961" s="13"/>
      <c r="E2961" s="13"/>
      <c r="F2961" s="13"/>
      <c r="G2961" s="13"/>
      <c r="H2961" s="13"/>
      <c r="I2961" s="13"/>
      <c r="J2961" s="13"/>
      <c r="K2961" s="13"/>
      <c r="L2961" s="13"/>
      <c r="M2961" s="13"/>
      <c r="N2961" s="13"/>
    </row>
    <row r="2962" ht="15.75" hidden="1" customHeight="1">
      <c r="A2962" s="13"/>
      <c r="B2962" s="13"/>
      <c r="C2962" s="13"/>
      <c r="D2962" s="13"/>
      <c r="E2962" s="13"/>
      <c r="F2962" s="13"/>
      <c r="G2962" s="13"/>
      <c r="H2962" s="13"/>
      <c r="I2962" s="13"/>
      <c r="J2962" s="13"/>
      <c r="K2962" s="13"/>
      <c r="L2962" s="13"/>
      <c r="M2962" s="13"/>
      <c r="N2962" s="13"/>
    </row>
    <row r="2963" ht="15.75" hidden="1" customHeight="1">
      <c r="A2963" s="13"/>
      <c r="B2963" s="13"/>
      <c r="C2963" s="13"/>
      <c r="D2963" s="13"/>
      <c r="E2963" s="13"/>
      <c r="F2963" s="13"/>
      <c r="G2963" s="13"/>
      <c r="H2963" s="13"/>
      <c r="I2963" s="13"/>
      <c r="J2963" s="13"/>
      <c r="K2963" s="13"/>
      <c r="L2963" s="13"/>
      <c r="M2963" s="13"/>
      <c r="N2963" s="13"/>
    </row>
    <row r="2964" ht="15.75" hidden="1" customHeight="1">
      <c r="A2964" s="13"/>
      <c r="B2964" s="13"/>
      <c r="C2964" s="13"/>
      <c r="D2964" s="13"/>
      <c r="E2964" s="13"/>
      <c r="F2964" s="13"/>
      <c r="G2964" s="13"/>
      <c r="H2964" s="13"/>
      <c r="I2964" s="13"/>
      <c r="J2964" s="13"/>
      <c r="K2964" s="13"/>
      <c r="L2964" s="13"/>
      <c r="M2964" s="13"/>
      <c r="N2964" s="13"/>
    </row>
    <row r="2965" ht="15.75" hidden="1" customHeight="1">
      <c r="A2965" s="13"/>
      <c r="B2965" s="13"/>
      <c r="C2965" s="13"/>
      <c r="D2965" s="13"/>
      <c r="E2965" s="13"/>
      <c r="F2965" s="13"/>
      <c r="G2965" s="13"/>
      <c r="H2965" s="13"/>
      <c r="I2965" s="13"/>
      <c r="J2965" s="13"/>
      <c r="K2965" s="13"/>
      <c r="L2965" s="13"/>
      <c r="M2965" s="13"/>
      <c r="N2965" s="13"/>
    </row>
    <row r="2966" ht="15.75" hidden="1" customHeight="1">
      <c r="A2966" s="13"/>
      <c r="B2966" s="13"/>
      <c r="C2966" s="13"/>
      <c r="D2966" s="13"/>
      <c r="E2966" s="13"/>
      <c r="F2966" s="13"/>
      <c r="G2966" s="13"/>
      <c r="H2966" s="13"/>
      <c r="I2966" s="13"/>
      <c r="J2966" s="13"/>
      <c r="K2966" s="13"/>
      <c r="L2966" s="13"/>
      <c r="M2966" s="13"/>
      <c r="N2966" s="13"/>
    </row>
    <row r="2967" ht="15.75" hidden="1" customHeight="1">
      <c r="A2967" s="13"/>
      <c r="B2967" s="13"/>
      <c r="C2967" s="13"/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</row>
    <row r="2968" ht="15.75" hidden="1" customHeight="1">
      <c r="A2968" s="13"/>
      <c r="B2968" s="13"/>
      <c r="C2968" s="13"/>
      <c r="D2968" s="13"/>
      <c r="E2968" s="13"/>
      <c r="F2968" s="13"/>
      <c r="G2968" s="13"/>
      <c r="H2968" s="13"/>
      <c r="I2968" s="13"/>
      <c r="J2968" s="13"/>
      <c r="K2968" s="13"/>
      <c r="L2968" s="13"/>
      <c r="M2968" s="13"/>
      <c r="N2968" s="13"/>
    </row>
    <row r="2969" ht="15.75" hidden="1" customHeight="1">
      <c r="A2969" s="13"/>
      <c r="B2969" s="13"/>
      <c r="C2969" s="13"/>
      <c r="D2969" s="13"/>
      <c r="E2969" s="13"/>
      <c r="F2969" s="13"/>
      <c r="G2969" s="13"/>
      <c r="H2969" s="13"/>
      <c r="I2969" s="13"/>
      <c r="J2969" s="13"/>
      <c r="K2969" s="13"/>
      <c r="L2969" s="13"/>
      <c r="M2969" s="13"/>
      <c r="N2969" s="13"/>
    </row>
    <row r="2970" ht="15.75" hidden="1" customHeight="1">
      <c r="A2970" s="13"/>
      <c r="B2970" s="13"/>
      <c r="C2970" s="13"/>
      <c r="D2970" s="13"/>
      <c r="E2970" s="13"/>
      <c r="F2970" s="13"/>
      <c r="G2970" s="13"/>
      <c r="H2970" s="13"/>
      <c r="I2970" s="13"/>
      <c r="J2970" s="13"/>
      <c r="K2970" s="13"/>
      <c r="L2970" s="13"/>
      <c r="M2970" s="13"/>
      <c r="N2970" s="13"/>
    </row>
    <row r="2971" ht="15.75" hidden="1" customHeight="1">
      <c r="A2971" s="13"/>
      <c r="B2971" s="13"/>
      <c r="C2971" s="13"/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</row>
    <row r="2972" ht="15.75" hidden="1" customHeight="1">
      <c r="A2972" s="13"/>
      <c r="B2972" s="13"/>
      <c r="C2972" s="13"/>
      <c r="D2972" s="13"/>
      <c r="E2972" s="13"/>
      <c r="F2972" s="13"/>
      <c r="G2972" s="13"/>
      <c r="H2972" s="13"/>
      <c r="I2972" s="13"/>
      <c r="J2972" s="13"/>
      <c r="K2972" s="13"/>
      <c r="L2972" s="13"/>
      <c r="M2972" s="13"/>
      <c r="N2972" s="13"/>
    </row>
    <row r="2973" ht="15.75" hidden="1" customHeight="1">
      <c r="A2973" s="13"/>
      <c r="B2973" s="13"/>
      <c r="C2973" s="13"/>
      <c r="D2973" s="13"/>
      <c r="E2973" s="13"/>
      <c r="F2973" s="13"/>
      <c r="G2973" s="13"/>
      <c r="H2973" s="13"/>
      <c r="I2973" s="13"/>
      <c r="J2973" s="13"/>
      <c r="K2973" s="13"/>
      <c r="L2973" s="13"/>
      <c r="M2973" s="13"/>
      <c r="N2973" s="13"/>
    </row>
    <row r="2974" ht="15.75" hidden="1" customHeight="1">
      <c r="A2974" s="13"/>
      <c r="B2974" s="13"/>
      <c r="C2974" s="13"/>
      <c r="D2974" s="13"/>
      <c r="E2974" s="13"/>
      <c r="F2974" s="13"/>
      <c r="G2974" s="13"/>
      <c r="H2974" s="13"/>
      <c r="I2974" s="13"/>
      <c r="J2974" s="13"/>
      <c r="K2974" s="13"/>
      <c r="L2974" s="13"/>
      <c r="M2974" s="13"/>
      <c r="N2974" s="13"/>
    </row>
    <row r="2975" ht="15.75" hidden="1" customHeight="1">
      <c r="A2975" s="13"/>
      <c r="B2975" s="13"/>
      <c r="C2975" s="13"/>
      <c r="D2975" s="13"/>
      <c r="E2975" s="13"/>
      <c r="F2975" s="13"/>
      <c r="G2975" s="13"/>
      <c r="H2975" s="13"/>
      <c r="I2975" s="13"/>
      <c r="J2975" s="13"/>
      <c r="K2975" s="13"/>
      <c r="L2975" s="13"/>
      <c r="M2975" s="13"/>
      <c r="N2975" s="13"/>
    </row>
    <row r="2976" ht="15.75" hidden="1" customHeight="1">
      <c r="A2976" s="13"/>
      <c r="B2976" s="13"/>
      <c r="C2976" s="13"/>
      <c r="D2976" s="13"/>
      <c r="E2976" s="13"/>
      <c r="F2976" s="13"/>
      <c r="G2976" s="13"/>
      <c r="H2976" s="13"/>
      <c r="I2976" s="13"/>
      <c r="J2976" s="13"/>
      <c r="K2976" s="13"/>
      <c r="L2976" s="13"/>
      <c r="M2976" s="13"/>
      <c r="N2976" s="13"/>
    </row>
    <row r="2977" ht="15.75" hidden="1" customHeight="1">
      <c r="A2977" s="13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13"/>
    </row>
    <row r="2978" ht="15.75" hidden="1" customHeight="1">
      <c r="A2978" s="13"/>
      <c r="B2978" s="13"/>
      <c r="C2978" s="13"/>
      <c r="D2978" s="13"/>
      <c r="E2978" s="13"/>
      <c r="F2978" s="13"/>
      <c r="G2978" s="13"/>
      <c r="H2978" s="13"/>
      <c r="I2978" s="13"/>
      <c r="J2978" s="13"/>
      <c r="K2978" s="13"/>
      <c r="L2978" s="13"/>
      <c r="M2978" s="13"/>
      <c r="N2978" s="13"/>
    </row>
    <row r="2979" ht="15.75" hidden="1" customHeight="1">
      <c r="A2979" s="13"/>
      <c r="B2979" s="13"/>
      <c r="C2979" s="13"/>
      <c r="D2979" s="13"/>
      <c r="E2979" s="13"/>
      <c r="F2979" s="13"/>
      <c r="G2979" s="13"/>
      <c r="H2979" s="13"/>
      <c r="I2979" s="13"/>
      <c r="J2979" s="13"/>
      <c r="K2979" s="13"/>
      <c r="L2979" s="13"/>
      <c r="M2979" s="13"/>
      <c r="N2979" s="13"/>
    </row>
    <row r="2980" ht="15.75" hidden="1" customHeight="1">
      <c r="A2980" s="13"/>
      <c r="B2980" s="13"/>
      <c r="C2980" s="13"/>
      <c r="D2980" s="13"/>
      <c r="E2980" s="13"/>
      <c r="F2980" s="13"/>
      <c r="G2980" s="13"/>
      <c r="H2980" s="13"/>
      <c r="I2980" s="13"/>
      <c r="J2980" s="13"/>
      <c r="K2980" s="13"/>
      <c r="L2980" s="13"/>
      <c r="M2980" s="13"/>
      <c r="N2980" s="13"/>
    </row>
    <row r="2981" ht="15.75" hidden="1" customHeight="1">
      <c r="A2981" s="13"/>
      <c r="B2981" s="13"/>
      <c r="C2981" s="13"/>
      <c r="D2981" s="13"/>
      <c r="E2981" s="13"/>
      <c r="F2981" s="13"/>
      <c r="G2981" s="13"/>
      <c r="H2981" s="13"/>
      <c r="I2981" s="13"/>
      <c r="J2981" s="13"/>
      <c r="K2981" s="13"/>
      <c r="L2981" s="13"/>
      <c r="M2981" s="13"/>
      <c r="N2981" s="13"/>
    </row>
    <row r="2982" ht="15.75" hidden="1" customHeight="1">
      <c r="A2982" s="13"/>
      <c r="B2982" s="13"/>
      <c r="C2982" s="13"/>
      <c r="D2982" s="13"/>
      <c r="E2982" s="13"/>
      <c r="F2982" s="13"/>
      <c r="G2982" s="13"/>
      <c r="H2982" s="13"/>
      <c r="I2982" s="13"/>
      <c r="J2982" s="13"/>
      <c r="K2982" s="13"/>
      <c r="L2982" s="13"/>
      <c r="M2982" s="13"/>
      <c r="N2982" s="13"/>
    </row>
    <row r="2983" ht="15.75" hidden="1" customHeight="1">
      <c r="A2983" s="13"/>
      <c r="B2983" s="13"/>
      <c r="C2983" s="13"/>
      <c r="D2983" s="13"/>
      <c r="E2983" s="13"/>
      <c r="F2983" s="13"/>
      <c r="G2983" s="13"/>
      <c r="H2983" s="13"/>
      <c r="I2983" s="13"/>
      <c r="J2983" s="13"/>
      <c r="K2983" s="13"/>
      <c r="L2983" s="13"/>
      <c r="M2983" s="13"/>
      <c r="N2983" s="13"/>
    </row>
    <row r="2984" ht="15.75" hidden="1" customHeight="1">
      <c r="A2984" s="13"/>
      <c r="B2984" s="13"/>
      <c r="C2984" s="13"/>
      <c r="D2984" s="13"/>
      <c r="E2984" s="13"/>
      <c r="F2984" s="13"/>
      <c r="G2984" s="13"/>
      <c r="H2984" s="13"/>
      <c r="I2984" s="13"/>
      <c r="J2984" s="13"/>
      <c r="K2984" s="13"/>
      <c r="L2984" s="13"/>
      <c r="M2984" s="13"/>
      <c r="N2984" s="13"/>
    </row>
    <row r="2985" ht="15.75" hidden="1" customHeight="1">
      <c r="A2985" s="13"/>
      <c r="B2985" s="13"/>
      <c r="C2985" s="13"/>
      <c r="D2985" s="13"/>
      <c r="E2985" s="13"/>
      <c r="F2985" s="13"/>
      <c r="G2985" s="13"/>
      <c r="H2985" s="13"/>
      <c r="I2985" s="13"/>
      <c r="J2985" s="13"/>
      <c r="K2985" s="13"/>
      <c r="L2985" s="13"/>
      <c r="M2985" s="13"/>
      <c r="N2985" s="13"/>
    </row>
    <row r="2986" ht="15.75" hidden="1" customHeight="1">
      <c r="A2986" s="13"/>
      <c r="B2986" s="13"/>
      <c r="C2986" s="13"/>
      <c r="D2986" s="13"/>
      <c r="E2986" s="13"/>
      <c r="F2986" s="13"/>
      <c r="G2986" s="13"/>
      <c r="H2986" s="13"/>
      <c r="I2986" s="13"/>
      <c r="J2986" s="13"/>
      <c r="K2986" s="13"/>
      <c r="L2986" s="13"/>
      <c r="M2986" s="13"/>
      <c r="N2986" s="13"/>
    </row>
    <row r="2987" ht="15.75" hidden="1" customHeight="1">
      <c r="A2987" s="13"/>
      <c r="B2987" s="13"/>
      <c r="C2987" s="13"/>
      <c r="D2987" s="13"/>
      <c r="E2987" s="13"/>
      <c r="F2987" s="13"/>
      <c r="G2987" s="13"/>
      <c r="H2987" s="13"/>
      <c r="I2987" s="13"/>
      <c r="J2987" s="13"/>
      <c r="K2987" s="13"/>
      <c r="L2987" s="13"/>
      <c r="M2987" s="13"/>
      <c r="N2987" s="13"/>
    </row>
    <row r="2988" ht="15.75" hidden="1" customHeight="1">
      <c r="A2988" s="13"/>
      <c r="B2988" s="13"/>
      <c r="C2988" s="13"/>
      <c r="D2988" s="13"/>
      <c r="E2988" s="13"/>
      <c r="F2988" s="13"/>
      <c r="G2988" s="13"/>
      <c r="H2988" s="13"/>
      <c r="I2988" s="13"/>
      <c r="J2988" s="13"/>
      <c r="K2988" s="13"/>
      <c r="L2988" s="13"/>
      <c r="M2988" s="13"/>
      <c r="N2988" s="13"/>
    </row>
    <row r="2989" ht="15.75" hidden="1" customHeight="1">
      <c r="A2989" s="13"/>
      <c r="B2989" s="13"/>
      <c r="C2989" s="13"/>
      <c r="D2989" s="13"/>
      <c r="E2989" s="13"/>
      <c r="F2989" s="13"/>
      <c r="G2989" s="13"/>
      <c r="H2989" s="13"/>
      <c r="I2989" s="13"/>
      <c r="J2989" s="13"/>
      <c r="K2989" s="13"/>
      <c r="L2989" s="13"/>
      <c r="M2989" s="13"/>
      <c r="N2989" s="13"/>
    </row>
    <row r="2990" ht="15.75" hidden="1" customHeight="1">
      <c r="A2990" s="13"/>
      <c r="B2990" s="13"/>
      <c r="C2990" s="13"/>
      <c r="D2990" s="13"/>
      <c r="E2990" s="13"/>
      <c r="F2990" s="13"/>
      <c r="G2990" s="13"/>
      <c r="H2990" s="13"/>
      <c r="I2990" s="13"/>
      <c r="J2990" s="13"/>
      <c r="K2990" s="13"/>
      <c r="L2990" s="13"/>
      <c r="M2990" s="13"/>
      <c r="N2990" s="13"/>
    </row>
    <row r="2991" ht="15.75" hidden="1" customHeight="1">
      <c r="A2991" s="13"/>
      <c r="B2991" s="13"/>
      <c r="C2991" s="13"/>
      <c r="D2991" s="13"/>
      <c r="E2991" s="13"/>
      <c r="F2991" s="13"/>
      <c r="G2991" s="13"/>
      <c r="H2991" s="13"/>
      <c r="I2991" s="13"/>
      <c r="J2991" s="13"/>
      <c r="K2991" s="13"/>
      <c r="L2991" s="13"/>
      <c r="M2991" s="13"/>
      <c r="N2991" s="13"/>
    </row>
    <row r="2992" ht="15.75" hidden="1" customHeight="1">
      <c r="A2992" s="13"/>
      <c r="B2992" s="13"/>
      <c r="C2992" s="13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</row>
    <row r="2993" ht="15.75" hidden="1" customHeight="1">
      <c r="A2993" s="13"/>
      <c r="B2993" s="13"/>
      <c r="C2993" s="13"/>
      <c r="D2993" s="13"/>
      <c r="E2993" s="13"/>
      <c r="F2993" s="13"/>
      <c r="G2993" s="13"/>
      <c r="H2993" s="13"/>
      <c r="I2993" s="13"/>
      <c r="J2993" s="13"/>
      <c r="K2993" s="13"/>
      <c r="L2993" s="13"/>
      <c r="M2993" s="13"/>
      <c r="N2993" s="13"/>
    </row>
    <row r="2994" ht="15.75" hidden="1" customHeight="1">
      <c r="A2994" s="13"/>
      <c r="B2994" s="13"/>
      <c r="C2994" s="13"/>
      <c r="D2994" s="13"/>
      <c r="E2994" s="13"/>
      <c r="F2994" s="13"/>
      <c r="G2994" s="13"/>
      <c r="H2994" s="13"/>
      <c r="I2994" s="13"/>
      <c r="J2994" s="13"/>
      <c r="K2994" s="13"/>
      <c r="L2994" s="13"/>
      <c r="M2994" s="13"/>
      <c r="N2994" s="13"/>
    </row>
    <row r="2995" ht="15.75" hidden="1" customHeight="1">
      <c r="A2995" s="13"/>
      <c r="B2995" s="13"/>
      <c r="C2995" s="13"/>
      <c r="D2995" s="13"/>
      <c r="E2995" s="13"/>
      <c r="F2995" s="13"/>
      <c r="G2995" s="13"/>
      <c r="H2995" s="13"/>
      <c r="I2995" s="13"/>
      <c r="J2995" s="13"/>
      <c r="K2995" s="13"/>
      <c r="L2995" s="13"/>
      <c r="M2995" s="13"/>
      <c r="N2995" s="13"/>
    </row>
    <row r="2996" ht="15.75" hidden="1" customHeight="1">
      <c r="A2996" s="13"/>
      <c r="B2996" s="13"/>
      <c r="C2996" s="13"/>
      <c r="D2996" s="13"/>
      <c r="E2996" s="13"/>
      <c r="F2996" s="13"/>
      <c r="G2996" s="13"/>
      <c r="H2996" s="13"/>
      <c r="I2996" s="13"/>
      <c r="J2996" s="13"/>
      <c r="K2996" s="13"/>
      <c r="L2996" s="13"/>
      <c r="M2996" s="13"/>
      <c r="N2996" s="13"/>
    </row>
    <row r="2997" ht="15.75" hidden="1" customHeight="1">
      <c r="A2997" s="13"/>
      <c r="B2997" s="13"/>
      <c r="C2997" s="13"/>
      <c r="D2997" s="13"/>
      <c r="E2997" s="13"/>
      <c r="F2997" s="13"/>
      <c r="G2997" s="13"/>
      <c r="H2997" s="13"/>
      <c r="I2997" s="13"/>
      <c r="J2997" s="13"/>
      <c r="K2997" s="13"/>
      <c r="L2997" s="13"/>
      <c r="M2997" s="13"/>
      <c r="N2997" s="13"/>
    </row>
    <row r="2998" ht="15.75" hidden="1" customHeight="1">
      <c r="A2998" s="13"/>
      <c r="B2998" s="13"/>
      <c r="C2998" s="13"/>
      <c r="D2998" s="13"/>
      <c r="E2998" s="13"/>
      <c r="F2998" s="13"/>
      <c r="G2998" s="13"/>
      <c r="H2998" s="13"/>
      <c r="I2998" s="13"/>
      <c r="J2998" s="13"/>
      <c r="K2998" s="13"/>
      <c r="L2998" s="13"/>
      <c r="M2998" s="13"/>
      <c r="N2998" s="13"/>
    </row>
    <row r="2999" ht="15.75" hidden="1" customHeight="1">
      <c r="A2999" s="13"/>
      <c r="B2999" s="13"/>
      <c r="C2999" s="13"/>
      <c r="D2999" s="13"/>
      <c r="E2999" s="13"/>
      <c r="F2999" s="13"/>
      <c r="G2999" s="13"/>
      <c r="H2999" s="13"/>
      <c r="I2999" s="13"/>
      <c r="J2999" s="13"/>
      <c r="K2999" s="13"/>
      <c r="L2999" s="13"/>
      <c r="M2999" s="13"/>
      <c r="N2999" s="13"/>
    </row>
    <row r="3000" ht="15.75" hidden="1" customHeight="1">
      <c r="A3000" s="13"/>
      <c r="B3000" s="13"/>
      <c r="C3000" s="13"/>
      <c r="D3000" s="13"/>
      <c r="E3000" s="13"/>
      <c r="F3000" s="13"/>
      <c r="G3000" s="13"/>
      <c r="H3000" s="13"/>
      <c r="I3000" s="13"/>
      <c r="J3000" s="13"/>
      <c r="K3000" s="13"/>
      <c r="L3000" s="13"/>
      <c r="M3000" s="13"/>
      <c r="N3000" s="13"/>
    </row>
    <row r="3001" ht="15.75" hidden="1" customHeight="1">
      <c r="A3001" s="13"/>
      <c r="B3001" s="13"/>
      <c r="C3001" s="13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</row>
    <row r="3002" ht="15.75" hidden="1" customHeight="1">
      <c r="A3002" s="13"/>
      <c r="B3002" s="13"/>
      <c r="C3002" s="13"/>
      <c r="D3002" s="13"/>
      <c r="E3002" s="13"/>
      <c r="F3002" s="13"/>
      <c r="G3002" s="13"/>
      <c r="H3002" s="13"/>
      <c r="I3002" s="13"/>
      <c r="J3002" s="13"/>
      <c r="K3002" s="13"/>
      <c r="L3002" s="13"/>
      <c r="M3002" s="13"/>
      <c r="N3002" s="13"/>
    </row>
    <row r="3003" ht="15.75" hidden="1" customHeight="1">
      <c r="A3003" s="13"/>
      <c r="B3003" s="13"/>
      <c r="C3003" s="13"/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</row>
    <row r="3004" ht="15.75" hidden="1" customHeight="1">
      <c r="A3004" s="13"/>
      <c r="B3004" s="13"/>
      <c r="C3004" s="13"/>
      <c r="D3004" s="13"/>
      <c r="E3004" s="13"/>
      <c r="F3004" s="13"/>
      <c r="G3004" s="13"/>
      <c r="H3004" s="13"/>
      <c r="I3004" s="13"/>
      <c r="J3004" s="13"/>
      <c r="K3004" s="13"/>
      <c r="L3004" s="13"/>
      <c r="M3004" s="13"/>
      <c r="N3004" s="13"/>
    </row>
    <row r="3005" ht="15.75" hidden="1" customHeight="1">
      <c r="A3005" s="13"/>
      <c r="B3005" s="13"/>
      <c r="C3005" s="13"/>
      <c r="D3005" s="13"/>
      <c r="E3005" s="13"/>
      <c r="F3005" s="13"/>
      <c r="G3005" s="13"/>
      <c r="H3005" s="13"/>
      <c r="I3005" s="13"/>
      <c r="J3005" s="13"/>
      <c r="K3005" s="13"/>
      <c r="L3005" s="13"/>
      <c r="M3005" s="13"/>
      <c r="N3005" s="13"/>
    </row>
    <row r="3006" ht="15.75" hidden="1" customHeight="1">
      <c r="A3006" s="13"/>
      <c r="B3006" s="13"/>
      <c r="C3006" s="13"/>
      <c r="D3006" s="13"/>
      <c r="E3006" s="13"/>
      <c r="F3006" s="13"/>
      <c r="G3006" s="13"/>
      <c r="H3006" s="13"/>
      <c r="I3006" s="13"/>
      <c r="J3006" s="13"/>
      <c r="K3006" s="13"/>
      <c r="L3006" s="13"/>
      <c r="M3006" s="13"/>
      <c r="N3006" s="13"/>
    </row>
    <row r="3007" ht="15.75" hidden="1" customHeight="1">
      <c r="A3007" s="13"/>
      <c r="B3007" s="13"/>
      <c r="C3007" s="13"/>
      <c r="D3007" s="13"/>
      <c r="E3007" s="13"/>
      <c r="F3007" s="13"/>
      <c r="G3007" s="13"/>
      <c r="H3007" s="13"/>
      <c r="I3007" s="13"/>
      <c r="J3007" s="13"/>
      <c r="K3007" s="13"/>
      <c r="L3007" s="13"/>
      <c r="M3007" s="13"/>
      <c r="N3007" s="13"/>
    </row>
    <row r="3008" ht="15.75" hidden="1" customHeight="1">
      <c r="A3008" s="13"/>
      <c r="B3008" s="13"/>
      <c r="C3008" s="13"/>
      <c r="D3008" s="13"/>
      <c r="E3008" s="13"/>
      <c r="F3008" s="13"/>
      <c r="G3008" s="13"/>
      <c r="H3008" s="13"/>
      <c r="I3008" s="13"/>
      <c r="J3008" s="13"/>
      <c r="K3008" s="13"/>
      <c r="L3008" s="13"/>
      <c r="M3008" s="13"/>
      <c r="N3008" s="13"/>
    </row>
    <row r="3009" ht="15.75" hidden="1" customHeight="1">
      <c r="A3009" s="13"/>
      <c r="B3009" s="13"/>
      <c r="C3009" s="13"/>
      <c r="D3009" s="13"/>
      <c r="E3009" s="13"/>
      <c r="F3009" s="13"/>
      <c r="G3009" s="13"/>
      <c r="H3009" s="13"/>
      <c r="I3009" s="13"/>
      <c r="J3009" s="13"/>
      <c r="K3009" s="13"/>
      <c r="L3009" s="13"/>
      <c r="M3009" s="13"/>
      <c r="N3009" s="13"/>
    </row>
    <row r="3010" ht="15.75" hidden="1" customHeight="1">
      <c r="A3010" s="13"/>
      <c r="B3010" s="13"/>
      <c r="C3010" s="13"/>
      <c r="D3010" s="13"/>
      <c r="E3010" s="13"/>
      <c r="F3010" s="13"/>
      <c r="G3010" s="13"/>
      <c r="H3010" s="13"/>
      <c r="I3010" s="13"/>
      <c r="J3010" s="13"/>
      <c r="K3010" s="13"/>
      <c r="L3010" s="13"/>
      <c r="M3010" s="13"/>
      <c r="N3010" s="13"/>
    </row>
    <row r="3011" ht="15.75" hidden="1" customHeight="1">
      <c r="A3011" s="13"/>
      <c r="B3011" s="13"/>
      <c r="C3011" s="13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</row>
    <row r="3012" ht="15.75" hidden="1" customHeight="1">
      <c r="A3012" s="13"/>
      <c r="B3012" s="13"/>
      <c r="C3012" s="13"/>
      <c r="D3012" s="13"/>
      <c r="E3012" s="13"/>
      <c r="F3012" s="13"/>
      <c r="G3012" s="13"/>
      <c r="H3012" s="13"/>
      <c r="I3012" s="13"/>
      <c r="J3012" s="13"/>
      <c r="K3012" s="13"/>
      <c r="L3012" s="13"/>
      <c r="M3012" s="13"/>
      <c r="N3012" s="13"/>
    </row>
    <row r="3013" ht="15.75" hidden="1" customHeight="1">
      <c r="A3013" s="13"/>
      <c r="B3013" s="13"/>
      <c r="C3013" s="13"/>
      <c r="D3013" s="13"/>
      <c r="E3013" s="13"/>
      <c r="F3013" s="13"/>
      <c r="G3013" s="13"/>
      <c r="H3013" s="13"/>
      <c r="I3013" s="13"/>
      <c r="J3013" s="13"/>
      <c r="K3013" s="13"/>
      <c r="L3013" s="13"/>
      <c r="M3013" s="13"/>
      <c r="N3013" s="13"/>
    </row>
    <row r="3014" ht="15.75" hidden="1" customHeight="1">
      <c r="A3014" s="13"/>
      <c r="B3014" s="13"/>
      <c r="C3014" s="13"/>
      <c r="D3014" s="13"/>
      <c r="E3014" s="13"/>
      <c r="F3014" s="13"/>
      <c r="G3014" s="13"/>
      <c r="H3014" s="13"/>
      <c r="I3014" s="13"/>
      <c r="J3014" s="13"/>
      <c r="K3014" s="13"/>
      <c r="L3014" s="13"/>
      <c r="M3014" s="13"/>
      <c r="N3014" s="13"/>
    </row>
    <row r="3015" ht="15.75" hidden="1" customHeight="1">
      <c r="A3015" s="13"/>
      <c r="B3015" s="13"/>
      <c r="C3015" s="13"/>
      <c r="D3015" s="13"/>
      <c r="E3015" s="13"/>
      <c r="F3015" s="13"/>
      <c r="G3015" s="13"/>
      <c r="H3015" s="13"/>
      <c r="I3015" s="13"/>
      <c r="J3015" s="13"/>
      <c r="K3015" s="13"/>
      <c r="L3015" s="13"/>
      <c r="M3015" s="13"/>
      <c r="N3015" s="13"/>
    </row>
    <row r="3016" ht="15.75" hidden="1" customHeight="1">
      <c r="A3016" s="13"/>
      <c r="B3016" s="13"/>
      <c r="C3016" s="13"/>
      <c r="D3016" s="13"/>
      <c r="E3016" s="13"/>
      <c r="F3016" s="13"/>
      <c r="G3016" s="13"/>
      <c r="H3016" s="13"/>
      <c r="I3016" s="13"/>
      <c r="J3016" s="13"/>
      <c r="K3016" s="13"/>
      <c r="L3016" s="13"/>
      <c r="M3016" s="13"/>
      <c r="N3016" s="13"/>
    </row>
    <row r="3017" ht="15.75" hidden="1" customHeight="1">
      <c r="A3017" s="13"/>
      <c r="B3017" s="13"/>
      <c r="C3017" s="13"/>
      <c r="D3017" s="13"/>
      <c r="E3017" s="13"/>
      <c r="F3017" s="13"/>
      <c r="G3017" s="13"/>
      <c r="H3017" s="13"/>
      <c r="I3017" s="13"/>
      <c r="J3017" s="13"/>
      <c r="K3017" s="13"/>
      <c r="L3017" s="13"/>
      <c r="M3017" s="13"/>
      <c r="N3017" s="13"/>
    </row>
    <row r="3018" ht="15.75" hidden="1" customHeight="1">
      <c r="A3018" s="13"/>
      <c r="B3018" s="13"/>
      <c r="C3018" s="13"/>
      <c r="D3018" s="13"/>
      <c r="E3018" s="13"/>
      <c r="F3018" s="13"/>
      <c r="G3018" s="13"/>
      <c r="H3018" s="13"/>
      <c r="I3018" s="13"/>
      <c r="J3018" s="13"/>
      <c r="K3018" s="13"/>
      <c r="L3018" s="13"/>
      <c r="M3018" s="13"/>
      <c r="N3018" s="13"/>
    </row>
    <row r="3019" ht="15.75" hidden="1" customHeight="1">
      <c r="A3019" s="13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13"/>
    </row>
    <row r="3020" ht="15.75" hidden="1" customHeight="1">
      <c r="A3020" s="13"/>
      <c r="B3020" s="13"/>
      <c r="C3020" s="13"/>
      <c r="D3020" s="13"/>
      <c r="E3020" s="13"/>
      <c r="F3020" s="13"/>
      <c r="G3020" s="13"/>
      <c r="H3020" s="13"/>
      <c r="I3020" s="13"/>
      <c r="J3020" s="13"/>
      <c r="K3020" s="13"/>
      <c r="L3020" s="13"/>
      <c r="M3020" s="13"/>
      <c r="N3020" s="13"/>
    </row>
    <row r="3021" ht="15.75" hidden="1" customHeight="1">
      <c r="A3021" s="13"/>
      <c r="B3021" s="13"/>
      <c r="C3021" s="13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</row>
    <row r="3022" ht="15.75" hidden="1" customHeight="1">
      <c r="A3022" s="13"/>
      <c r="B3022" s="13"/>
      <c r="C3022" s="13"/>
      <c r="D3022" s="13"/>
      <c r="E3022" s="13"/>
      <c r="F3022" s="13"/>
      <c r="G3022" s="13"/>
      <c r="H3022" s="13"/>
      <c r="I3022" s="13"/>
      <c r="J3022" s="13"/>
      <c r="K3022" s="13"/>
      <c r="L3022" s="13"/>
      <c r="M3022" s="13"/>
      <c r="N3022" s="13"/>
    </row>
    <row r="3023" ht="15.75" hidden="1" customHeight="1">
      <c r="A3023" s="13"/>
      <c r="B3023" s="13"/>
      <c r="C3023" s="13"/>
      <c r="D3023" s="13"/>
      <c r="E3023" s="13"/>
      <c r="F3023" s="13"/>
      <c r="G3023" s="13"/>
      <c r="H3023" s="13"/>
      <c r="I3023" s="13"/>
      <c r="J3023" s="13"/>
      <c r="K3023" s="13"/>
      <c r="L3023" s="13"/>
      <c r="M3023" s="13"/>
      <c r="N3023" s="13"/>
    </row>
    <row r="3024" ht="15.75" hidden="1" customHeight="1">
      <c r="A3024" s="13"/>
      <c r="B3024" s="13"/>
      <c r="C3024" s="13"/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</row>
    <row r="3025" ht="15.75" hidden="1" customHeight="1">
      <c r="A3025" s="13"/>
      <c r="B3025" s="13"/>
      <c r="C3025" s="13"/>
      <c r="D3025" s="13"/>
      <c r="E3025" s="13"/>
      <c r="F3025" s="13"/>
      <c r="G3025" s="13"/>
      <c r="H3025" s="13"/>
      <c r="I3025" s="13"/>
      <c r="J3025" s="13"/>
      <c r="K3025" s="13"/>
      <c r="L3025" s="13"/>
      <c r="M3025" s="13"/>
      <c r="N3025" s="13"/>
    </row>
    <row r="3026" ht="15.75" hidden="1" customHeight="1">
      <c r="A3026" s="13"/>
      <c r="B3026" s="13"/>
      <c r="C3026" s="13"/>
      <c r="D3026" s="13"/>
      <c r="E3026" s="13"/>
      <c r="F3026" s="13"/>
      <c r="G3026" s="13"/>
      <c r="H3026" s="13"/>
      <c r="I3026" s="13"/>
      <c r="J3026" s="13"/>
      <c r="K3026" s="13"/>
      <c r="L3026" s="13"/>
      <c r="M3026" s="13"/>
      <c r="N3026" s="13"/>
    </row>
    <row r="3027" ht="15.75" hidden="1" customHeight="1">
      <c r="A3027" s="13"/>
      <c r="B3027" s="13"/>
      <c r="C3027" s="13"/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</row>
    <row r="3028" ht="15.75" hidden="1" customHeight="1">
      <c r="A3028" s="13"/>
      <c r="B3028" s="13"/>
      <c r="C3028" s="13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</row>
    <row r="3029" ht="15.75" hidden="1" customHeight="1">
      <c r="A3029" s="13"/>
      <c r="B3029" s="13"/>
      <c r="C3029" s="13"/>
      <c r="D3029" s="13"/>
      <c r="E3029" s="13"/>
      <c r="F3029" s="13"/>
      <c r="G3029" s="13"/>
      <c r="H3029" s="13"/>
      <c r="I3029" s="13"/>
      <c r="J3029" s="13"/>
      <c r="K3029" s="13"/>
      <c r="L3029" s="13"/>
      <c r="M3029" s="13"/>
      <c r="N3029" s="13"/>
    </row>
    <row r="3030" ht="15.75" hidden="1" customHeight="1">
      <c r="A3030" s="13"/>
      <c r="B3030" s="13"/>
      <c r="C3030" s="13"/>
      <c r="D3030" s="13"/>
      <c r="E3030" s="13"/>
      <c r="F3030" s="13"/>
      <c r="G3030" s="13"/>
      <c r="H3030" s="13"/>
      <c r="I3030" s="13"/>
      <c r="J3030" s="13"/>
      <c r="K3030" s="13"/>
      <c r="L3030" s="13"/>
      <c r="M3030" s="13"/>
      <c r="N3030" s="13"/>
    </row>
    <row r="3031" ht="15.75" hidden="1" customHeight="1">
      <c r="A3031" s="13"/>
      <c r="B3031" s="13"/>
      <c r="C3031" s="13"/>
      <c r="D3031" s="13"/>
      <c r="E3031" s="13"/>
      <c r="F3031" s="13"/>
      <c r="G3031" s="13"/>
      <c r="H3031" s="13"/>
      <c r="I3031" s="13"/>
      <c r="J3031" s="13"/>
      <c r="K3031" s="13"/>
      <c r="L3031" s="13"/>
      <c r="M3031" s="13"/>
      <c r="N3031" s="13"/>
    </row>
    <row r="3032" ht="15.75" hidden="1" customHeight="1">
      <c r="A3032" s="13"/>
      <c r="B3032" s="13"/>
      <c r="C3032" s="13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</row>
    <row r="3033" ht="15.75" hidden="1" customHeight="1">
      <c r="A3033" s="13"/>
      <c r="B3033" s="13"/>
      <c r="C3033" s="13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</row>
    <row r="3034" ht="15.75" hidden="1" customHeight="1">
      <c r="A3034" s="13"/>
      <c r="B3034" s="13"/>
      <c r="C3034" s="13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</row>
    <row r="3035" ht="15.75" hidden="1" customHeight="1">
      <c r="A3035" s="13"/>
      <c r="B3035" s="13"/>
      <c r="C3035" s="13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</row>
    <row r="3036" ht="15.75" hidden="1" customHeight="1">
      <c r="A3036" s="13"/>
      <c r="B3036" s="13"/>
      <c r="C3036" s="13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</row>
    <row r="3037" ht="15.75" hidden="1" customHeight="1">
      <c r="A3037" s="13"/>
      <c r="B3037" s="13"/>
      <c r="C3037" s="13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</row>
    <row r="3038" ht="15.75" hidden="1" customHeight="1">
      <c r="A3038" s="13"/>
      <c r="B3038" s="13"/>
      <c r="C3038" s="13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</row>
    <row r="3039" ht="15.75" hidden="1" customHeight="1">
      <c r="A3039" s="13"/>
      <c r="B3039" s="13"/>
      <c r="C3039" s="13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</row>
    <row r="3040" ht="15.75" hidden="1" customHeight="1">
      <c r="A3040" s="13"/>
      <c r="B3040" s="13"/>
      <c r="C3040" s="13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</row>
    <row r="3041" ht="15.75" hidden="1" customHeight="1">
      <c r="A3041" s="13"/>
      <c r="B3041" s="13"/>
      <c r="C3041" s="13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</row>
    <row r="3042" ht="15.75" hidden="1" customHeight="1">
      <c r="A3042" s="13"/>
      <c r="B3042" s="13"/>
      <c r="C3042" s="13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</row>
    <row r="3043" ht="15.75" hidden="1" customHeight="1">
      <c r="A3043" s="13"/>
      <c r="B3043" s="13"/>
      <c r="C3043" s="13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</row>
    <row r="3044" ht="15.75" hidden="1" customHeight="1">
      <c r="A3044" s="13"/>
      <c r="B3044" s="13"/>
      <c r="C3044" s="13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</row>
    <row r="3045" ht="15.75" hidden="1" customHeight="1">
      <c r="A3045" s="13"/>
      <c r="B3045" s="13"/>
      <c r="C3045" s="13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</row>
    <row r="3046" ht="15.75" hidden="1" customHeight="1">
      <c r="A3046" s="13"/>
      <c r="B3046" s="13"/>
      <c r="C3046" s="13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</row>
    <row r="3047" ht="15.75" hidden="1" customHeight="1">
      <c r="A3047" s="13"/>
      <c r="B3047" s="13"/>
      <c r="C3047" s="13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</row>
    <row r="3048" ht="15.75" hidden="1" customHeight="1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</row>
    <row r="3049" ht="15.75" hidden="1" customHeight="1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</row>
    <row r="3050" ht="15.75" hidden="1" customHeight="1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</row>
    <row r="3051" ht="15.75" hidden="1" customHeight="1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</row>
    <row r="3052" ht="15.75" hidden="1" customHeight="1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</row>
    <row r="3053" ht="15.75" hidden="1" customHeight="1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</row>
    <row r="3054" ht="15.75" hidden="1" customHeight="1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</row>
    <row r="3055" ht="15.75" hidden="1" customHeight="1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</row>
    <row r="3056" ht="15.75" hidden="1" customHeight="1">
      <c r="A3056" s="13"/>
      <c r="B3056" s="13"/>
      <c r="C3056" s="13"/>
      <c r="D3056" s="13"/>
      <c r="E3056" s="13"/>
      <c r="F3056" s="13"/>
      <c r="G3056" s="13"/>
      <c r="H3056" s="13"/>
      <c r="I3056" s="13"/>
      <c r="J3056" s="13"/>
      <c r="K3056" s="13"/>
      <c r="L3056" s="13"/>
      <c r="M3056" s="13"/>
      <c r="N3056" s="13"/>
    </row>
    <row r="3057" ht="15.75" hidden="1" customHeight="1">
      <c r="A3057" s="13"/>
      <c r="B3057" s="13"/>
      <c r="C3057" s="13"/>
      <c r="D3057" s="13"/>
      <c r="E3057" s="13"/>
      <c r="F3057" s="13"/>
      <c r="G3057" s="13"/>
      <c r="H3057" s="13"/>
      <c r="I3057" s="13"/>
      <c r="J3057" s="13"/>
      <c r="K3057" s="13"/>
      <c r="L3057" s="13"/>
      <c r="M3057" s="13"/>
      <c r="N3057" s="13"/>
    </row>
    <row r="3058" ht="15.75" hidden="1" customHeight="1">
      <c r="A3058" s="13"/>
      <c r="B3058" s="13"/>
      <c r="C3058" s="13"/>
      <c r="D3058" s="13"/>
      <c r="E3058" s="13"/>
      <c r="F3058" s="13"/>
      <c r="G3058" s="13"/>
      <c r="H3058" s="13"/>
      <c r="I3058" s="13"/>
      <c r="J3058" s="13"/>
      <c r="K3058" s="13"/>
      <c r="L3058" s="13"/>
      <c r="M3058" s="13"/>
      <c r="N3058" s="13"/>
    </row>
    <row r="3059" ht="15.75" hidden="1" customHeight="1">
      <c r="A3059" s="13"/>
      <c r="B3059" s="13"/>
      <c r="C3059" s="13"/>
      <c r="D3059" s="13"/>
      <c r="E3059" s="13"/>
      <c r="F3059" s="13"/>
      <c r="G3059" s="13"/>
      <c r="H3059" s="13"/>
      <c r="I3059" s="13"/>
      <c r="J3059" s="13"/>
      <c r="K3059" s="13"/>
      <c r="L3059" s="13"/>
      <c r="M3059" s="13"/>
      <c r="N3059" s="13"/>
    </row>
    <row r="3060" ht="15.75" hidden="1" customHeight="1">
      <c r="A3060" s="13"/>
      <c r="B3060" s="13"/>
      <c r="C3060" s="13"/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</row>
    <row r="3061" ht="15.75" hidden="1" customHeight="1">
      <c r="A3061" s="13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13"/>
    </row>
    <row r="3062" ht="15.75" hidden="1" customHeight="1">
      <c r="A3062" s="13"/>
      <c r="B3062" s="13"/>
      <c r="C3062" s="13"/>
      <c r="D3062" s="13"/>
      <c r="E3062" s="13"/>
      <c r="F3062" s="13"/>
      <c r="G3062" s="13"/>
      <c r="H3062" s="13"/>
      <c r="I3062" s="13"/>
      <c r="J3062" s="13"/>
      <c r="K3062" s="13"/>
      <c r="L3062" s="13"/>
      <c r="M3062" s="13"/>
      <c r="N3062" s="13"/>
    </row>
    <row r="3063" ht="15.75" hidden="1" customHeight="1">
      <c r="A3063" s="13"/>
      <c r="B3063" s="13"/>
      <c r="C3063" s="13"/>
      <c r="D3063" s="13"/>
      <c r="E3063" s="13"/>
      <c r="F3063" s="13"/>
      <c r="G3063" s="13"/>
      <c r="H3063" s="13"/>
      <c r="I3063" s="13"/>
      <c r="J3063" s="13"/>
      <c r="K3063" s="13"/>
      <c r="L3063" s="13"/>
      <c r="M3063" s="13"/>
      <c r="N3063" s="13"/>
    </row>
    <row r="3064" ht="15.75" hidden="1" customHeight="1">
      <c r="A3064" s="13"/>
      <c r="B3064" s="13"/>
      <c r="C3064" s="13"/>
      <c r="D3064" s="13"/>
      <c r="E3064" s="13"/>
      <c r="F3064" s="13"/>
      <c r="G3064" s="13"/>
      <c r="H3064" s="13"/>
      <c r="I3064" s="13"/>
      <c r="J3064" s="13"/>
      <c r="K3064" s="13"/>
      <c r="L3064" s="13"/>
      <c r="M3064" s="13"/>
      <c r="N3064" s="13"/>
    </row>
    <row r="3065" ht="15.75" hidden="1" customHeight="1">
      <c r="A3065" s="13"/>
      <c r="B3065" s="13"/>
      <c r="C3065" s="13"/>
      <c r="D3065" s="13"/>
      <c r="E3065" s="13"/>
      <c r="F3065" s="13"/>
      <c r="G3065" s="13"/>
      <c r="H3065" s="13"/>
      <c r="I3065" s="13"/>
      <c r="J3065" s="13"/>
      <c r="K3065" s="13"/>
      <c r="L3065" s="13"/>
      <c r="M3065" s="13"/>
      <c r="N3065" s="13"/>
    </row>
    <row r="3066" ht="15.75" hidden="1" customHeight="1">
      <c r="A3066" s="13"/>
      <c r="B3066" s="13"/>
      <c r="C3066" s="13"/>
      <c r="D3066" s="13"/>
      <c r="E3066" s="13"/>
      <c r="F3066" s="13"/>
      <c r="G3066" s="13"/>
      <c r="H3066" s="13"/>
      <c r="I3066" s="13"/>
      <c r="J3066" s="13"/>
      <c r="K3066" s="13"/>
      <c r="L3066" s="13"/>
      <c r="M3066" s="13"/>
      <c r="N3066" s="13"/>
    </row>
    <row r="3067" ht="15.75" hidden="1" customHeight="1">
      <c r="A3067" s="13"/>
      <c r="B3067" s="13"/>
      <c r="C3067" s="13"/>
      <c r="D3067" s="13"/>
      <c r="E3067" s="13"/>
      <c r="F3067" s="13"/>
      <c r="G3067" s="13"/>
      <c r="H3067" s="13"/>
      <c r="I3067" s="13"/>
      <c r="J3067" s="13"/>
      <c r="K3067" s="13"/>
      <c r="L3067" s="13"/>
      <c r="M3067" s="13"/>
      <c r="N3067" s="13"/>
    </row>
    <row r="3068" ht="15.75" hidden="1" customHeight="1">
      <c r="A3068" s="13"/>
      <c r="B3068" s="13"/>
      <c r="C3068" s="13"/>
      <c r="D3068" s="13"/>
      <c r="E3068" s="13"/>
      <c r="F3068" s="13"/>
      <c r="G3068" s="13"/>
      <c r="H3068" s="13"/>
      <c r="I3068" s="13"/>
      <c r="J3068" s="13"/>
      <c r="K3068" s="13"/>
      <c r="L3068" s="13"/>
      <c r="M3068" s="13"/>
      <c r="N3068" s="13"/>
    </row>
    <row r="3069" ht="15.75" hidden="1" customHeight="1">
      <c r="A3069" s="13"/>
      <c r="B3069" s="13"/>
      <c r="C3069" s="13"/>
      <c r="D3069" s="13"/>
      <c r="E3069" s="13"/>
      <c r="F3069" s="13"/>
      <c r="G3069" s="13"/>
      <c r="H3069" s="13"/>
      <c r="I3069" s="13"/>
      <c r="J3069" s="13"/>
      <c r="K3069" s="13"/>
      <c r="L3069" s="13"/>
      <c r="M3069" s="13"/>
      <c r="N3069" s="13"/>
    </row>
    <row r="3070" ht="15.75" hidden="1" customHeight="1">
      <c r="A3070" s="13"/>
      <c r="B3070" s="13"/>
      <c r="C3070" s="13"/>
      <c r="D3070" s="13"/>
      <c r="E3070" s="13"/>
      <c r="F3070" s="13"/>
      <c r="G3070" s="13"/>
      <c r="H3070" s="13"/>
      <c r="I3070" s="13"/>
      <c r="J3070" s="13"/>
      <c r="K3070" s="13"/>
      <c r="L3070" s="13"/>
      <c r="M3070" s="13"/>
      <c r="N3070" s="13"/>
    </row>
    <row r="3071" ht="15.75" hidden="1" customHeight="1">
      <c r="A3071" s="13"/>
      <c r="B3071" s="13"/>
      <c r="C3071" s="13"/>
      <c r="D3071" s="13"/>
      <c r="E3071" s="13"/>
      <c r="F3071" s="13"/>
      <c r="G3071" s="13"/>
      <c r="H3071" s="13"/>
      <c r="I3071" s="13"/>
      <c r="J3071" s="13"/>
      <c r="K3071" s="13"/>
      <c r="L3071" s="13"/>
      <c r="M3071" s="13"/>
      <c r="N3071" s="13"/>
    </row>
    <row r="3072" ht="15.75" hidden="1" customHeight="1">
      <c r="A3072" s="13"/>
      <c r="B3072" s="13"/>
      <c r="C3072" s="13"/>
      <c r="D3072" s="13"/>
      <c r="E3072" s="13"/>
      <c r="F3072" s="13"/>
      <c r="G3072" s="13"/>
      <c r="H3072" s="13"/>
      <c r="I3072" s="13"/>
      <c r="J3072" s="13"/>
      <c r="K3072" s="13"/>
      <c r="L3072" s="13"/>
      <c r="M3072" s="13"/>
      <c r="N3072" s="13"/>
    </row>
    <row r="3073" ht="15.75" hidden="1" customHeight="1">
      <c r="A3073" s="13"/>
      <c r="B3073" s="13"/>
      <c r="C3073" s="13"/>
      <c r="D3073" s="13"/>
      <c r="E3073" s="13"/>
      <c r="F3073" s="13"/>
      <c r="G3073" s="13"/>
      <c r="H3073" s="13"/>
      <c r="I3073" s="13"/>
      <c r="J3073" s="13"/>
      <c r="K3073" s="13"/>
      <c r="L3073" s="13"/>
      <c r="M3073" s="13"/>
      <c r="N3073" s="13"/>
    </row>
    <row r="3074" ht="15.75" hidden="1" customHeight="1">
      <c r="A3074" s="13"/>
      <c r="B3074" s="13"/>
      <c r="C3074" s="13"/>
      <c r="D3074" s="13"/>
      <c r="E3074" s="13"/>
      <c r="F3074" s="13"/>
      <c r="G3074" s="13"/>
      <c r="H3074" s="13"/>
      <c r="I3074" s="13"/>
      <c r="J3074" s="13"/>
      <c r="K3074" s="13"/>
      <c r="L3074" s="13"/>
      <c r="M3074" s="13"/>
      <c r="N3074" s="13"/>
    </row>
    <row r="3075" ht="15.75" hidden="1" customHeight="1">
      <c r="A3075" s="13"/>
      <c r="B3075" s="13"/>
      <c r="C3075" s="13"/>
      <c r="D3075" s="13"/>
      <c r="E3075" s="13"/>
      <c r="F3075" s="13"/>
      <c r="G3075" s="13"/>
      <c r="H3075" s="13"/>
      <c r="I3075" s="13"/>
      <c r="J3075" s="13"/>
      <c r="K3075" s="13"/>
      <c r="L3075" s="13"/>
      <c r="M3075" s="13"/>
      <c r="N3075" s="13"/>
    </row>
    <row r="3076" ht="15.75" hidden="1" customHeight="1">
      <c r="A3076" s="13"/>
      <c r="B3076" s="13"/>
      <c r="C3076" s="13"/>
      <c r="D3076" s="13"/>
      <c r="E3076" s="13"/>
      <c r="F3076" s="13"/>
      <c r="G3076" s="13"/>
      <c r="H3076" s="13"/>
      <c r="I3076" s="13"/>
      <c r="J3076" s="13"/>
      <c r="K3076" s="13"/>
      <c r="L3076" s="13"/>
      <c r="M3076" s="13"/>
      <c r="N3076" s="13"/>
    </row>
    <row r="3077" ht="15.75" hidden="1" customHeight="1">
      <c r="A3077" s="13"/>
      <c r="B3077" s="13"/>
      <c r="C3077" s="13"/>
      <c r="D3077" s="13"/>
      <c r="E3077" s="13"/>
      <c r="F3077" s="13"/>
      <c r="G3077" s="13"/>
      <c r="H3077" s="13"/>
      <c r="I3077" s="13"/>
      <c r="J3077" s="13"/>
      <c r="K3077" s="13"/>
      <c r="L3077" s="13"/>
      <c r="M3077" s="13"/>
      <c r="N3077" s="13"/>
    </row>
    <row r="3078" ht="15.75" hidden="1" customHeight="1">
      <c r="A3078" s="13"/>
      <c r="B3078" s="13"/>
      <c r="C3078" s="13"/>
      <c r="D3078" s="13"/>
      <c r="E3078" s="13"/>
      <c r="F3078" s="13"/>
      <c r="G3078" s="13"/>
      <c r="H3078" s="13"/>
      <c r="I3078" s="13"/>
      <c r="J3078" s="13"/>
      <c r="K3078" s="13"/>
      <c r="L3078" s="13"/>
      <c r="M3078" s="13"/>
      <c r="N3078" s="13"/>
    </row>
    <row r="3079" ht="15.75" hidden="1" customHeight="1">
      <c r="A3079" s="13"/>
      <c r="B3079" s="13"/>
      <c r="C3079" s="13"/>
      <c r="D3079" s="13"/>
      <c r="E3079" s="13"/>
      <c r="F3079" s="13"/>
      <c r="G3079" s="13"/>
      <c r="H3079" s="13"/>
      <c r="I3079" s="13"/>
      <c r="J3079" s="13"/>
      <c r="K3079" s="13"/>
      <c r="L3079" s="13"/>
      <c r="M3079" s="13"/>
      <c r="N3079" s="13"/>
    </row>
    <row r="3080" ht="15.75" hidden="1" customHeight="1">
      <c r="A3080" s="13"/>
      <c r="B3080" s="13"/>
      <c r="C3080" s="13"/>
      <c r="D3080" s="13"/>
      <c r="E3080" s="13"/>
      <c r="F3080" s="13"/>
      <c r="G3080" s="13"/>
      <c r="H3080" s="13"/>
      <c r="I3080" s="13"/>
      <c r="J3080" s="13"/>
      <c r="K3080" s="13"/>
      <c r="L3080" s="13"/>
      <c r="M3080" s="13"/>
      <c r="N3080" s="13"/>
    </row>
    <row r="3081" ht="15.75" hidden="1" customHeight="1">
      <c r="A3081" s="13"/>
      <c r="B3081" s="13"/>
      <c r="C3081" s="13"/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</row>
    <row r="3082" ht="15.75" hidden="1" customHeight="1">
      <c r="A3082" s="13"/>
      <c r="B3082" s="13"/>
      <c r="C3082" s="13"/>
      <c r="D3082" s="13"/>
      <c r="E3082" s="13"/>
      <c r="F3082" s="13"/>
      <c r="G3082" s="13"/>
      <c r="H3082" s="13"/>
      <c r="I3082" s="13"/>
      <c r="J3082" s="13"/>
      <c r="K3082" s="13"/>
      <c r="L3082" s="13"/>
      <c r="M3082" s="13"/>
      <c r="N3082" s="13"/>
    </row>
    <row r="3083" ht="15.75" hidden="1" customHeight="1">
      <c r="A3083" s="13"/>
      <c r="B3083" s="13"/>
      <c r="C3083" s="13"/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</row>
    <row r="3084" ht="15.75" hidden="1" customHeight="1">
      <c r="A3084" s="13"/>
      <c r="B3084" s="13"/>
      <c r="C3084" s="13"/>
      <c r="D3084" s="13"/>
      <c r="E3084" s="13"/>
      <c r="F3084" s="13"/>
      <c r="G3084" s="13"/>
      <c r="H3084" s="13"/>
      <c r="I3084" s="13"/>
      <c r="J3084" s="13"/>
      <c r="K3084" s="13"/>
      <c r="L3084" s="13"/>
      <c r="M3084" s="13"/>
      <c r="N3084" s="13"/>
    </row>
    <row r="3085" ht="15.75" hidden="1" customHeight="1">
      <c r="A3085" s="13"/>
      <c r="B3085" s="13"/>
      <c r="C3085" s="13"/>
      <c r="D3085" s="13"/>
      <c r="E3085" s="13"/>
      <c r="F3085" s="13"/>
      <c r="G3085" s="13"/>
      <c r="H3085" s="13"/>
      <c r="I3085" s="13"/>
      <c r="J3085" s="13"/>
      <c r="K3085" s="13"/>
      <c r="L3085" s="13"/>
      <c r="M3085" s="13"/>
      <c r="N3085" s="13"/>
    </row>
    <row r="3086" ht="15.75" hidden="1" customHeight="1">
      <c r="A3086" s="13"/>
      <c r="B3086" s="13"/>
      <c r="C3086" s="13"/>
      <c r="D3086" s="13"/>
      <c r="E3086" s="13"/>
      <c r="F3086" s="13"/>
      <c r="G3086" s="13"/>
      <c r="H3086" s="13"/>
      <c r="I3086" s="13"/>
      <c r="J3086" s="13"/>
      <c r="K3086" s="13"/>
      <c r="L3086" s="13"/>
      <c r="M3086" s="13"/>
      <c r="N3086" s="13"/>
    </row>
    <row r="3087" ht="15.75" hidden="1" customHeight="1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</row>
    <row r="3088" ht="15.75" hidden="1" customHeight="1">
      <c r="A3088" s="13"/>
      <c r="B3088" s="13"/>
      <c r="C3088" s="13"/>
      <c r="D3088" s="13"/>
      <c r="E3088" s="13"/>
      <c r="F3088" s="13"/>
      <c r="G3088" s="13"/>
      <c r="H3088" s="13"/>
      <c r="I3088" s="13"/>
      <c r="J3088" s="13"/>
      <c r="K3088" s="13"/>
      <c r="L3088" s="13"/>
      <c r="M3088" s="13"/>
      <c r="N3088" s="13"/>
    </row>
    <row r="3089" ht="15.75" hidden="1" customHeight="1">
      <c r="A3089" s="13"/>
      <c r="B3089" s="13"/>
      <c r="C3089" s="13"/>
      <c r="D3089" s="13"/>
      <c r="E3089" s="13"/>
      <c r="F3089" s="13"/>
      <c r="G3089" s="13"/>
      <c r="H3089" s="13"/>
      <c r="I3089" s="13"/>
      <c r="J3089" s="13"/>
      <c r="K3089" s="13"/>
      <c r="L3089" s="13"/>
      <c r="M3089" s="13"/>
      <c r="N3089" s="13"/>
    </row>
    <row r="3090" ht="15.75" hidden="1" customHeight="1">
      <c r="A3090" s="13"/>
      <c r="B3090" s="13"/>
      <c r="C3090" s="13"/>
      <c r="D3090" s="13"/>
      <c r="E3090" s="13"/>
      <c r="F3090" s="13"/>
      <c r="G3090" s="13"/>
      <c r="H3090" s="13"/>
      <c r="I3090" s="13"/>
      <c r="J3090" s="13"/>
      <c r="K3090" s="13"/>
      <c r="L3090" s="13"/>
      <c r="M3090" s="13"/>
      <c r="N3090" s="13"/>
    </row>
    <row r="3091" ht="15.75" hidden="1" customHeight="1">
      <c r="A3091" s="13"/>
      <c r="B3091" s="13"/>
      <c r="C3091" s="13"/>
      <c r="D3091" s="13"/>
      <c r="E3091" s="13"/>
      <c r="F3091" s="13"/>
      <c r="G3091" s="13"/>
      <c r="H3091" s="13"/>
      <c r="I3091" s="13"/>
      <c r="J3091" s="13"/>
      <c r="K3091" s="13"/>
      <c r="L3091" s="13"/>
      <c r="M3091" s="13"/>
      <c r="N3091" s="13"/>
    </row>
    <row r="3092" ht="15.75" hidden="1" customHeight="1">
      <c r="A3092" s="13"/>
      <c r="B3092" s="13"/>
      <c r="C3092" s="13"/>
      <c r="D3092" s="13"/>
      <c r="E3092" s="13"/>
      <c r="F3092" s="13"/>
      <c r="G3092" s="13"/>
      <c r="H3092" s="13"/>
      <c r="I3092" s="13"/>
      <c r="J3092" s="13"/>
      <c r="K3092" s="13"/>
      <c r="L3092" s="13"/>
      <c r="M3092" s="13"/>
      <c r="N3092" s="13"/>
    </row>
    <row r="3093" ht="15.75" hidden="1" customHeight="1">
      <c r="A3093" s="13"/>
      <c r="B3093" s="13"/>
      <c r="C3093" s="13"/>
      <c r="D3093" s="13"/>
      <c r="E3093" s="13"/>
      <c r="F3093" s="13"/>
      <c r="G3093" s="13"/>
      <c r="H3093" s="13"/>
      <c r="I3093" s="13"/>
      <c r="J3093" s="13"/>
      <c r="K3093" s="13"/>
      <c r="L3093" s="13"/>
      <c r="M3093" s="13"/>
      <c r="N3093" s="13"/>
    </row>
    <row r="3094" ht="15.75" hidden="1" customHeight="1">
      <c r="A3094" s="13"/>
      <c r="B3094" s="13"/>
      <c r="C3094" s="13"/>
      <c r="D3094" s="13"/>
      <c r="E3094" s="13"/>
      <c r="F3094" s="13"/>
      <c r="G3094" s="13"/>
      <c r="H3094" s="13"/>
      <c r="I3094" s="13"/>
      <c r="J3094" s="13"/>
      <c r="K3094" s="13"/>
      <c r="L3094" s="13"/>
      <c r="M3094" s="13"/>
      <c r="N3094" s="13"/>
    </row>
    <row r="3095" ht="15.75" hidden="1" customHeight="1">
      <c r="A3095" s="13"/>
      <c r="B3095" s="13"/>
      <c r="C3095" s="13"/>
      <c r="D3095" s="13"/>
      <c r="E3095" s="13"/>
      <c r="F3095" s="13"/>
      <c r="G3095" s="13"/>
      <c r="H3095" s="13"/>
      <c r="I3095" s="13"/>
      <c r="J3095" s="13"/>
      <c r="K3095" s="13"/>
      <c r="L3095" s="13"/>
      <c r="M3095" s="13"/>
      <c r="N3095" s="13"/>
    </row>
    <row r="3096" ht="15.75" hidden="1" customHeight="1">
      <c r="A3096" s="13"/>
      <c r="B3096" s="13"/>
      <c r="C3096" s="13"/>
      <c r="D3096" s="13"/>
      <c r="E3096" s="13"/>
      <c r="F3096" s="13"/>
      <c r="G3096" s="13"/>
      <c r="H3096" s="13"/>
      <c r="I3096" s="13"/>
      <c r="J3096" s="13"/>
      <c r="K3096" s="13"/>
      <c r="L3096" s="13"/>
      <c r="M3096" s="13"/>
      <c r="N3096" s="13"/>
    </row>
    <row r="3097" ht="15.75" hidden="1" customHeight="1">
      <c r="A3097" s="13"/>
      <c r="B3097" s="13"/>
      <c r="C3097" s="13"/>
      <c r="D3097" s="13"/>
      <c r="E3097" s="13"/>
      <c r="F3097" s="13"/>
      <c r="G3097" s="13"/>
      <c r="H3097" s="13"/>
      <c r="I3097" s="13"/>
      <c r="J3097" s="13"/>
      <c r="K3097" s="13"/>
      <c r="L3097" s="13"/>
      <c r="M3097" s="13"/>
      <c r="N3097" s="13"/>
    </row>
    <row r="3098" ht="15.75" hidden="1" customHeight="1">
      <c r="A3098" s="13"/>
      <c r="B3098" s="13"/>
      <c r="C3098" s="13"/>
      <c r="D3098" s="13"/>
      <c r="E3098" s="13"/>
      <c r="F3098" s="13"/>
      <c r="G3098" s="13"/>
      <c r="H3098" s="13"/>
      <c r="I3098" s="13"/>
      <c r="J3098" s="13"/>
      <c r="K3098" s="13"/>
      <c r="L3098" s="13"/>
      <c r="M3098" s="13"/>
      <c r="N3098" s="13"/>
    </row>
    <row r="3099" ht="15.75" hidden="1" customHeight="1">
      <c r="A3099" s="13"/>
      <c r="B3099" s="13"/>
      <c r="C3099" s="13"/>
      <c r="D3099" s="13"/>
      <c r="E3099" s="13"/>
      <c r="F3099" s="13"/>
      <c r="G3099" s="13"/>
      <c r="H3099" s="13"/>
      <c r="I3099" s="13"/>
      <c r="J3099" s="13"/>
      <c r="K3099" s="13"/>
      <c r="L3099" s="13"/>
      <c r="M3099" s="13"/>
      <c r="N3099" s="13"/>
    </row>
    <row r="3100" ht="15.75" hidden="1" customHeight="1">
      <c r="A3100" s="13"/>
      <c r="B3100" s="13"/>
      <c r="C3100" s="13"/>
      <c r="D3100" s="13"/>
      <c r="E3100" s="13"/>
      <c r="F3100" s="13"/>
      <c r="G3100" s="13"/>
      <c r="H3100" s="13"/>
      <c r="I3100" s="13"/>
      <c r="J3100" s="13"/>
      <c r="K3100" s="13"/>
      <c r="L3100" s="13"/>
      <c r="M3100" s="13"/>
      <c r="N3100" s="13"/>
    </row>
    <row r="3101" ht="15.75" hidden="1" customHeight="1">
      <c r="A3101" s="13"/>
      <c r="B3101" s="13"/>
      <c r="C3101" s="13"/>
      <c r="D3101" s="13"/>
      <c r="E3101" s="13"/>
      <c r="F3101" s="13"/>
      <c r="G3101" s="13"/>
      <c r="H3101" s="13"/>
      <c r="I3101" s="13"/>
      <c r="J3101" s="13"/>
      <c r="K3101" s="13"/>
      <c r="L3101" s="13"/>
      <c r="M3101" s="13"/>
      <c r="N3101" s="13"/>
    </row>
    <row r="3102" ht="15.75" hidden="1" customHeight="1">
      <c r="A3102" s="13"/>
      <c r="B3102" s="13"/>
      <c r="C3102" s="13"/>
      <c r="D3102" s="13"/>
      <c r="E3102" s="13"/>
      <c r="F3102" s="13"/>
      <c r="G3102" s="13"/>
      <c r="H3102" s="13"/>
      <c r="I3102" s="13"/>
      <c r="J3102" s="13"/>
      <c r="K3102" s="13"/>
      <c r="L3102" s="13"/>
      <c r="M3102" s="13"/>
      <c r="N3102" s="13"/>
    </row>
    <row r="3103" ht="15.75" hidden="1" customHeight="1">
      <c r="A3103" s="13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13"/>
    </row>
    <row r="3104" ht="15.75" hidden="1" customHeight="1">
      <c r="A3104" s="13"/>
      <c r="B3104" s="13"/>
      <c r="C3104" s="13"/>
      <c r="D3104" s="13"/>
      <c r="E3104" s="13"/>
      <c r="F3104" s="13"/>
      <c r="G3104" s="13"/>
      <c r="H3104" s="13"/>
      <c r="I3104" s="13"/>
      <c r="J3104" s="13"/>
      <c r="K3104" s="13"/>
      <c r="L3104" s="13"/>
      <c r="M3104" s="13"/>
      <c r="N3104" s="13"/>
    </row>
    <row r="3105" ht="15.75" hidden="1" customHeight="1">
      <c r="A3105" s="13"/>
      <c r="B3105" s="13"/>
      <c r="C3105" s="13"/>
      <c r="D3105" s="13"/>
      <c r="E3105" s="13"/>
      <c r="F3105" s="13"/>
      <c r="G3105" s="13"/>
      <c r="H3105" s="13"/>
      <c r="I3105" s="13"/>
      <c r="J3105" s="13"/>
      <c r="K3105" s="13"/>
      <c r="L3105" s="13"/>
      <c r="M3105" s="13"/>
      <c r="N3105" s="13"/>
    </row>
    <row r="3106" ht="15.75" hidden="1" customHeight="1">
      <c r="A3106" s="13"/>
      <c r="B3106" s="13"/>
      <c r="C3106" s="13"/>
      <c r="D3106" s="13"/>
      <c r="E3106" s="13"/>
      <c r="F3106" s="13"/>
      <c r="G3106" s="13"/>
      <c r="H3106" s="13"/>
      <c r="I3106" s="13"/>
      <c r="J3106" s="13"/>
      <c r="K3106" s="13"/>
      <c r="L3106" s="13"/>
      <c r="M3106" s="13"/>
      <c r="N3106" s="13"/>
    </row>
    <row r="3107" ht="15.75" hidden="1" customHeight="1">
      <c r="A3107" s="13"/>
      <c r="B3107" s="13"/>
      <c r="C3107" s="13"/>
      <c r="D3107" s="13"/>
      <c r="E3107" s="13"/>
      <c r="F3107" s="13"/>
      <c r="G3107" s="13"/>
      <c r="H3107" s="13"/>
      <c r="I3107" s="13"/>
      <c r="J3107" s="13"/>
      <c r="K3107" s="13"/>
      <c r="L3107" s="13"/>
      <c r="M3107" s="13"/>
      <c r="N3107" s="13"/>
    </row>
    <row r="3108" ht="15.75" hidden="1" customHeight="1">
      <c r="A3108" s="13"/>
      <c r="B3108" s="13"/>
      <c r="C3108" s="13"/>
      <c r="D3108" s="13"/>
      <c r="E3108" s="13"/>
      <c r="F3108" s="13"/>
      <c r="G3108" s="13"/>
      <c r="H3108" s="13"/>
      <c r="I3108" s="13"/>
      <c r="J3108" s="13"/>
      <c r="K3108" s="13"/>
      <c r="L3108" s="13"/>
      <c r="M3108" s="13"/>
      <c r="N3108" s="13"/>
    </row>
    <row r="3109" ht="15.75" hidden="1" customHeight="1">
      <c r="A3109" s="13"/>
      <c r="B3109" s="13"/>
      <c r="C3109" s="13"/>
      <c r="D3109" s="13"/>
      <c r="E3109" s="13"/>
      <c r="F3109" s="13"/>
      <c r="G3109" s="13"/>
      <c r="H3109" s="13"/>
      <c r="I3109" s="13"/>
      <c r="J3109" s="13"/>
      <c r="K3109" s="13"/>
      <c r="L3109" s="13"/>
      <c r="M3109" s="13"/>
      <c r="N3109" s="13"/>
    </row>
    <row r="3110" ht="15.75" hidden="1" customHeight="1">
      <c r="A3110" s="13"/>
      <c r="B3110" s="13"/>
      <c r="C3110" s="13"/>
      <c r="D3110" s="13"/>
      <c r="E3110" s="13"/>
      <c r="F3110" s="13"/>
      <c r="G3110" s="13"/>
      <c r="H3110" s="13"/>
      <c r="I3110" s="13"/>
      <c r="J3110" s="13"/>
      <c r="K3110" s="13"/>
      <c r="L3110" s="13"/>
      <c r="M3110" s="13"/>
      <c r="N3110" s="13"/>
    </row>
    <row r="3111" ht="15.75" hidden="1" customHeight="1">
      <c r="A3111" s="13"/>
      <c r="B3111" s="13"/>
      <c r="C3111" s="13"/>
      <c r="D3111" s="13"/>
      <c r="E3111" s="13"/>
      <c r="F3111" s="13"/>
      <c r="G3111" s="13"/>
      <c r="H3111" s="13"/>
      <c r="I3111" s="13"/>
      <c r="J3111" s="13"/>
      <c r="K3111" s="13"/>
      <c r="L3111" s="13"/>
      <c r="M3111" s="13"/>
      <c r="N3111" s="13"/>
    </row>
    <row r="3112" ht="15.75" hidden="1" customHeight="1">
      <c r="A3112" s="13"/>
      <c r="B3112" s="13"/>
      <c r="C3112" s="13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</row>
    <row r="3113" ht="15.75" hidden="1" customHeight="1">
      <c r="A3113" s="13"/>
      <c r="B3113" s="13"/>
      <c r="C3113" s="13"/>
      <c r="D3113" s="13"/>
      <c r="E3113" s="13"/>
      <c r="F3113" s="13"/>
      <c r="G3113" s="13"/>
      <c r="H3113" s="13"/>
      <c r="I3113" s="13"/>
      <c r="J3113" s="13"/>
      <c r="K3113" s="13"/>
      <c r="L3113" s="13"/>
      <c r="M3113" s="13"/>
      <c r="N3113" s="13"/>
    </row>
    <row r="3114" ht="15.75" hidden="1" customHeight="1">
      <c r="A3114" s="13"/>
      <c r="B3114" s="13"/>
      <c r="C3114" s="13"/>
      <c r="D3114" s="13"/>
      <c r="E3114" s="13"/>
      <c r="F3114" s="13"/>
      <c r="G3114" s="13"/>
      <c r="H3114" s="13"/>
      <c r="I3114" s="13"/>
      <c r="J3114" s="13"/>
      <c r="K3114" s="13"/>
      <c r="L3114" s="13"/>
      <c r="M3114" s="13"/>
      <c r="N3114" s="13"/>
    </row>
    <row r="3115" ht="15.75" hidden="1" customHeight="1">
      <c r="A3115" s="13"/>
      <c r="B3115" s="13"/>
      <c r="C3115" s="13"/>
      <c r="D3115" s="13"/>
      <c r="E3115" s="13"/>
      <c r="F3115" s="13"/>
      <c r="G3115" s="13"/>
      <c r="H3115" s="13"/>
      <c r="I3115" s="13"/>
      <c r="J3115" s="13"/>
      <c r="K3115" s="13"/>
      <c r="L3115" s="13"/>
      <c r="M3115" s="13"/>
      <c r="N3115" s="13"/>
    </row>
    <row r="3116" ht="15.75" hidden="1" customHeight="1">
      <c r="A3116" s="13"/>
      <c r="B3116" s="13"/>
      <c r="C3116" s="13"/>
      <c r="D3116" s="13"/>
      <c r="E3116" s="13"/>
      <c r="F3116" s="13"/>
      <c r="G3116" s="13"/>
      <c r="H3116" s="13"/>
      <c r="I3116" s="13"/>
      <c r="J3116" s="13"/>
      <c r="K3116" s="13"/>
      <c r="L3116" s="13"/>
      <c r="M3116" s="13"/>
      <c r="N3116" s="13"/>
    </row>
    <row r="3117" ht="15.75" hidden="1" customHeight="1">
      <c r="A3117" s="13"/>
      <c r="B3117" s="13"/>
      <c r="C3117" s="13"/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</row>
    <row r="3118" ht="15.75" hidden="1" customHeight="1">
      <c r="A3118" s="13"/>
      <c r="B3118" s="13"/>
      <c r="C3118" s="13"/>
      <c r="D3118" s="13"/>
      <c r="E3118" s="13"/>
      <c r="F3118" s="13"/>
      <c r="G3118" s="13"/>
      <c r="H3118" s="13"/>
      <c r="I3118" s="13"/>
      <c r="J3118" s="13"/>
      <c r="K3118" s="13"/>
      <c r="L3118" s="13"/>
      <c r="M3118" s="13"/>
      <c r="N3118" s="13"/>
    </row>
    <row r="3119" ht="15.75" hidden="1" customHeight="1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</row>
    <row r="3120" ht="15.75" hidden="1" customHeight="1">
      <c r="A3120" s="13"/>
      <c r="B3120" s="13"/>
      <c r="C3120" s="13"/>
      <c r="D3120" s="13"/>
      <c r="E3120" s="13"/>
      <c r="F3120" s="13"/>
      <c r="G3120" s="13"/>
      <c r="H3120" s="13"/>
      <c r="I3120" s="13"/>
      <c r="J3120" s="13"/>
      <c r="K3120" s="13"/>
      <c r="L3120" s="13"/>
      <c r="M3120" s="13"/>
      <c r="N3120" s="13"/>
    </row>
    <row r="3121" ht="15.75" hidden="1" customHeight="1">
      <c r="A3121" s="13"/>
      <c r="B3121" s="13"/>
      <c r="C3121" s="13"/>
      <c r="D3121" s="13"/>
      <c r="E3121" s="13"/>
      <c r="F3121" s="13"/>
      <c r="G3121" s="13"/>
      <c r="H3121" s="13"/>
      <c r="I3121" s="13"/>
      <c r="J3121" s="13"/>
      <c r="K3121" s="13"/>
      <c r="L3121" s="13"/>
      <c r="M3121" s="13"/>
      <c r="N3121" s="13"/>
    </row>
    <row r="3122" ht="15.75" hidden="1" customHeight="1">
      <c r="A3122" s="13"/>
      <c r="B3122" s="13"/>
      <c r="C3122" s="13"/>
      <c r="D3122" s="13"/>
      <c r="E3122" s="13"/>
      <c r="F3122" s="13"/>
      <c r="G3122" s="13"/>
      <c r="H3122" s="13"/>
      <c r="I3122" s="13"/>
      <c r="J3122" s="13"/>
      <c r="K3122" s="13"/>
      <c r="L3122" s="13"/>
      <c r="M3122" s="13"/>
      <c r="N3122" s="13"/>
    </row>
    <row r="3123" ht="15.75" hidden="1" customHeight="1">
      <c r="A3123" s="13"/>
      <c r="B3123" s="13"/>
      <c r="C3123" s="13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</row>
    <row r="3124" ht="15.75" hidden="1" customHeight="1">
      <c r="A3124" s="13"/>
      <c r="B3124" s="13"/>
      <c r="C3124" s="13"/>
      <c r="D3124" s="13"/>
      <c r="E3124" s="13"/>
      <c r="F3124" s="13"/>
      <c r="G3124" s="13"/>
      <c r="H3124" s="13"/>
      <c r="I3124" s="13"/>
      <c r="J3124" s="13"/>
      <c r="K3124" s="13"/>
      <c r="L3124" s="13"/>
      <c r="M3124" s="13"/>
      <c r="N3124" s="13"/>
    </row>
    <row r="3125" ht="15.75" hidden="1" customHeight="1">
      <c r="A3125" s="13"/>
      <c r="B3125" s="13"/>
      <c r="C3125" s="13"/>
      <c r="D3125" s="13"/>
      <c r="E3125" s="13"/>
      <c r="F3125" s="13"/>
      <c r="G3125" s="13"/>
      <c r="H3125" s="13"/>
      <c r="I3125" s="13"/>
      <c r="J3125" s="13"/>
      <c r="K3125" s="13"/>
      <c r="L3125" s="13"/>
      <c r="M3125" s="13"/>
      <c r="N3125" s="13"/>
    </row>
    <row r="3126" ht="15.75" hidden="1" customHeight="1">
      <c r="A3126" s="13"/>
      <c r="B3126" s="13"/>
      <c r="C3126" s="13"/>
      <c r="D3126" s="13"/>
      <c r="E3126" s="13"/>
      <c r="F3126" s="13"/>
      <c r="G3126" s="13"/>
      <c r="H3126" s="13"/>
      <c r="I3126" s="13"/>
      <c r="J3126" s="13"/>
      <c r="K3126" s="13"/>
      <c r="L3126" s="13"/>
      <c r="M3126" s="13"/>
      <c r="N3126" s="13"/>
    </row>
    <row r="3127" ht="15.75" hidden="1" customHeight="1">
      <c r="A3127" s="13"/>
      <c r="B3127" s="13"/>
      <c r="C3127" s="13"/>
      <c r="D3127" s="13"/>
      <c r="E3127" s="13"/>
      <c r="F3127" s="13"/>
      <c r="G3127" s="13"/>
      <c r="H3127" s="13"/>
      <c r="I3127" s="13"/>
      <c r="J3127" s="13"/>
      <c r="K3127" s="13"/>
      <c r="L3127" s="13"/>
      <c r="M3127" s="13"/>
      <c r="N3127" s="13"/>
    </row>
    <row r="3128" ht="15.75" hidden="1" customHeight="1">
      <c r="A3128" s="13"/>
      <c r="B3128" s="13"/>
      <c r="C3128" s="13"/>
      <c r="D3128" s="13"/>
      <c r="E3128" s="13"/>
      <c r="F3128" s="13"/>
      <c r="G3128" s="13"/>
      <c r="H3128" s="13"/>
      <c r="I3128" s="13"/>
      <c r="J3128" s="13"/>
      <c r="K3128" s="13"/>
      <c r="L3128" s="13"/>
      <c r="M3128" s="13"/>
      <c r="N3128" s="13"/>
    </row>
    <row r="3129" ht="15.75" hidden="1" customHeight="1">
      <c r="A3129" s="13"/>
      <c r="B3129" s="13"/>
      <c r="C3129" s="13"/>
      <c r="D3129" s="13"/>
      <c r="E3129" s="13"/>
      <c r="F3129" s="13"/>
      <c r="G3129" s="13"/>
      <c r="H3129" s="13"/>
      <c r="I3129" s="13"/>
      <c r="J3129" s="13"/>
      <c r="K3129" s="13"/>
      <c r="L3129" s="13"/>
      <c r="M3129" s="13"/>
      <c r="N3129" s="13"/>
    </row>
    <row r="3130" ht="15.75" hidden="1" customHeight="1">
      <c r="A3130" s="13"/>
      <c r="B3130" s="13"/>
      <c r="C3130" s="13"/>
      <c r="D3130" s="13"/>
      <c r="E3130" s="13"/>
      <c r="F3130" s="13"/>
      <c r="G3130" s="13"/>
      <c r="H3130" s="13"/>
      <c r="I3130" s="13"/>
      <c r="J3130" s="13"/>
      <c r="K3130" s="13"/>
      <c r="L3130" s="13"/>
      <c r="M3130" s="13"/>
      <c r="N3130" s="13"/>
    </row>
    <row r="3131" ht="15.75" hidden="1" customHeight="1">
      <c r="A3131" s="13"/>
      <c r="B3131" s="13"/>
      <c r="C3131" s="13"/>
      <c r="D3131" s="13"/>
      <c r="E3131" s="13"/>
      <c r="F3131" s="13"/>
      <c r="G3131" s="13"/>
      <c r="H3131" s="13"/>
      <c r="I3131" s="13"/>
      <c r="J3131" s="13"/>
      <c r="K3131" s="13"/>
      <c r="L3131" s="13"/>
      <c r="M3131" s="13"/>
      <c r="N3131" s="13"/>
    </row>
    <row r="3132" ht="15.75" hidden="1" customHeight="1">
      <c r="A3132" s="13"/>
      <c r="B3132" s="13"/>
      <c r="C3132" s="13"/>
      <c r="D3132" s="13"/>
      <c r="E3132" s="13"/>
      <c r="F3132" s="13"/>
      <c r="G3132" s="13"/>
      <c r="H3132" s="13"/>
      <c r="I3132" s="13"/>
      <c r="J3132" s="13"/>
      <c r="K3132" s="13"/>
      <c r="L3132" s="13"/>
      <c r="M3132" s="13"/>
      <c r="N3132" s="13"/>
    </row>
    <row r="3133" ht="15.75" hidden="1" customHeight="1">
      <c r="A3133" s="13"/>
      <c r="B3133" s="13"/>
      <c r="C3133" s="13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</row>
    <row r="3134" ht="15.75" hidden="1" customHeight="1">
      <c r="A3134" s="13"/>
      <c r="B3134" s="13"/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</row>
    <row r="3135" ht="15.75" hidden="1" customHeight="1">
      <c r="A3135" s="13"/>
      <c r="B3135" s="13"/>
      <c r="C3135" s="13"/>
      <c r="D3135" s="13"/>
      <c r="E3135" s="13"/>
      <c r="F3135" s="13"/>
      <c r="G3135" s="13"/>
      <c r="H3135" s="13"/>
      <c r="I3135" s="13"/>
      <c r="J3135" s="13"/>
      <c r="K3135" s="13"/>
      <c r="L3135" s="13"/>
      <c r="M3135" s="13"/>
      <c r="N3135" s="13"/>
    </row>
    <row r="3136" ht="15.75" hidden="1" customHeight="1">
      <c r="A3136" s="13"/>
      <c r="B3136" s="13"/>
      <c r="C3136" s="13"/>
      <c r="D3136" s="13"/>
      <c r="E3136" s="13"/>
      <c r="F3136" s="13"/>
      <c r="G3136" s="13"/>
      <c r="H3136" s="13"/>
      <c r="I3136" s="13"/>
      <c r="J3136" s="13"/>
      <c r="K3136" s="13"/>
      <c r="L3136" s="13"/>
      <c r="M3136" s="13"/>
      <c r="N3136" s="13"/>
    </row>
    <row r="3137" ht="15.75" hidden="1" customHeight="1">
      <c r="A3137" s="13"/>
      <c r="B3137" s="13"/>
      <c r="C3137" s="13"/>
      <c r="D3137" s="13"/>
      <c r="E3137" s="13"/>
      <c r="F3137" s="13"/>
      <c r="G3137" s="13"/>
      <c r="H3137" s="13"/>
      <c r="I3137" s="13"/>
      <c r="J3137" s="13"/>
      <c r="K3137" s="13"/>
      <c r="L3137" s="13"/>
      <c r="M3137" s="13"/>
      <c r="N3137" s="13"/>
    </row>
    <row r="3138" ht="15.75" hidden="1" customHeight="1">
      <c r="A3138" s="13"/>
      <c r="B3138" s="13"/>
      <c r="C3138" s="13"/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</row>
    <row r="3139" ht="15.75" hidden="1" customHeight="1">
      <c r="A3139" s="13"/>
      <c r="B3139" s="13"/>
      <c r="C3139" s="13"/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</row>
    <row r="3140" ht="15.75" hidden="1" customHeight="1">
      <c r="A3140" s="13"/>
      <c r="B3140" s="13"/>
      <c r="C3140" s="13"/>
      <c r="D3140" s="13"/>
      <c r="E3140" s="13"/>
      <c r="F3140" s="13"/>
      <c r="G3140" s="13"/>
      <c r="H3140" s="13"/>
      <c r="I3140" s="13"/>
      <c r="J3140" s="13"/>
      <c r="K3140" s="13"/>
      <c r="L3140" s="13"/>
      <c r="M3140" s="13"/>
      <c r="N3140" s="13"/>
    </row>
    <row r="3141" ht="15.75" hidden="1" customHeight="1">
      <c r="A3141" s="13"/>
      <c r="B3141" s="13"/>
      <c r="C3141" s="13"/>
      <c r="D3141" s="13"/>
      <c r="E3141" s="13"/>
      <c r="F3141" s="13"/>
      <c r="G3141" s="13"/>
      <c r="H3141" s="13"/>
      <c r="I3141" s="13"/>
      <c r="J3141" s="13"/>
      <c r="K3141" s="13"/>
      <c r="L3141" s="13"/>
      <c r="M3141" s="13"/>
      <c r="N3141" s="13"/>
    </row>
    <row r="3142" ht="15.75" hidden="1" customHeight="1">
      <c r="A3142" s="13"/>
      <c r="B3142" s="13"/>
      <c r="C3142" s="13"/>
      <c r="D3142" s="13"/>
      <c r="E3142" s="13"/>
      <c r="F3142" s="13"/>
      <c r="G3142" s="13"/>
      <c r="H3142" s="13"/>
      <c r="I3142" s="13"/>
      <c r="J3142" s="13"/>
      <c r="K3142" s="13"/>
      <c r="L3142" s="13"/>
      <c r="M3142" s="13"/>
      <c r="N3142" s="13"/>
    </row>
    <row r="3143" ht="15.75" hidden="1" customHeight="1">
      <c r="A3143" s="13"/>
      <c r="B3143" s="13"/>
      <c r="C3143" s="13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</row>
    <row r="3144" ht="15.75" hidden="1" customHeight="1">
      <c r="A3144" s="13"/>
      <c r="B3144" s="13"/>
      <c r="C3144" s="13"/>
      <c r="D3144" s="13"/>
      <c r="E3144" s="13"/>
      <c r="F3144" s="13"/>
      <c r="G3144" s="13"/>
      <c r="H3144" s="13"/>
      <c r="I3144" s="13"/>
      <c r="J3144" s="13"/>
      <c r="K3144" s="13"/>
      <c r="L3144" s="13"/>
      <c r="M3144" s="13"/>
      <c r="N3144" s="13"/>
    </row>
    <row r="3145" ht="15.75" hidden="1" customHeight="1">
      <c r="A3145" s="13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13"/>
    </row>
    <row r="3146" ht="15.75" hidden="1" customHeight="1">
      <c r="A3146" s="13"/>
      <c r="B3146" s="13"/>
      <c r="C3146" s="13"/>
      <c r="D3146" s="13"/>
      <c r="E3146" s="13"/>
      <c r="F3146" s="13"/>
      <c r="G3146" s="13"/>
      <c r="H3146" s="13"/>
      <c r="I3146" s="13"/>
      <c r="J3146" s="13"/>
      <c r="K3146" s="13"/>
      <c r="L3146" s="13"/>
      <c r="M3146" s="13"/>
      <c r="N3146" s="13"/>
    </row>
    <row r="3147" ht="15.75" hidden="1" customHeight="1">
      <c r="A3147" s="13"/>
      <c r="B3147" s="13"/>
      <c r="C3147" s="13"/>
      <c r="D3147" s="13"/>
      <c r="E3147" s="13"/>
      <c r="F3147" s="13"/>
      <c r="G3147" s="13"/>
      <c r="H3147" s="13"/>
      <c r="I3147" s="13"/>
      <c r="J3147" s="13"/>
      <c r="K3147" s="13"/>
      <c r="L3147" s="13"/>
      <c r="M3147" s="13"/>
      <c r="N3147" s="13"/>
    </row>
    <row r="3148" ht="15.75" hidden="1" customHeight="1">
      <c r="A3148" s="13"/>
      <c r="B3148" s="13"/>
      <c r="C3148" s="13"/>
      <c r="D3148" s="13"/>
      <c r="E3148" s="13"/>
      <c r="F3148" s="13"/>
      <c r="G3148" s="13"/>
      <c r="H3148" s="13"/>
      <c r="I3148" s="13"/>
      <c r="J3148" s="13"/>
      <c r="K3148" s="13"/>
      <c r="L3148" s="13"/>
      <c r="M3148" s="13"/>
      <c r="N3148" s="13"/>
    </row>
    <row r="3149" ht="15.75" hidden="1" customHeight="1">
      <c r="A3149" s="13"/>
      <c r="B3149" s="13"/>
      <c r="C3149" s="13"/>
      <c r="D3149" s="13"/>
      <c r="E3149" s="13"/>
      <c r="F3149" s="13"/>
      <c r="G3149" s="13"/>
      <c r="H3149" s="13"/>
      <c r="I3149" s="13"/>
      <c r="J3149" s="13"/>
      <c r="K3149" s="13"/>
      <c r="L3149" s="13"/>
      <c r="M3149" s="13"/>
      <c r="N3149" s="13"/>
    </row>
    <row r="3150" ht="15.75" hidden="1" customHeight="1">
      <c r="A3150" s="13"/>
      <c r="B3150" s="13"/>
      <c r="C3150" s="13"/>
      <c r="D3150" s="13"/>
      <c r="E3150" s="13"/>
      <c r="F3150" s="13"/>
      <c r="G3150" s="13"/>
      <c r="H3150" s="13"/>
      <c r="I3150" s="13"/>
      <c r="J3150" s="13"/>
      <c r="K3150" s="13"/>
      <c r="L3150" s="13"/>
      <c r="M3150" s="13"/>
      <c r="N3150" s="13"/>
    </row>
    <row r="3151" ht="15.75" hidden="1" customHeight="1">
      <c r="A3151" s="13"/>
      <c r="B3151" s="13"/>
      <c r="C3151" s="13"/>
      <c r="D3151" s="13"/>
      <c r="E3151" s="13"/>
      <c r="F3151" s="13"/>
      <c r="G3151" s="13"/>
      <c r="H3151" s="13"/>
      <c r="I3151" s="13"/>
      <c r="J3151" s="13"/>
      <c r="K3151" s="13"/>
      <c r="L3151" s="13"/>
      <c r="M3151" s="13"/>
      <c r="N3151" s="13"/>
    </row>
    <row r="3152" ht="15.75" hidden="1" customHeight="1">
      <c r="A3152" s="13"/>
      <c r="B3152" s="13"/>
      <c r="C3152" s="13"/>
      <c r="D3152" s="13"/>
      <c r="E3152" s="13"/>
      <c r="F3152" s="13"/>
      <c r="G3152" s="13"/>
      <c r="H3152" s="13"/>
      <c r="I3152" s="13"/>
      <c r="J3152" s="13"/>
      <c r="K3152" s="13"/>
      <c r="L3152" s="13"/>
      <c r="M3152" s="13"/>
      <c r="N3152" s="13"/>
    </row>
    <row r="3153" ht="15.75" hidden="1" customHeight="1">
      <c r="A3153" s="13"/>
      <c r="B3153" s="13"/>
      <c r="C3153" s="13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</row>
    <row r="3154" ht="15.75" hidden="1" customHeight="1">
      <c r="A3154" s="13"/>
      <c r="B3154" s="13"/>
      <c r="C3154" s="13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/>
    </row>
    <row r="3155" ht="15.75" hidden="1" customHeight="1">
      <c r="A3155" s="13"/>
      <c r="B3155" s="13"/>
      <c r="C3155" s="13"/>
      <c r="D3155" s="13"/>
      <c r="E3155" s="13"/>
      <c r="F3155" s="13"/>
      <c r="G3155" s="13"/>
      <c r="H3155" s="13"/>
      <c r="I3155" s="13"/>
      <c r="J3155" s="13"/>
      <c r="K3155" s="13"/>
      <c r="L3155" s="13"/>
      <c r="M3155" s="13"/>
      <c r="N3155" s="13"/>
    </row>
    <row r="3156" ht="15.75" hidden="1" customHeight="1">
      <c r="A3156" s="13"/>
      <c r="B3156" s="13"/>
      <c r="C3156" s="13"/>
      <c r="D3156" s="13"/>
      <c r="E3156" s="13"/>
      <c r="F3156" s="13"/>
      <c r="G3156" s="13"/>
      <c r="H3156" s="13"/>
      <c r="I3156" s="13"/>
      <c r="J3156" s="13"/>
      <c r="K3156" s="13"/>
      <c r="L3156" s="13"/>
      <c r="M3156" s="13"/>
      <c r="N3156" s="13"/>
    </row>
    <row r="3157" ht="15.75" hidden="1" customHeight="1">
      <c r="A3157" s="13"/>
      <c r="B3157" s="13"/>
      <c r="C3157" s="13"/>
      <c r="D3157" s="13"/>
      <c r="E3157" s="13"/>
      <c r="F3157" s="13"/>
      <c r="G3157" s="13"/>
      <c r="H3157" s="13"/>
      <c r="I3157" s="13"/>
      <c r="J3157" s="13"/>
      <c r="K3157" s="13"/>
      <c r="L3157" s="13"/>
      <c r="M3157" s="13"/>
      <c r="N3157" s="13"/>
    </row>
    <row r="3158" ht="15.75" hidden="1" customHeight="1">
      <c r="A3158" s="13"/>
      <c r="B3158" s="13"/>
      <c r="C3158" s="13"/>
      <c r="D3158" s="13"/>
      <c r="E3158" s="13"/>
      <c r="F3158" s="13"/>
      <c r="G3158" s="13"/>
      <c r="H3158" s="13"/>
      <c r="I3158" s="13"/>
      <c r="J3158" s="13"/>
      <c r="K3158" s="13"/>
      <c r="L3158" s="13"/>
      <c r="M3158" s="13"/>
      <c r="N3158" s="13"/>
    </row>
    <row r="3159" ht="15.75" hidden="1" customHeight="1">
      <c r="A3159" s="13"/>
      <c r="B3159" s="13"/>
      <c r="C3159" s="13"/>
      <c r="D3159" s="13"/>
      <c r="E3159" s="13"/>
      <c r="F3159" s="13"/>
      <c r="G3159" s="13"/>
      <c r="H3159" s="13"/>
      <c r="I3159" s="13"/>
      <c r="J3159" s="13"/>
      <c r="K3159" s="13"/>
      <c r="L3159" s="13"/>
      <c r="M3159" s="13"/>
      <c r="N3159" s="13"/>
    </row>
    <row r="3160" ht="15.75" hidden="1" customHeight="1">
      <c r="A3160" s="13"/>
      <c r="B3160" s="13"/>
      <c r="C3160" s="13"/>
      <c r="D3160" s="13"/>
      <c r="E3160" s="13"/>
      <c r="F3160" s="13"/>
      <c r="G3160" s="13"/>
      <c r="H3160" s="13"/>
      <c r="I3160" s="13"/>
      <c r="J3160" s="13"/>
      <c r="K3160" s="13"/>
      <c r="L3160" s="13"/>
      <c r="M3160" s="13"/>
      <c r="N3160" s="13"/>
    </row>
    <row r="3161" ht="15.75" hidden="1" customHeight="1">
      <c r="A3161" s="13"/>
      <c r="B3161" s="13"/>
      <c r="C3161" s="13"/>
      <c r="D3161" s="13"/>
      <c r="E3161" s="13"/>
      <c r="F3161" s="13"/>
      <c r="G3161" s="13"/>
      <c r="H3161" s="13"/>
      <c r="I3161" s="13"/>
      <c r="J3161" s="13"/>
      <c r="K3161" s="13"/>
      <c r="L3161" s="13"/>
      <c r="M3161" s="13"/>
      <c r="N3161" s="13"/>
    </row>
    <row r="3162" ht="15.75" hidden="1" customHeight="1">
      <c r="A3162" s="13"/>
      <c r="B3162" s="13"/>
      <c r="C3162" s="13"/>
      <c r="D3162" s="13"/>
      <c r="E3162" s="13"/>
      <c r="F3162" s="13"/>
      <c r="G3162" s="13"/>
      <c r="H3162" s="13"/>
      <c r="I3162" s="13"/>
      <c r="J3162" s="13"/>
      <c r="K3162" s="13"/>
      <c r="L3162" s="13"/>
      <c r="M3162" s="13"/>
      <c r="N3162" s="13"/>
    </row>
    <row r="3163" ht="15.75" hidden="1" customHeight="1">
      <c r="A3163" s="13"/>
      <c r="B3163" s="13"/>
      <c r="C3163" s="13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</row>
    <row r="3164" ht="15.75" hidden="1" customHeight="1">
      <c r="A3164" s="13"/>
      <c r="B3164" s="13"/>
      <c r="C3164" s="13"/>
      <c r="D3164" s="13"/>
      <c r="E3164" s="13"/>
      <c r="F3164" s="13"/>
      <c r="G3164" s="13"/>
      <c r="H3164" s="13"/>
      <c r="I3164" s="13"/>
      <c r="J3164" s="13"/>
      <c r="K3164" s="13"/>
      <c r="L3164" s="13"/>
      <c r="M3164" s="13"/>
      <c r="N3164" s="13"/>
    </row>
    <row r="3165" ht="15.75" hidden="1" customHeight="1">
      <c r="A3165" s="13"/>
      <c r="B3165" s="13"/>
      <c r="C3165" s="13"/>
      <c r="D3165" s="13"/>
      <c r="E3165" s="13"/>
      <c r="F3165" s="13"/>
      <c r="G3165" s="13"/>
      <c r="H3165" s="13"/>
      <c r="I3165" s="13"/>
      <c r="J3165" s="13"/>
      <c r="K3165" s="13"/>
      <c r="L3165" s="13"/>
      <c r="M3165" s="13"/>
      <c r="N3165" s="13"/>
    </row>
    <row r="3166" ht="15.75" hidden="1" customHeight="1">
      <c r="A3166" s="13"/>
      <c r="B3166" s="13"/>
      <c r="C3166" s="13"/>
      <c r="D3166" s="13"/>
      <c r="E3166" s="13"/>
      <c r="F3166" s="13"/>
      <c r="G3166" s="13"/>
      <c r="H3166" s="13"/>
      <c r="I3166" s="13"/>
      <c r="J3166" s="13"/>
      <c r="K3166" s="13"/>
      <c r="L3166" s="13"/>
      <c r="M3166" s="13"/>
      <c r="N3166" s="13"/>
    </row>
    <row r="3167" ht="15.75" hidden="1" customHeight="1">
      <c r="A3167" s="13"/>
      <c r="B3167" s="13"/>
      <c r="C3167" s="13"/>
      <c r="D3167" s="13"/>
      <c r="E3167" s="13"/>
      <c r="F3167" s="13"/>
      <c r="G3167" s="13"/>
      <c r="H3167" s="13"/>
      <c r="I3167" s="13"/>
      <c r="J3167" s="13"/>
      <c r="K3167" s="13"/>
      <c r="L3167" s="13"/>
      <c r="M3167" s="13"/>
      <c r="N3167" s="13"/>
    </row>
    <row r="3168" ht="15.75" hidden="1" customHeight="1">
      <c r="A3168" s="13"/>
      <c r="B3168" s="13"/>
      <c r="C3168" s="13"/>
      <c r="D3168" s="13"/>
      <c r="E3168" s="13"/>
      <c r="F3168" s="13"/>
      <c r="G3168" s="13"/>
      <c r="H3168" s="13"/>
      <c r="I3168" s="13"/>
      <c r="J3168" s="13"/>
      <c r="K3168" s="13"/>
      <c r="L3168" s="13"/>
      <c r="M3168" s="13"/>
      <c r="N3168" s="13"/>
    </row>
    <row r="3169" ht="15.75" hidden="1" customHeight="1">
      <c r="A3169" s="13"/>
      <c r="B3169" s="13"/>
      <c r="C3169" s="13"/>
      <c r="D3169" s="13"/>
      <c r="E3169" s="13"/>
      <c r="F3169" s="13"/>
      <c r="G3169" s="13"/>
      <c r="H3169" s="13"/>
      <c r="I3169" s="13"/>
      <c r="J3169" s="13"/>
      <c r="K3169" s="13"/>
      <c r="L3169" s="13"/>
      <c r="M3169" s="13"/>
      <c r="N3169" s="13"/>
    </row>
    <row r="3170" ht="15.75" hidden="1" customHeight="1">
      <c r="A3170" s="13"/>
      <c r="B3170" s="13"/>
      <c r="C3170" s="13"/>
      <c r="D3170" s="13"/>
      <c r="E3170" s="13"/>
      <c r="F3170" s="13"/>
      <c r="G3170" s="13"/>
      <c r="H3170" s="13"/>
      <c r="I3170" s="13"/>
      <c r="J3170" s="13"/>
      <c r="K3170" s="13"/>
      <c r="L3170" s="13"/>
      <c r="M3170" s="13"/>
      <c r="N3170" s="13"/>
    </row>
    <row r="3171" ht="15.75" hidden="1" customHeight="1">
      <c r="A3171" s="13"/>
      <c r="B3171" s="13"/>
      <c r="C3171" s="13"/>
      <c r="D3171" s="13"/>
      <c r="E3171" s="13"/>
      <c r="F3171" s="13"/>
      <c r="G3171" s="13"/>
      <c r="H3171" s="13"/>
      <c r="I3171" s="13"/>
      <c r="J3171" s="13"/>
      <c r="K3171" s="13"/>
      <c r="L3171" s="13"/>
      <c r="M3171" s="13"/>
      <c r="N3171" s="13"/>
    </row>
    <row r="3172" ht="15.75" hidden="1" customHeight="1">
      <c r="A3172" s="13"/>
      <c r="B3172" s="13"/>
      <c r="C3172" s="13"/>
      <c r="D3172" s="13"/>
      <c r="E3172" s="13"/>
      <c r="F3172" s="13"/>
      <c r="G3172" s="13"/>
      <c r="H3172" s="13"/>
      <c r="I3172" s="13"/>
      <c r="J3172" s="13"/>
      <c r="K3172" s="13"/>
      <c r="L3172" s="13"/>
      <c r="M3172" s="13"/>
      <c r="N3172" s="13"/>
    </row>
    <row r="3173" ht="15.75" hidden="1" customHeight="1">
      <c r="A3173" s="13"/>
      <c r="B3173" s="13"/>
      <c r="C3173" s="13"/>
      <c r="D3173" s="13"/>
      <c r="E3173" s="13"/>
      <c r="F3173" s="13"/>
      <c r="G3173" s="13"/>
      <c r="H3173" s="13"/>
      <c r="I3173" s="13"/>
      <c r="J3173" s="13"/>
      <c r="K3173" s="13"/>
      <c r="L3173" s="13"/>
      <c r="M3173" s="13"/>
      <c r="N3173" s="13"/>
    </row>
    <row r="3174" ht="15.75" hidden="1" customHeight="1">
      <c r="A3174" s="13"/>
      <c r="B3174" s="13"/>
      <c r="C3174" s="13"/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</row>
    <row r="3175" ht="15.75" hidden="1" customHeight="1">
      <c r="A3175" s="13"/>
      <c r="B3175" s="13"/>
      <c r="C3175" s="13"/>
      <c r="D3175" s="13"/>
      <c r="E3175" s="13"/>
      <c r="F3175" s="13"/>
      <c r="G3175" s="13"/>
      <c r="H3175" s="13"/>
      <c r="I3175" s="13"/>
      <c r="J3175" s="13"/>
      <c r="K3175" s="13"/>
      <c r="L3175" s="13"/>
      <c r="M3175" s="13"/>
      <c r="N3175" s="13"/>
    </row>
    <row r="3176" ht="15.75" hidden="1" customHeight="1">
      <c r="A3176" s="13"/>
      <c r="B3176" s="13"/>
      <c r="C3176" s="13"/>
      <c r="D3176" s="13"/>
      <c r="E3176" s="13"/>
      <c r="F3176" s="13"/>
      <c r="G3176" s="13"/>
      <c r="H3176" s="13"/>
      <c r="I3176" s="13"/>
      <c r="J3176" s="13"/>
      <c r="K3176" s="13"/>
      <c r="L3176" s="13"/>
      <c r="M3176" s="13"/>
      <c r="N3176" s="13"/>
    </row>
    <row r="3177" ht="15.75" hidden="1" customHeight="1">
      <c r="A3177" s="13"/>
      <c r="B3177" s="13"/>
      <c r="C3177" s="13"/>
      <c r="D3177" s="13"/>
      <c r="E3177" s="13"/>
      <c r="F3177" s="13"/>
      <c r="G3177" s="13"/>
      <c r="H3177" s="13"/>
      <c r="I3177" s="13"/>
      <c r="J3177" s="13"/>
      <c r="K3177" s="13"/>
      <c r="L3177" s="13"/>
      <c r="M3177" s="13"/>
      <c r="N3177" s="13"/>
    </row>
    <row r="3178" ht="15.75" hidden="1" customHeight="1">
      <c r="A3178" s="13"/>
      <c r="B3178" s="13"/>
      <c r="C3178" s="13"/>
      <c r="D3178" s="13"/>
      <c r="E3178" s="13"/>
      <c r="F3178" s="13"/>
      <c r="G3178" s="13"/>
      <c r="H3178" s="13"/>
      <c r="I3178" s="13"/>
      <c r="J3178" s="13"/>
      <c r="K3178" s="13"/>
      <c r="L3178" s="13"/>
      <c r="M3178" s="13"/>
      <c r="N3178" s="13"/>
    </row>
    <row r="3179" ht="15.75" hidden="1" customHeight="1">
      <c r="A3179" s="13"/>
      <c r="B3179" s="13"/>
      <c r="C3179" s="13"/>
      <c r="D3179" s="13"/>
      <c r="E3179" s="13"/>
      <c r="F3179" s="13"/>
      <c r="G3179" s="13"/>
      <c r="H3179" s="13"/>
      <c r="I3179" s="13"/>
      <c r="J3179" s="13"/>
      <c r="K3179" s="13"/>
      <c r="L3179" s="13"/>
      <c r="M3179" s="13"/>
      <c r="N3179" s="13"/>
    </row>
    <row r="3180" ht="15.75" hidden="1" customHeight="1">
      <c r="A3180" s="13"/>
      <c r="B3180" s="13"/>
      <c r="C3180" s="13"/>
      <c r="D3180" s="13"/>
      <c r="E3180" s="13"/>
      <c r="F3180" s="13"/>
      <c r="G3180" s="13"/>
      <c r="H3180" s="13"/>
      <c r="I3180" s="13"/>
      <c r="J3180" s="13"/>
      <c r="K3180" s="13"/>
      <c r="L3180" s="13"/>
      <c r="M3180" s="13"/>
      <c r="N3180" s="13"/>
    </row>
    <row r="3181" ht="15.75" hidden="1" customHeight="1">
      <c r="A3181" s="13"/>
      <c r="B3181" s="13"/>
      <c r="C3181" s="13"/>
      <c r="D3181" s="13"/>
      <c r="E3181" s="13"/>
      <c r="F3181" s="13"/>
      <c r="G3181" s="13"/>
      <c r="H3181" s="13"/>
      <c r="I3181" s="13"/>
      <c r="J3181" s="13"/>
      <c r="K3181" s="13"/>
      <c r="L3181" s="13"/>
      <c r="M3181" s="13"/>
      <c r="N3181" s="13"/>
    </row>
    <row r="3182" ht="15.75" hidden="1" customHeight="1">
      <c r="A3182" s="13"/>
      <c r="B3182" s="13"/>
      <c r="C3182" s="13"/>
      <c r="D3182" s="13"/>
      <c r="E3182" s="13"/>
      <c r="F3182" s="13"/>
      <c r="G3182" s="13"/>
      <c r="H3182" s="13"/>
      <c r="I3182" s="13"/>
      <c r="J3182" s="13"/>
      <c r="K3182" s="13"/>
      <c r="L3182" s="13"/>
      <c r="M3182" s="13"/>
      <c r="N3182" s="13"/>
    </row>
    <row r="3183" ht="15.75" hidden="1" customHeight="1">
      <c r="A3183" s="13"/>
      <c r="B3183" s="13"/>
      <c r="C3183" s="13"/>
      <c r="D3183" s="13"/>
      <c r="E3183" s="13"/>
      <c r="F3183" s="13"/>
      <c r="G3183" s="13"/>
      <c r="H3183" s="13"/>
      <c r="I3183" s="13"/>
      <c r="J3183" s="13"/>
      <c r="K3183" s="13"/>
      <c r="L3183" s="13"/>
      <c r="M3183" s="13"/>
      <c r="N3183" s="13"/>
    </row>
    <row r="3184" ht="15.75" hidden="1" customHeight="1">
      <c r="A3184" s="13"/>
      <c r="B3184" s="13"/>
      <c r="C3184" s="13"/>
      <c r="D3184" s="13"/>
      <c r="E3184" s="13"/>
      <c r="F3184" s="13"/>
      <c r="G3184" s="13"/>
      <c r="H3184" s="13"/>
      <c r="I3184" s="13"/>
      <c r="J3184" s="13"/>
      <c r="K3184" s="13"/>
      <c r="L3184" s="13"/>
      <c r="M3184" s="13"/>
      <c r="N3184" s="13"/>
    </row>
    <row r="3185" ht="15.75" hidden="1" customHeight="1">
      <c r="A3185" s="13"/>
      <c r="B3185" s="13"/>
      <c r="C3185" s="13"/>
      <c r="D3185" s="13"/>
      <c r="E3185" s="13"/>
      <c r="F3185" s="13"/>
      <c r="G3185" s="13"/>
      <c r="H3185" s="13"/>
      <c r="I3185" s="13"/>
      <c r="J3185" s="13"/>
      <c r="K3185" s="13"/>
      <c r="L3185" s="13"/>
      <c r="M3185" s="13"/>
      <c r="N3185" s="13"/>
    </row>
    <row r="3186" ht="15.75" hidden="1" customHeight="1">
      <c r="A3186" s="13"/>
      <c r="B3186" s="13"/>
      <c r="C3186" s="13"/>
      <c r="D3186" s="13"/>
      <c r="E3186" s="13"/>
      <c r="F3186" s="13"/>
      <c r="G3186" s="13"/>
      <c r="H3186" s="13"/>
      <c r="I3186" s="13"/>
      <c r="J3186" s="13"/>
      <c r="K3186" s="13"/>
      <c r="L3186" s="13"/>
      <c r="M3186" s="13"/>
      <c r="N3186" s="13"/>
    </row>
    <row r="3187" ht="15.75" hidden="1" customHeight="1">
      <c r="A3187" s="13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13"/>
    </row>
    <row r="3188" ht="15.75" hidden="1" customHeight="1">
      <c r="A3188" s="13"/>
      <c r="B3188" s="13"/>
      <c r="C3188" s="13"/>
      <c r="D3188" s="13"/>
      <c r="E3188" s="13"/>
      <c r="F3188" s="13"/>
      <c r="G3188" s="13"/>
      <c r="H3188" s="13"/>
      <c r="I3188" s="13"/>
      <c r="J3188" s="13"/>
      <c r="K3188" s="13"/>
      <c r="L3188" s="13"/>
      <c r="M3188" s="13"/>
      <c r="N3188" s="13"/>
    </row>
    <row r="3189" ht="15.75" hidden="1" customHeight="1">
      <c r="A3189" s="13"/>
      <c r="B3189" s="13"/>
      <c r="C3189" s="13"/>
      <c r="D3189" s="13"/>
      <c r="E3189" s="13"/>
      <c r="F3189" s="13"/>
      <c r="G3189" s="13"/>
      <c r="H3189" s="13"/>
      <c r="I3189" s="13"/>
      <c r="J3189" s="13"/>
      <c r="K3189" s="13"/>
      <c r="L3189" s="13"/>
      <c r="M3189" s="13"/>
      <c r="N3189" s="13"/>
    </row>
    <row r="3190" ht="15.75" hidden="1" customHeight="1">
      <c r="A3190" s="13"/>
      <c r="B3190" s="13"/>
      <c r="C3190" s="13"/>
      <c r="D3190" s="13"/>
      <c r="E3190" s="13"/>
      <c r="F3190" s="13"/>
      <c r="G3190" s="13"/>
      <c r="H3190" s="13"/>
      <c r="I3190" s="13"/>
      <c r="J3190" s="13"/>
      <c r="K3190" s="13"/>
      <c r="L3190" s="13"/>
      <c r="M3190" s="13"/>
      <c r="N3190" s="13"/>
    </row>
    <row r="3191" ht="15.75" hidden="1" customHeight="1">
      <c r="A3191" s="13"/>
      <c r="B3191" s="13"/>
      <c r="C3191" s="13"/>
      <c r="D3191" s="13"/>
      <c r="E3191" s="13"/>
      <c r="F3191" s="13"/>
      <c r="G3191" s="13"/>
      <c r="H3191" s="13"/>
      <c r="I3191" s="13"/>
      <c r="J3191" s="13"/>
      <c r="K3191" s="13"/>
      <c r="L3191" s="13"/>
      <c r="M3191" s="13"/>
      <c r="N3191" s="13"/>
    </row>
    <row r="3192" ht="15.75" hidden="1" customHeight="1">
      <c r="A3192" s="13"/>
      <c r="B3192" s="13"/>
      <c r="C3192" s="13"/>
      <c r="D3192" s="13"/>
      <c r="E3192" s="13"/>
      <c r="F3192" s="13"/>
      <c r="G3192" s="13"/>
      <c r="H3192" s="13"/>
      <c r="I3192" s="13"/>
      <c r="J3192" s="13"/>
      <c r="K3192" s="13"/>
      <c r="L3192" s="13"/>
      <c r="M3192" s="13"/>
      <c r="N3192" s="13"/>
    </row>
    <row r="3193" ht="15.75" hidden="1" customHeight="1">
      <c r="A3193" s="13"/>
      <c r="B3193" s="13"/>
      <c r="C3193" s="13"/>
      <c r="D3193" s="13"/>
      <c r="E3193" s="13"/>
      <c r="F3193" s="13"/>
      <c r="G3193" s="13"/>
      <c r="H3193" s="13"/>
      <c r="I3193" s="13"/>
      <c r="J3193" s="13"/>
      <c r="K3193" s="13"/>
      <c r="L3193" s="13"/>
      <c r="M3193" s="13"/>
      <c r="N3193" s="13"/>
    </row>
    <row r="3194" ht="15.75" hidden="1" customHeight="1">
      <c r="A3194" s="13"/>
      <c r="B3194" s="13"/>
      <c r="C3194" s="13"/>
      <c r="D3194" s="13"/>
      <c r="E3194" s="13"/>
      <c r="F3194" s="13"/>
      <c r="G3194" s="13"/>
      <c r="H3194" s="13"/>
      <c r="I3194" s="13"/>
      <c r="J3194" s="13"/>
      <c r="K3194" s="13"/>
      <c r="L3194" s="13"/>
      <c r="M3194" s="13"/>
      <c r="N3194" s="13"/>
    </row>
    <row r="3195" ht="15.75" hidden="1" customHeight="1">
      <c r="A3195" s="13"/>
      <c r="B3195" s="13"/>
      <c r="C3195" s="13"/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</row>
    <row r="3196" ht="15.75" hidden="1" customHeight="1">
      <c r="A3196" s="13"/>
      <c r="B3196" s="13"/>
      <c r="C3196" s="13"/>
      <c r="D3196" s="13"/>
      <c r="E3196" s="13"/>
      <c r="F3196" s="13"/>
      <c r="G3196" s="13"/>
      <c r="H3196" s="13"/>
      <c r="I3196" s="13"/>
      <c r="J3196" s="13"/>
      <c r="K3196" s="13"/>
      <c r="L3196" s="13"/>
      <c r="M3196" s="13"/>
      <c r="N3196" s="13"/>
    </row>
    <row r="3197" ht="15.75" hidden="1" customHeight="1">
      <c r="A3197" s="13"/>
      <c r="B3197" s="13"/>
      <c r="C3197" s="13"/>
      <c r="D3197" s="13"/>
      <c r="E3197" s="13"/>
      <c r="F3197" s="13"/>
      <c r="G3197" s="13"/>
      <c r="H3197" s="13"/>
      <c r="I3197" s="13"/>
      <c r="J3197" s="13"/>
      <c r="K3197" s="13"/>
      <c r="L3197" s="13"/>
      <c r="M3197" s="13"/>
      <c r="N3197" s="13"/>
    </row>
    <row r="3198" ht="15.75" hidden="1" customHeight="1">
      <c r="A3198" s="13"/>
      <c r="B3198" s="13"/>
      <c r="C3198" s="13"/>
      <c r="D3198" s="13"/>
      <c r="E3198" s="13"/>
      <c r="F3198" s="13"/>
      <c r="G3198" s="13"/>
      <c r="H3198" s="13"/>
      <c r="I3198" s="13"/>
      <c r="J3198" s="13"/>
      <c r="K3198" s="13"/>
      <c r="L3198" s="13"/>
      <c r="M3198" s="13"/>
      <c r="N3198" s="13"/>
    </row>
    <row r="3199" ht="15.75" hidden="1" customHeight="1">
      <c r="A3199" s="13"/>
      <c r="B3199" s="13"/>
      <c r="C3199" s="13"/>
      <c r="D3199" s="13"/>
      <c r="E3199" s="13"/>
      <c r="F3199" s="13"/>
      <c r="G3199" s="13"/>
      <c r="H3199" s="13"/>
      <c r="I3199" s="13"/>
      <c r="J3199" s="13"/>
      <c r="K3199" s="13"/>
      <c r="L3199" s="13"/>
      <c r="M3199" s="13"/>
      <c r="N3199" s="13"/>
    </row>
    <row r="3200" ht="15.75" hidden="1" customHeight="1">
      <c r="A3200" s="13"/>
      <c r="B3200" s="13"/>
      <c r="C3200" s="13"/>
      <c r="D3200" s="13"/>
      <c r="E3200" s="13"/>
      <c r="F3200" s="13"/>
      <c r="G3200" s="13"/>
      <c r="H3200" s="13"/>
      <c r="I3200" s="13"/>
      <c r="J3200" s="13"/>
      <c r="K3200" s="13"/>
      <c r="L3200" s="13"/>
      <c r="M3200" s="13"/>
      <c r="N3200" s="13"/>
    </row>
    <row r="3201" ht="15.75" hidden="1" customHeight="1">
      <c r="A3201" s="13"/>
      <c r="B3201" s="13"/>
      <c r="C3201" s="13"/>
      <c r="D3201" s="13"/>
      <c r="E3201" s="13"/>
      <c r="F3201" s="13"/>
      <c r="G3201" s="13"/>
      <c r="H3201" s="13"/>
      <c r="I3201" s="13"/>
      <c r="J3201" s="13"/>
      <c r="K3201" s="13"/>
      <c r="L3201" s="13"/>
      <c r="M3201" s="13"/>
      <c r="N3201" s="13"/>
    </row>
    <row r="3202" ht="15.75" hidden="1" customHeight="1">
      <c r="A3202" s="13"/>
      <c r="B3202" s="13"/>
      <c r="C3202" s="13"/>
      <c r="D3202" s="13"/>
      <c r="E3202" s="13"/>
      <c r="F3202" s="13"/>
      <c r="G3202" s="13"/>
      <c r="H3202" s="13"/>
      <c r="I3202" s="13"/>
      <c r="J3202" s="13"/>
      <c r="K3202" s="13"/>
      <c r="L3202" s="13"/>
      <c r="M3202" s="13"/>
      <c r="N3202" s="13"/>
    </row>
    <row r="3203" ht="15.75" hidden="1" customHeight="1">
      <c r="A3203" s="13"/>
      <c r="B3203" s="13"/>
      <c r="C3203" s="13"/>
      <c r="D3203" s="13"/>
      <c r="E3203" s="13"/>
      <c r="F3203" s="13"/>
      <c r="G3203" s="13"/>
      <c r="H3203" s="13"/>
      <c r="I3203" s="13"/>
      <c r="J3203" s="13"/>
      <c r="K3203" s="13"/>
      <c r="L3203" s="13"/>
      <c r="M3203" s="13"/>
      <c r="N3203" s="13"/>
    </row>
    <row r="3204" ht="15.75" hidden="1" customHeight="1">
      <c r="A3204" s="13"/>
      <c r="B3204" s="13"/>
      <c r="C3204" s="13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</row>
    <row r="3205" ht="15.75" hidden="1" customHeight="1">
      <c r="A3205" s="13"/>
      <c r="B3205" s="13"/>
      <c r="C3205" s="13"/>
      <c r="D3205" s="13"/>
      <c r="E3205" s="13"/>
      <c r="F3205" s="13"/>
      <c r="G3205" s="13"/>
      <c r="H3205" s="13"/>
      <c r="I3205" s="13"/>
      <c r="J3205" s="13"/>
      <c r="K3205" s="13"/>
      <c r="L3205" s="13"/>
      <c r="M3205" s="13"/>
      <c r="N3205" s="13"/>
    </row>
    <row r="3206" ht="15.75" hidden="1" customHeight="1">
      <c r="A3206" s="13"/>
      <c r="B3206" s="13"/>
      <c r="C3206" s="13"/>
      <c r="D3206" s="13"/>
      <c r="E3206" s="13"/>
      <c r="F3206" s="13"/>
      <c r="G3206" s="13"/>
      <c r="H3206" s="13"/>
      <c r="I3206" s="13"/>
      <c r="J3206" s="13"/>
      <c r="K3206" s="13"/>
      <c r="L3206" s="13"/>
      <c r="M3206" s="13"/>
      <c r="N3206" s="13"/>
    </row>
    <row r="3207" ht="15.75" hidden="1" customHeight="1">
      <c r="A3207" s="13"/>
      <c r="B3207" s="13"/>
      <c r="C3207" s="13"/>
      <c r="D3207" s="13"/>
      <c r="E3207" s="13"/>
      <c r="F3207" s="13"/>
      <c r="G3207" s="13"/>
      <c r="H3207" s="13"/>
      <c r="I3207" s="13"/>
      <c r="J3207" s="13"/>
      <c r="K3207" s="13"/>
      <c r="L3207" s="13"/>
      <c r="M3207" s="13"/>
      <c r="N3207" s="13"/>
    </row>
    <row r="3208" ht="15.75" hidden="1" customHeight="1">
      <c r="A3208" s="13"/>
      <c r="B3208" s="13"/>
      <c r="C3208" s="13"/>
      <c r="D3208" s="13"/>
      <c r="E3208" s="13"/>
      <c r="F3208" s="13"/>
      <c r="G3208" s="13"/>
      <c r="H3208" s="13"/>
      <c r="I3208" s="13"/>
      <c r="J3208" s="13"/>
      <c r="K3208" s="13"/>
      <c r="L3208" s="13"/>
      <c r="M3208" s="13"/>
      <c r="N3208" s="13"/>
    </row>
    <row r="3209" ht="15.75" hidden="1" customHeight="1">
      <c r="A3209" s="13"/>
      <c r="B3209" s="13"/>
      <c r="C3209" s="13"/>
      <c r="D3209" s="13"/>
      <c r="E3209" s="13"/>
      <c r="F3209" s="13"/>
      <c r="G3209" s="13"/>
      <c r="H3209" s="13"/>
      <c r="I3209" s="13"/>
      <c r="J3209" s="13"/>
      <c r="K3209" s="13"/>
      <c r="L3209" s="13"/>
      <c r="M3209" s="13"/>
      <c r="N3209" s="13"/>
    </row>
    <row r="3210" ht="15.75" hidden="1" customHeight="1">
      <c r="A3210" s="13"/>
      <c r="B3210" s="13"/>
      <c r="C3210" s="13"/>
      <c r="D3210" s="13"/>
      <c r="E3210" s="13"/>
      <c r="F3210" s="13"/>
      <c r="G3210" s="13"/>
      <c r="H3210" s="13"/>
      <c r="I3210" s="13"/>
      <c r="J3210" s="13"/>
      <c r="K3210" s="13"/>
      <c r="L3210" s="13"/>
      <c r="M3210" s="13"/>
      <c r="N3210" s="13"/>
    </row>
    <row r="3211" ht="15.75" hidden="1" customHeight="1">
      <c r="A3211" s="13"/>
      <c r="B3211" s="13"/>
      <c r="C3211" s="13"/>
      <c r="D3211" s="13"/>
      <c r="E3211" s="13"/>
      <c r="F3211" s="13"/>
      <c r="G3211" s="13"/>
      <c r="H3211" s="13"/>
      <c r="I3211" s="13"/>
      <c r="J3211" s="13"/>
      <c r="K3211" s="13"/>
      <c r="L3211" s="13"/>
      <c r="M3211" s="13"/>
      <c r="N3211" s="13"/>
    </row>
    <row r="3212" ht="15.75" hidden="1" customHeight="1">
      <c r="A3212" s="13"/>
      <c r="B3212" s="13"/>
      <c r="C3212" s="13"/>
      <c r="D3212" s="13"/>
      <c r="E3212" s="13"/>
      <c r="F3212" s="13"/>
      <c r="G3212" s="13"/>
      <c r="H3212" s="13"/>
      <c r="I3212" s="13"/>
      <c r="J3212" s="13"/>
      <c r="K3212" s="13"/>
      <c r="L3212" s="13"/>
      <c r="M3212" s="13"/>
      <c r="N3212" s="13"/>
    </row>
    <row r="3213" ht="15.75" hidden="1" customHeight="1">
      <c r="A3213" s="13"/>
      <c r="B3213" s="13"/>
      <c r="C3213" s="13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</row>
    <row r="3214" ht="15.75" hidden="1" customHeight="1">
      <c r="A3214" s="13"/>
      <c r="B3214" s="13"/>
      <c r="C3214" s="13"/>
      <c r="D3214" s="13"/>
      <c r="E3214" s="13"/>
      <c r="F3214" s="13"/>
      <c r="G3214" s="13"/>
      <c r="H3214" s="13"/>
      <c r="I3214" s="13"/>
      <c r="J3214" s="13"/>
      <c r="K3214" s="13"/>
      <c r="L3214" s="13"/>
      <c r="M3214" s="13"/>
      <c r="N3214" s="13"/>
    </row>
    <row r="3215" ht="15.75" hidden="1" customHeight="1">
      <c r="A3215" s="13"/>
      <c r="B3215" s="13"/>
      <c r="C3215" s="13"/>
      <c r="D3215" s="13"/>
      <c r="E3215" s="13"/>
      <c r="F3215" s="13"/>
      <c r="G3215" s="13"/>
      <c r="H3215" s="13"/>
      <c r="I3215" s="13"/>
      <c r="J3215" s="13"/>
      <c r="K3215" s="13"/>
      <c r="L3215" s="13"/>
      <c r="M3215" s="13"/>
      <c r="N3215" s="13"/>
    </row>
    <row r="3216" ht="15.75" hidden="1" customHeight="1">
      <c r="A3216" s="13"/>
      <c r="B3216" s="13"/>
      <c r="C3216" s="13"/>
      <c r="D3216" s="13"/>
      <c r="E3216" s="13"/>
      <c r="F3216" s="13"/>
      <c r="G3216" s="13"/>
      <c r="H3216" s="13"/>
      <c r="I3216" s="13"/>
      <c r="J3216" s="13"/>
      <c r="K3216" s="13"/>
      <c r="L3216" s="13"/>
      <c r="M3216" s="13"/>
      <c r="N3216" s="13"/>
    </row>
    <row r="3217" ht="15.75" hidden="1" customHeight="1">
      <c r="A3217" s="13"/>
      <c r="B3217" s="13"/>
      <c r="C3217" s="13"/>
      <c r="D3217" s="13"/>
      <c r="E3217" s="13"/>
      <c r="F3217" s="13"/>
      <c r="G3217" s="13"/>
      <c r="H3217" s="13"/>
      <c r="I3217" s="13"/>
      <c r="J3217" s="13"/>
      <c r="K3217" s="13"/>
      <c r="L3217" s="13"/>
      <c r="M3217" s="13"/>
      <c r="N3217" s="13"/>
    </row>
    <row r="3218" ht="15.75" hidden="1" customHeight="1">
      <c r="A3218" s="13"/>
      <c r="B3218" s="13"/>
      <c r="C3218" s="13"/>
      <c r="D3218" s="13"/>
      <c r="E3218" s="13"/>
      <c r="F3218" s="13"/>
      <c r="G3218" s="13"/>
      <c r="H3218" s="13"/>
      <c r="I3218" s="13"/>
      <c r="J3218" s="13"/>
      <c r="K3218" s="13"/>
      <c r="L3218" s="13"/>
      <c r="M3218" s="13"/>
      <c r="N3218" s="13"/>
    </row>
    <row r="3219" ht="15.75" hidden="1" customHeight="1">
      <c r="A3219" s="13"/>
      <c r="B3219" s="13"/>
      <c r="C3219" s="13"/>
      <c r="D3219" s="13"/>
      <c r="E3219" s="13"/>
      <c r="F3219" s="13"/>
      <c r="G3219" s="13"/>
      <c r="H3219" s="13"/>
      <c r="I3219" s="13"/>
      <c r="J3219" s="13"/>
      <c r="K3219" s="13"/>
      <c r="L3219" s="13"/>
      <c r="M3219" s="13"/>
      <c r="N3219" s="13"/>
    </row>
    <row r="3220" ht="15.75" hidden="1" customHeight="1">
      <c r="A3220" s="13"/>
      <c r="B3220" s="13"/>
      <c r="C3220" s="13"/>
      <c r="D3220" s="13"/>
      <c r="E3220" s="13"/>
      <c r="F3220" s="13"/>
      <c r="G3220" s="13"/>
      <c r="H3220" s="13"/>
      <c r="I3220" s="13"/>
      <c r="J3220" s="13"/>
      <c r="K3220" s="13"/>
      <c r="L3220" s="13"/>
      <c r="M3220" s="13"/>
      <c r="N3220" s="13"/>
    </row>
    <row r="3221" ht="15.75" hidden="1" customHeight="1">
      <c r="A3221" s="13"/>
      <c r="B3221" s="13"/>
      <c r="C3221" s="13"/>
      <c r="D3221" s="13"/>
      <c r="E3221" s="13"/>
      <c r="F3221" s="13"/>
      <c r="G3221" s="13"/>
      <c r="H3221" s="13"/>
      <c r="I3221" s="13"/>
      <c r="J3221" s="13"/>
      <c r="K3221" s="13"/>
      <c r="L3221" s="13"/>
      <c r="M3221" s="13"/>
      <c r="N3221" s="13"/>
    </row>
    <row r="3222" ht="15.75" hidden="1" customHeight="1">
      <c r="A3222" s="13"/>
      <c r="B3222" s="13"/>
      <c r="C3222" s="13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</row>
    <row r="3223" ht="15.75" hidden="1" customHeight="1">
      <c r="A3223" s="13"/>
      <c r="B3223" s="13"/>
      <c r="C3223" s="13"/>
      <c r="D3223" s="13"/>
      <c r="E3223" s="13"/>
      <c r="F3223" s="13"/>
      <c r="G3223" s="13"/>
      <c r="H3223" s="13"/>
      <c r="I3223" s="13"/>
      <c r="J3223" s="13"/>
      <c r="K3223" s="13"/>
      <c r="L3223" s="13"/>
      <c r="M3223" s="13"/>
      <c r="N3223" s="13"/>
    </row>
    <row r="3224" ht="15.75" hidden="1" customHeight="1">
      <c r="A3224" s="13"/>
      <c r="B3224" s="13"/>
      <c r="C3224" s="13"/>
      <c r="D3224" s="13"/>
      <c r="E3224" s="13"/>
      <c r="F3224" s="13"/>
      <c r="G3224" s="13"/>
      <c r="H3224" s="13"/>
      <c r="I3224" s="13"/>
      <c r="J3224" s="13"/>
      <c r="K3224" s="13"/>
      <c r="L3224" s="13"/>
      <c r="M3224" s="13"/>
      <c r="N3224" s="13"/>
    </row>
    <row r="3225" ht="15.75" hidden="1" customHeight="1">
      <c r="A3225" s="13"/>
      <c r="B3225" s="13"/>
      <c r="C3225" s="13"/>
      <c r="D3225" s="13"/>
      <c r="E3225" s="13"/>
      <c r="F3225" s="13"/>
      <c r="G3225" s="13"/>
      <c r="H3225" s="13"/>
      <c r="I3225" s="13"/>
      <c r="J3225" s="13"/>
      <c r="K3225" s="13"/>
      <c r="L3225" s="13"/>
      <c r="M3225" s="13"/>
      <c r="N3225" s="13"/>
    </row>
    <row r="3226" ht="15.75" hidden="1" customHeight="1">
      <c r="A3226" s="13"/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  <c r="M3226" s="13"/>
      <c r="N3226" s="13"/>
    </row>
    <row r="3227" ht="15.75" hidden="1" customHeight="1">
      <c r="A3227" s="13"/>
      <c r="B3227" s="13"/>
      <c r="C3227" s="13"/>
      <c r="D3227" s="13"/>
      <c r="E3227" s="13"/>
      <c r="F3227" s="13"/>
      <c r="G3227" s="13"/>
      <c r="H3227" s="13"/>
      <c r="I3227" s="13"/>
      <c r="J3227" s="13"/>
      <c r="K3227" s="13"/>
      <c r="L3227" s="13"/>
      <c r="M3227" s="13"/>
      <c r="N3227" s="13"/>
    </row>
    <row r="3228" ht="15.75" hidden="1" customHeight="1">
      <c r="A3228" s="13"/>
      <c r="B3228" s="13"/>
      <c r="C3228" s="13"/>
      <c r="D3228" s="13"/>
      <c r="E3228" s="13"/>
      <c r="F3228" s="13"/>
      <c r="G3228" s="13"/>
      <c r="H3228" s="13"/>
      <c r="I3228" s="13"/>
      <c r="J3228" s="13"/>
      <c r="K3228" s="13"/>
      <c r="L3228" s="13"/>
      <c r="M3228" s="13"/>
      <c r="N3228" s="13"/>
    </row>
    <row r="3229" ht="15.75" hidden="1" customHeight="1">
      <c r="A3229" s="13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13"/>
    </row>
    <row r="3230" ht="15.75" hidden="1" customHeight="1">
      <c r="A3230" s="13"/>
      <c r="B3230" s="13"/>
      <c r="C3230" s="13"/>
      <c r="D3230" s="13"/>
      <c r="E3230" s="13"/>
      <c r="F3230" s="13"/>
      <c r="G3230" s="13"/>
      <c r="H3230" s="13"/>
      <c r="I3230" s="13"/>
      <c r="J3230" s="13"/>
      <c r="K3230" s="13"/>
      <c r="L3230" s="13"/>
      <c r="M3230" s="13"/>
      <c r="N3230" s="13"/>
    </row>
    <row r="3231" ht="15.75" hidden="1" customHeight="1">
      <c r="A3231" s="13"/>
      <c r="B3231" s="13"/>
      <c r="C3231" s="13"/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</row>
    <row r="3232" ht="15.75" hidden="1" customHeight="1">
      <c r="A3232" s="13"/>
      <c r="B3232" s="13"/>
      <c r="C3232" s="13"/>
      <c r="D3232" s="13"/>
      <c r="E3232" s="13"/>
      <c r="F3232" s="13"/>
      <c r="G3232" s="13"/>
      <c r="H3232" s="13"/>
      <c r="I3232" s="13"/>
      <c r="J3232" s="13"/>
      <c r="K3232" s="13"/>
      <c r="L3232" s="13"/>
      <c r="M3232" s="13"/>
      <c r="N3232" s="13"/>
    </row>
    <row r="3233" ht="15.75" hidden="1" customHeight="1">
      <c r="A3233" s="13"/>
      <c r="B3233" s="13"/>
      <c r="C3233" s="13"/>
      <c r="D3233" s="13"/>
      <c r="E3233" s="13"/>
      <c r="F3233" s="13"/>
      <c r="G3233" s="13"/>
      <c r="H3233" s="13"/>
      <c r="I3233" s="13"/>
      <c r="J3233" s="13"/>
      <c r="K3233" s="13"/>
      <c r="L3233" s="13"/>
      <c r="M3233" s="13"/>
      <c r="N3233" s="13"/>
    </row>
    <row r="3234" ht="15.75" hidden="1" customHeight="1">
      <c r="A3234" s="13"/>
      <c r="B3234" s="13"/>
      <c r="C3234" s="13"/>
      <c r="D3234" s="13"/>
      <c r="E3234" s="13"/>
      <c r="F3234" s="13"/>
      <c r="G3234" s="13"/>
      <c r="H3234" s="13"/>
      <c r="I3234" s="13"/>
      <c r="J3234" s="13"/>
      <c r="K3234" s="13"/>
      <c r="L3234" s="13"/>
      <c r="M3234" s="13"/>
      <c r="N3234" s="13"/>
    </row>
    <row r="3235" ht="15.75" hidden="1" customHeight="1">
      <c r="A3235" s="13"/>
      <c r="B3235" s="13"/>
      <c r="C3235" s="13"/>
      <c r="D3235" s="13"/>
      <c r="E3235" s="13"/>
      <c r="F3235" s="13"/>
      <c r="G3235" s="13"/>
      <c r="H3235" s="13"/>
      <c r="I3235" s="13"/>
      <c r="J3235" s="13"/>
      <c r="K3235" s="13"/>
      <c r="L3235" s="13"/>
      <c r="M3235" s="13"/>
      <c r="N3235" s="13"/>
    </row>
    <row r="3236" ht="15.75" hidden="1" customHeight="1">
      <c r="A3236" s="13"/>
      <c r="B3236" s="13"/>
      <c r="C3236" s="13"/>
      <c r="D3236" s="13"/>
      <c r="E3236" s="13"/>
      <c r="F3236" s="13"/>
      <c r="G3236" s="13"/>
      <c r="H3236" s="13"/>
      <c r="I3236" s="13"/>
      <c r="J3236" s="13"/>
      <c r="K3236" s="13"/>
      <c r="L3236" s="13"/>
      <c r="M3236" s="13"/>
      <c r="N3236" s="13"/>
    </row>
    <row r="3237" ht="15.75" hidden="1" customHeight="1">
      <c r="A3237" s="13"/>
      <c r="B3237" s="13"/>
      <c r="C3237" s="13"/>
      <c r="D3237" s="13"/>
      <c r="E3237" s="13"/>
      <c r="F3237" s="13"/>
      <c r="G3237" s="13"/>
      <c r="H3237" s="13"/>
      <c r="I3237" s="13"/>
      <c r="J3237" s="13"/>
      <c r="K3237" s="13"/>
      <c r="L3237" s="13"/>
      <c r="M3237" s="13"/>
      <c r="N3237" s="13"/>
    </row>
    <row r="3238" ht="15.75" hidden="1" customHeight="1">
      <c r="A3238" s="13"/>
      <c r="B3238" s="13"/>
      <c r="C3238" s="13"/>
      <c r="D3238" s="13"/>
      <c r="E3238" s="13"/>
      <c r="F3238" s="13"/>
      <c r="G3238" s="13"/>
      <c r="H3238" s="13"/>
      <c r="I3238" s="13"/>
      <c r="J3238" s="13"/>
      <c r="K3238" s="13"/>
      <c r="L3238" s="13"/>
      <c r="M3238" s="13"/>
      <c r="N3238" s="13"/>
    </row>
    <row r="3239" ht="15.75" hidden="1" customHeight="1">
      <c r="A3239" s="13"/>
      <c r="B3239" s="13"/>
      <c r="C3239" s="13"/>
      <c r="D3239" s="13"/>
      <c r="E3239" s="13"/>
      <c r="F3239" s="13"/>
      <c r="G3239" s="13"/>
      <c r="H3239" s="13"/>
      <c r="I3239" s="13"/>
      <c r="J3239" s="13"/>
      <c r="K3239" s="13"/>
      <c r="L3239" s="13"/>
      <c r="M3239" s="13"/>
      <c r="N3239" s="13"/>
    </row>
    <row r="3240" ht="15.75" hidden="1" customHeight="1">
      <c r="A3240" s="13"/>
      <c r="B3240" s="13"/>
      <c r="C3240" s="13"/>
      <c r="D3240" s="13"/>
      <c r="E3240" s="13"/>
      <c r="F3240" s="13"/>
      <c r="G3240" s="13"/>
      <c r="H3240" s="13"/>
      <c r="I3240" s="13"/>
      <c r="J3240" s="13"/>
      <c r="K3240" s="13"/>
      <c r="L3240" s="13"/>
      <c r="M3240" s="13"/>
      <c r="N3240" s="13"/>
    </row>
    <row r="3241" ht="15.75" hidden="1" customHeight="1">
      <c r="A3241" s="13"/>
      <c r="B3241" s="13"/>
      <c r="C3241" s="13"/>
      <c r="D3241" s="13"/>
      <c r="E3241" s="13"/>
      <c r="F3241" s="13"/>
      <c r="G3241" s="13"/>
      <c r="H3241" s="13"/>
      <c r="I3241" s="13"/>
      <c r="J3241" s="13"/>
      <c r="K3241" s="13"/>
      <c r="L3241" s="13"/>
      <c r="M3241" s="13"/>
      <c r="N3241" s="13"/>
    </row>
    <row r="3242" ht="15.75" hidden="1" customHeight="1">
      <c r="A3242" s="13"/>
      <c r="B3242" s="13"/>
      <c r="C3242" s="13"/>
      <c r="D3242" s="13"/>
      <c r="E3242" s="13"/>
      <c r="F3242" s="13"/>
      <c r="G3242" s="13"/>
      <c r="H3242" s="13"/>
      <c r="I3242" s="13"/>
      <c r="J3242" s="13"/>
      <c r="K3242" s="13"/>
      <c r="L3242" s="13"/>
      <c r="M3242" s="13"/>
      <c r="N3242" s="13"/>
    </row>
    <row r="3243" ht="15.75" hidden="1" customHeight="1">
      <c r="A3243" s="13"/>
      <c r="B3243" s="13"/>
      <c r="C3243" s="13"/>
      <c r="D3243" s="13"/>
      <c r="E3243" s="13"/>
      <c r="F3243" s="13"/>
      <c r="G3243" s="13"/>
      <c r="H3243" s="13"/>
      <c r="I3243" s="13"/>
      <c r="J3243" s="13"/>
      <c r="K3243" s="13"/>
      <c r="L3243" s="13"/>
      <c r="M3243" s="13"/>
      <c r="N3243" s="13"/>
    </row>
    <row r="3244" ht="15.75" hidden="1" customHeight="1">
      <c r="A3244" s="13"/>
      <c r="B3244" s="13"/>
      <c r="C3244" s="13"/>
      <c r="D3244" s="13"/>
      <c r="E3244" s="13"/>
      <c r="F3244" s="13"/>
      <c r="G3244" s="13"/>
      <c r="H3244" s="13"/>
      <c r="I3244" s="13"/>
      <c r="J3244" s="13"/>
      <c r="K3244" s="13"/>
      <c r="L3244" s="13"/>
      <c r="M3244" s="13"/>
      <c r="N3244" s="13"/>
    </row>
    <row r="3245" ht="15.75" hidden="1" customHeight="1">
      <c r="A3245" s="13"/>
      <c r="B3245" s="13"/>
      <c r="C3245" s="13"/>
      <c r="D3245" s="13"/>
      <c r="E3245" s="13"/>
      <c r="F3245" s="13"/>
      <c r="G3245" s="13"/>
      <c r="H3245" s="13"/>
      <c r="I3245" s="13"/>
      <c r="J3245" s="13"/>
      <c r="K3245" s="13"/>
      <c r="L3245" s="13"/>
      <c r="M3245" s="13"/>
      <c r="N3245" s="13"/>
    </row>
    <row r="3246" ht="15.75" hidden="1" customHeight="1">
      <c r="A3246" s="13"/>
      <c r="B3246" s="13"/>
      <c r="C3246" s="13"/>
      <c r="D3246" s="13"/>
      <c r="E3246" s="13"/>
      <c r="F3246" s="13"/>
      <c r="G3246" s="13"/>
      <c r="H3246" s="13"/>
      <c r="I3246" s="13"/>
      <c r="J3246" s="13"/>
      <c r="K3246" s="13"/>
      <c r="L3246" s="13"/>
      <c r="M3246" s="13"/>
      <c r="N3246" s="13"/>
    </row>
    <row r="3247" ht="15.75" hidden="1" customHeight="1">
      <c r="A3247" s="13"/>
      <c r="B3247" s="13"/>
      <c r="C3247" s="13"/>
      <c r="D3247" s="13"/>
      <c r="E3247" s="13"/>
      <c r="F3247" s="13"/>
      <c r="G3247" s="13"/>
      <c r="H3247" s="13"/>
      <c r="I3247" s="13"/>
      <c r="J3247" s="13"/>
      <c r="K3247" s="13"/>
      <c r="L3247" s="13"/>
      <c r="M3247" s="13"/>
      <c r="N3247" s="13"/>
    </row>
    <row r="3248" ht="15.75" hidden="1" customHeight="1">
      <c r="A3248" s="13"/>
      <c r="B3248" s="13"/>
      <c r="C3248" s="13"/>
      <c r="D3248" s="13"/>
      <c r="E3248" s="13"/>
      <c r="F3248" s="13"/>
      <c r="G3248" s="13"/>
      <c r="H3248" s="13"/>
      <c r="I3248" s="13"/>
      <c r="J3248" s="13"/>
      <c r="K3248" s="13"/>
      <c r="L3248" s="13"/>
      <c r="M3248" s="13"/>
      <c r="N3248" s="13"/>
    </row>
    <row r="3249" ht="15.75" hidden="1" customHeight="1">
      <c r="A3249" s="13"/>
      <c r="B3249" s="13"/>
      <c r="C3249" s="13"/>
      <c r="D3249" s="13"/>
      <c r="E3249" s="13"/>
      <c r="F3249" s="13"/>
      <c r="G3249" s="13"/>
      <c r="H3249" s="13"/>
      <c r="I3249" s="13"/>
      <c r="J3249" s="13"/>
      <c r="K3249" s="13"/>
      <c r="L3249" s="13"/>
      <c r="M3249" s="13"/>
      <c r="N3249" s="13"/>
    </row>
    <row r="3250" ht="15.75" hidden="1" customHeight="1">
      <c r="A3250" s="13"/>
      <c r="B3250" s="13"/>
      <c r="C3250" s="13"/>
      <c r="D3250" s="13"/>
      <c r="E3250" s="13"/>
      <c r="F3250" s="13"/>
      <c r="G3250" s="13"/>
      <c r="H3250" s="13"/>
      <c r="I3250" s="13"/>
      <c r="J3250" s="13"/>
      <c r="K3250" s="13"/>
      <c r="L3250" s="13"/>
      <c r="M3250" s="13"/>
      <c r="N3250" s="13"/>
    </row>
    <row r="3251" ht="15.75" hidden="1" customHeight="1">
      <c r="A3251" s="13"/>
      <c r="B3251" s="13"/>
      <c r="C3251" s="13"/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</row>
    <row r="3252" ht="15.75" hidden="1" customHeight="1">
      <c r="A3252" s="13"/>
      <c r="B3252" s="13"/>
      <c r="C3252" s="13"/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</row>
    <row r="3253" ht="15.75" hidden="1" customHeight="1">
      <c r="A3253" s="13"/>
      <c r="B3253" s="13"/>
      <c r="C3253" s="13"/>
      <c r="D3253" s="13"/>
      <c r="E3253" s="13"/>
      <c r="F3253" s="13"/>
      <c r="G3253" s="13"/>
      <c r="H3253" s="13"/>
      <c r="I3253" s="13"/>
      <c r="J3253" s="13"/>
      <c r="K3253" s="13"/>
      <c r="L3253" s="13"/>
      <c r="M3253" s="13"/>
      <c r="N3253" s="13"/>
    </row>
    <row r="3254" ht="15.75" hidden="1" customHeight="1">
      <c r="A3254" s="13"/>
      <c r="B3254" s="13"/>
      <c r="C3254" s="13"/>
      <c r="D3254" s="13"/>
      <c r="E3254" s="13"/>
      <c r="F3254" s="13"/>
      <c r="G3254" s="13"/>
      <c r="H3254" s="13"/>
      <c r="I3254" s="13"/>
      <c r="J3254" s="13"/>
      <c r="K3254" s="13"/>
      <c r="L3254" s="13"/>
      <c r="M3254" s="13"/>
      <c r="N3254" s="13"/>
    </row>
    <row r="3255" ht="15.75" hidden="1" customHeight="1">
      <c r="A3255" s="13"/>
      <c r="B3255" s="13"/>
      <c r="C3255" s="13"/>
      <c r="D3255" s="13"/>
      <c r="E3255" s="13"/>
      <c r="F3255" s="13"/>
      <c r="G3255" s="13"/>
      <c r="H3255" s="13"/>
      <c r="I3255" s="13"/>
      <c r="J3255" s="13"/>
      <c r="K3255" s="13"/>
      <c r="L3255" s="13"/>
      <c r="M3255" s="13"/>
      <c r="N3255" s="13"/>
    </row>
    <row r="3256" ht="15.75" hidden="1" customHeight="1">
      <c r="A3256" s="13"/>
      <c r="B3256" s="13"/>
      <c r="C3256" s="13"/>
      <c r="D3256" s="13"/>
      <c r="E3256" s="13"/>
      <c r="F3256" s="13"/>
      <c r="G3256" s="13"/>
      <c r="H3256" s="13"/>
      <c r="I3256" s="13"/>
      <c r="J3256" s="13"/>
      <c r="K3256" s="13"/>
      <c r="L3256" s="13"/>
      <c r="M3256" s="13"/>
      <c r="N3256" s="13"/>
    </row>
    <row r="3257" ht="15.75" hidden="1" customHeight="1">
      <c r="A3257" s="13"/>
      <c r="B3257" s="13"/>
      <c r="C3257" s="13"/>
      <c r="D3257" s="13"/>
      <c r="E3257" s="13"/>
      <c r="F3257" s="13"/>
      <c r="G3257" s="13"/>
      <c r="H3257" s="13"/>
      <c r="I3257" s="13"/>
      <c r="J3257" s="13"/>
      <c r="K3257" s="13"/>
      <c r="L3257" s="13"/>
      <c r="M3257" s="13"/>
      <c r="N3257" s="13"/>
    </row>
    <row r="3258" ht="15.75" hidden="1" customHeight="1">
      <c r="A3258" s="13"/>
      <c r="B3258" s="13"/>
      <c r="C3258" s="13"/>
      <c r="D3258" s="13"/>
      <c r="E3258" s="13"/>
      <c r="F3258" s="13"/>
      <c r="G3258" s="13"/>
      <c r="H3258" s="13"/>
      <c r="I3258" s="13"/>
      <c r="J3258" s="13"/>
      <c r="K3258" s="13"/>
      <c r="L3258" s="13"/>
      <c r="M3258" s="13"/>
      <c r="N3258" s="13"/>
    </row>
    <row r="3259" ht="15.75" hidden="1" customHeight="1">
      <c r="A3259" s="13"/>
      <c r="B3259" s="13"/>
      <c r="C3259" s="13"/>
      <c r="D3259" s="13"/>
      <c r="E3259" s="13"/>
      <c r="F3259" s="13"/>
      <c r="G3259" s="13"/>
      <c r="H3259" s="13"/>
      <c r="I3259" s="13"/>
      <c r="J3259" s="13"/>
      <c r="K3259" s="13"/>
      <c r="L3259" s="13"/>
      <c r="M3259" s="13"/>
      <c r="N3259" s="13"/>
    </row>
    <row r="3260" ht="15.75" hidden="1" customHeight="1">
      <c r="A3260" s="13"/>
      <c r="B3260" s="13"/>
      <c r="C3260" s="13"/>
      <c r="D3260" s="13"/>
      <c r="E3260" s="13"/>
      <c r="F3260" s="13"/>
      <c r="G3260" s="13"/>
      <c r="H3260" s="13"/>
      <c r="I3260" s="13"/>
      <c r="J3260" s="13"/>
      <c r="K3260" s="13"/>
      <c r="L3260" s="13"/>
      <c r="M3260" s="13"/>
      <c r="N3260" s="13"/>
    </row>
    <row r="3261" ht="15.75" hidden="1" customHeight="1">
      <c r="A3261" s="13"/>
      <c r="B3261" s="13"/>
      <c r="C3261" s="13"/>
      <c r="D3261" s="13"/>
      <c r="E3261" s="13"/>
      <c r="F3261" s="13"/>
      <c r="G3261" s="13"/>
      <c r="H3261" s="13"/>
      <c r="I3261" s="13"/>
      <c r="J3261" s="13"/>
      <c r="K3261" s="13"/>
      <c r="L3261" s="13"/>
      <c r="M3261" s="13"/>
      <c r="N3261" s="13"/>
    </row>
    <row r="3262" ht="15.75" hidden="1" customHeight="1">
      <c r="A3262" s="13"/>
      <c r="B3262" s="13"/>
      <c r="C3262" s="13"/>
      <c r="D3262" s="13"/>
      <c r="E3262" s="13"/>
      <c r="F3262" s="13"/>
      <c r="G3262" s="13"/>
      <c r="H3262" s="13"/>
      <c r="I3262" s="13"/>
      <c r="J3262" s="13"/>
      <c r="K3262" s="13"/>
      <c r="L3262" s="13"/>
      <c r="M3262" s="13"/>
      <c r="N3262" s="13"/>
    </row>
    <row r="3263" ht="15.75" hidden="1" customHeight="1">
      <c r="A3263" s="13"/>
      <c r="B3263" s="13"/>
      <c r="C3263" s="13"/>
      <c r="D3263" s="13"/>
      <c r="E3263" s="13"/>
      <c r="F3263" s="13"/>
      <c r="G3263" s="13"/>
      <c r="H3263" s="13"/>
      <c r="I3263" s="13"/>
      <c r="J3263" s="13"/>
      <c r="K3263" s="13"/>
      <c r="L3263" s="13"/>
      <c r="M3263" s="13"/>
      <c r="N3263" s="13"/>
    </row>
    <row r="3264" ht="15.75" hidden="1" customHeight="1">
      <c r="A3264" s="13"/>
      <c r="B3264" s="13"/>
      <c r="C3264" s="13"/>
      <c r="D3264" s="13"/>
      <c r="E3264" s="13"/>
      <c r="F3264" s="13"/>
      <c r="G3264" s="13"/>
      <c r="H3264" s="13"/>
      <c r="I3264" s="13"/>
      <c r="J3264" s="13"/>
      <c r="K3264" s="13"/>
      <c r="L3264" s="13"/>
      <c r="M3264" s="13"/>
      <c r="N3264" s="13"/>
    </row>
    <row r="3265" ht="15.75" hidden="1" customHeight="1">
      <c r="A3265" s="13"/>
      <c r="B3265" s="13"/>
      <c r="C3265" s="13"/>
      <c r="D3265" s="13"/>
      <c r="E3265" s="13"/>
      <c r="F3265" s="13"/>
      <c r="G3265" s="13"/>
      <c r="H3265" s="13"/>
      <c r="I3265" s="13"/>
      <c r="J3265" s="13"/>
      <c r="K3265" s="13"/>
      <c r="L3265" s="13"/>
      <c r="M3265" s="13"/>
      <c r="N3265" s="13"/>
    </row>
    <row r="3266" ht="15.75" hidden="1" customHeight="1">
      <c r="A3266" s="13"/>
      <c r="B3266" s="13"/>
      <c r="C3266" s="13"/>
      <c r="D3266" s="13"/>
      <c r="E3266" s="13"/>
      <c r="F3266" s="13"/>
      <c r="G3266" s="13"/>
      <c r="H3266" s="13"/>
      <c r="I3266" s="13"/>
      <c r="J3266" s="13"/>
      <c r="K3266" s="13"/>
      <c r="L3266" s="13"/>
      <c r="M3266" s="13"/>
      <c r="N3266" s="13"/>
    </row>
    <row r="3267" ht="15.75" hidden="1" customHeight="1">
      <c r="A3267" s="13"/>
      <c r="B3267" s="13"/>
      <c r="C3267" s="13"/>
      <c r="D3267" s="13"/>
      <c r="E3267" s="13"/>
      <c r="F3267" s="13"/>
      <c r="G3267" s="13"/>
      <c r="H3267" s="13"/>
      <c r="I3267" s="13"/>
      <c r="J3267" s="13"/>
      <c r="K3267" s="13"/>
      <c r="L3267" s="13"/>
      <c r="M3267" s="13"/>
      <c r="N3267" s="13"/>
    </row>
    <row r="3268" ht="15.75" hidden="1" customHeight="1">
      <c r="A3268" s="13"/>
      <c r="B3268" s="13"/>
      <c r="C3268" s="13"/>
      <c r="D3268" s="13"/>
      <c r="E3268" s="13"/>
      <c r="F3268" s="13"/>
      <c r="G3268" s="13"/>
      <c r="H3268" s="13"/>
      <c r="I3268" s="13"/>
      <c r="J3268" s="13"/>
      <c r="K3268" s="13"/>
      <c r="L3268" s="13"/>
      <c r="M3268" s="13"/>
      <c r="N3268" s="13"/>
    </row>
    <row r="3269" ht="15.75" hidden="1" customHeight="1">
      <c r="A3269" s="13"/>
      <c r="B3269" s="13"/>
      <c r="C3269" s="13"/>
      <c r="D3269" s="13"/>
      <c r="E3269" s="13"/>
      <c r="F3269" s="13"/>
      <c r="G3269" s="13"/>
      <c r="H3269" s="13"/>
      <c r="I3269" s="13"/>
      <c r="J3269" s="13"/>
      <c r="K3269" s="13"/>
      <c r="L3269" s="13"/>
      <c r="M3269" s="13"/>
      <c r="N3269" s="13"/>
    </row>
    <row r="3270" ht="15.75" hidden="1" customHeight="1">
      <c r="A3270" s="13"/>
      <c r="B3270" s="13"/>
      <c r="C3270" s="13"/>
      <c r="D3270" s="13"/>
      <c r="E3270" s="13"/>
      <c r="F3270" s="13"/>
      <c r="G3270" s="13"/>
      <c r="H3270" s="13"/>
      <c r="I3270" s="13"/>
      <c r="J3270" s="13"/>
      <c r="K3270" s="13"/>
      <c r="L3270" s="13"/>
      <c r="M3270" s="13"/>
      <c r="N3270" s="13"/>
    </row>
    <row r="3271" ht="15.75" hidden="1" customHeight="1">
      <c r="A3271" s="13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13"/>
    </row>
    <row r="3272" ht="15.75" hidden="1" customHeight="1">
      <c r="A3272" s="13"/>
      <c r="B3272" s="13"/>
      <c r="C3272" s="13"/>
      <c r="D3272" s="13"/>
      <c r="E3272" s="13"/>
      <c r="F3272" s="13"/>
      <c r="G3272" s="13"/>
      <c r="H3272" s="13"/>
      <c r="I3272" s="13"/>
      <c r="J3272" s="13"/>
      <c r="K3272" s="13"/>
      <c r="L3272" s="13"/>
      <c r="M3272" s="13"/>
      <c r="N3272" s="13"/>
    </row>
    <row r="3273" ht="15.75" hidden="1" customHeight="1">
      <c r="A3273" s="13"/>
      <c r="B3273" s="13"/>
      <c r="C3273" s="13"/>
      <c r="D3273" s="13"/>
      <c r="E3273" s="13"/>
      <c r="F3273" s="13"/>
      <c r="G3273" s="13"/>
      <c r="H3273" s="13"/>
      <c r="I3273" s="13"/>
      <c r="J3273" s="13"/>
      <c r="K3273" s="13"/>
      <c r="L3273" s="13"/>
      <c r="M3273" s="13"/>
      <c r="N3273" s="13"/>
    </row>
    <row r="3274" ht="15.75" hidden="1" customHeight="1">
      <c r="A3274" s="13"/>
      <c r="B3274" s="13"/>
      <c r="C3274" s="13"/>
      <c r="D3274" s="13"/>
      <c r="E3274" s="13"/>
      <c r="F3274" s="13"/>
      <c r="G3274" s="13"/>
      <c r="H3274" s="13"/>
      <c r="I3274" s="13"/>
      <c r="J3274" s="13"/>
      <c r="K3274" s="13"/>
      <c r="L3274" s="13"/>
      <c r="M3274" s="13"/>
      <c r="N3274" s="13"/>
    </row>
    <row r="3275" ht="15.75" hidden="1" customHeight="1">
      <c r="A3275" s="13"/>
      <c r="B3275" s="13"/>
      <c r="C3275" s="13"/>
      <c r="D3275" s="13"/>
      <c r="E3275" s="13"/>
      <c r="F3275" s="13"/>
      <c r="G3275" s="13"/>
      <c r="H3275" s="13"/>
      <c r="I3275" s="13"/>
      <c r="J3275" s="13"/>
      <c r="K3275" s="13"/>
      <c r="L3275" s="13"/>
      <c r="M3275" s="13"/>
      <c r="N3275" s="13"/>
    </row>
    <row r="3276" ht="15.75" hidden="1" customHeight="1">
      <c r="A3276" s="13"/>
      <c r="B3276" s="13"/>
      <c r="C3276" s="13"/>
      <c r="D3276" s="13"/>
      <c r="E3276" s="13"/>
      <c r="F3276" s="13"/>
      <c r="G3276" s="13"/>
      <c r="H3276" s="13"/>
      <c r="I3276" s="13"/>
      <c r="J3276" s="13"/>
      <c r="K3276" s="13"/>
      <c r="L3276" s="13"/>
      <c r="M3276" s="13"/>
      <c r="N3276" s="13"/>
    </row>
    <row r="3277" ht="15.75" hidden="1" customHeight="1">
      <c r="A3277" s="13"/>
      <c r="B3277" s="13"/>
      <c r="C3277" s="13"/>
      <c r="D3277" s="13"/>
      <c r="E3277" s="13"/>
      <c r="F3277" s="13"/>
      <c r="G3277" s="13"/>
      <c r="H3277" s="13"/>
      <c r="I3277" s="13"/>
      <c r="J3277" s="13"/>
      <c r="K3277" s="13"/>
      <c r="L3277" s="13"/>
      <c r="M3277" s="13"/>
      <c r="N3277" s="13"/>
    </row>
    <row r="3278" ht="15.75" hidden="1" customHeight="1">
      <c r="A3278" s="13"/>
      <c r="B3278" s="13"/>
      <c r="C3278" s="13"/>
      <c r="D3278" s="13"/>
      <c r="E3278" s="13"/>
      <c r="F3278" s="13"/>
      <c r="G3278" s="13"/>
      <c r="H3278" s="13"/>
      <c r="I3278" s="13"/>
      <c r="J3278" s="13"/>
      <c r="K3278" s="13"/>
      <c r="L3278" s="13"/>
      <c r="M3278" s="13"/>
      <c r="N3278" s="13"/>
    </row>
    <row r="3279" ht="15.75" hidden="1" customHeight="1">
      <c r="A3279" s="13"/>
      <c r="B3279" s="13"/>
      <c r="C3279" s="13"/>
      <c r="D3279" s="13"/>
      <c r="E3279" s="13"/>
      <c r="F3279" s="13"/>
      <c r="G3279" s="13"/>
      <c r="H3279" s="13"/>
      <c r="I3279" s="13"/>
      <c r="J3279" s="13"/>
      <c r="K3279" s="13"/>
      <c r="L3279" s="13"/>
      <c r="M3279" s="13"/>
      <c r="N3279" s="13"/>
    </row>
    <row r="3280" ht="15.75" hidden="1" customHeight="1">
      <c r="A3280" s="13"/>
      <c r="B3280" s="13"/>
      <c r="C3280" s="13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</row>
    <row r="3281" ht="15.75" hidden="1" customHeight="1">
      <c r="A3281" s="13"/>
      <c r="B3281" s="13"/>
      <c r="C3281" s="13"/>
      <c r="D3281" s="13"/>
      <c r="E3281" s="13"/>
      <c r="F3281" s="13"/>
      <c r="G3281" s="13"/>
      <c r="H3281" s="13"/>
      <c r="I3281" s="13"/>
      <c r="J3281" s="13"/>
      <c r="K3281" s="13"/>
      <c r="L3281" s="13"/>
      <c r="M3281" s="13"/>
      <c r="N3281" s="13"/>
    </row>
    <row r="3282" ht="15.75" hidden="1" customHeight="1">
      <c r="A3282" s="13"/>
      <c r="B3282" s="13"/>
      <c r="C3282" s="13"/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  <c r="N3282" s="13"/>
    </row>
    <row r="3283" ht="15.75" hidden="1" customHeight="1">
      <c r="A3283" s="13"/>
      <c r="B3283" s="13"/>
      <c r="C3283" s="13"/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  <c r="N3283" s="13"/>
    </row>
    <row r="3284" ht="15.75" hidden="1" customHeight="1">
      <c r="A3284" s="13"/>
      <c r="B3284" s="13"/>
      <c r="C3284" s="13"/>
      <c r="D3284" s="13"/>
      <c r="E3284" s="13"/>
      <c r="F3284" s="13"/>
      <c r="G3284" s="13"/>
      <c r="H3284" s="13"/>
      <c r="I3284" s="13"/>
      <c r="J3284" s="13"/>
      <c r="K3284" s="13"/>
      <c r="L3284" s="13"/>
      <c r="M3284" s="13"/>
      <c r="N3284" s="13"/>
    </row>
    <row r="3285" ht="15.75" hidden="1" customHeight="1">
      <c r="A3285" s="13"/>
      <c r="B3285" s="13"/>
      <c r="C3285" s="13"/>
      <c r="D3285" s="13"/>
      <c r="E3285" s="13"/>
      <c r="F3285" s="13"/>
      <c r="G3285" s="13"/>
      <c r="H3285" s="13"/>
      <c r="I3285" s="13"/>
      <c r="J3285" s="13"/>
      <c r="K3285" s="13"/>
      <c r="L3285" s="13"/>
      <c r="M3285" s="13"/>
      <c r="N3285" s="13"/>
    </row>
    <row r="3286" ht="15.75" hidden="1" customHeight="1">
      <c r="A3286" s="13"/>
      <c r="B3286" s="13"/>
      <c r="C3286" s="13"/>
      <c r="D3286" s="13"/>
      <c r="E3286" s="13"/>
      <c r="F3286" s="13"/>
      <c r="G3286" s="13"/>
      <c r="H3286" s="13"/>
      <c r="I3286" s="13"/>
      <c r="J3286" s="13"/>
      <c r="K3286" s="13"/>
      <c r="L3286" s="13"/>
      <c r="M3286" s="13"/>
      <c r="N3286" s="13"/>
    </row>
    <row r="3287" ht="15.75" hidden="1" customHeight="1">
      <c r="A3287" s="13"/>
      <c r="B3287" s="13"/>
      <c r="C3287" s="13"/>
      <c r="D3287" s="13"/>
      <c r="E3287" s="13"/>
      <c r="F3287" s="13"/>
      <c r="G3287" s="13"/>
      <c r="H3287" s="13"/>
      <c r="I3287" s="13"/>
      <c r="J3287" s="13"/>
      <c r="K3287" s="13"/>
      <c r="L3287" s="13"/>
      <c r="M3287" s="13"/>
      <c r="N3287" s="13"/>
    </row>
    <row r="3288" ht="15.75" hidden="1" customHeight="1">
      <c r="A3288" s="13"/>
      <c r="B3288" s="13"/>
      <c r="C3288" s="13"/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</row>
    <row r="3289" ht="15.75" hidden="1" customHeight="1">
      <c r="A3289" s="13"/>
      <c r="B3289" s="13"/>
      <c r="C3289" s="13"/>
      <c r="D3289" s="13"/>
      <c r="E3289" s="13"/>
      <c r="F3289" s="13"/>
      <c r="G3289" s="13"/>
      <c r="H3289" s="13"/>
      <c r="I3289" s="13"/>
      <c r="J3289" s="13"/>
      <c r="K3289" s="13"/>
      <c r="L3289" s="13"/>
      <c r="M3289" s="13"/>
      <c r="N3289" s="13"/>
    </row>
    <row r="3290" ht="15.75" hidden="1" customHeight="1">
      <c r="A3290" s="13"/>
      <c r="B3290" s="13"/>
      <c r="C3290" s="13"/>
      <c r="D3290" s="13"/>
      <c r="E3290" s="13"/>
      <c r="F3290" s="13"/>
      <c r="G3290" s="13"/>
      <c r="H3290" s="13"/>
      <c r="I3290" s="13"/>
      <c r="J3290" s="13"/>
      <c r="K3290" s="13"/>
      <c r="L3290" s="13"/>
      <c r="M3290" s="13"/>
      <c r="N3290" s="13"/>
    </row>
    <row r="3291" ht="15.75" hidden="1" customHeight="1">
      <c r="A3291" s="13"/>
      <c r="B3291" s="13"/>
      <c r="C3291" s="13"/>
      <c r="D3291" s="13"/>
      <c r="E3291" s="13"/>
      <c r="F3291" s="13"/>
      <c r="G3291" s="13"/>
      <c r="H3291" s="13"/>
      <c r="I3291" s="13"/>
      <c r="J3291" s="13"/>
      <c r="K3291" s="13"/>
      <c r="L3291" s="13"/>
      <c r="M3291" s="13"/>
      <c r="N3291" s="13"/>
    </row>
    <row r="3292" ht="15.75" hidden="1" customHeight="1">
      <c r="A3292" s="13"/>
      <c r="B3292" s="13"/>
      <c r="C3292" s="13"/>
      <c r="D3292" s="13"/>
      <c r="E3292" s="13"/>
      <c r="F3292" s="13"/>
      <c r="G3292" s="13"/>
      <c r="H3292" s="13"/>
      <c r="I3292" s="13"/>
      <c r="J3292" s="13"/>
      <c r="K3292" s="13"/>
      <c r="L3292" s="13"/>
      <c r="M3292" s="13"/>
      <c r="N3292" s="13"/>
    </row>
    <row r="3293" ht="15.75" hidden="1" customHeight="1">
      <c r="A3293" s="13"/>
      <c r="B3293" s="13"/>
      <c r="C3293" s="13"/>
      <c r="D3293" s="13"/>
      <c r="E3293" s="13"/>
      <c r="F3293" s="13"/>
      <c r="G3293" s="13"/>
      <c r="H3293" s="13"/>
      <c r="I3293" s="13"/>
      <c r="J3293" s="13"/>
      <c r="K3293" s="13"/>
      <c r="L3293" s="13"/>
      <c r="M3293" s="13"/>
      <c r="N3293" s="13"/>
    </row>
    <row r="3294" ht="15.75" hidden="1" customHeight="1">
      <c r="A3294" s="13"/>
      <c r="B3294" s="13"/>
      <c r="C3294" s="13"/>
      <c r="D3294" s="13"/>
      <c r="E3294" s="13"/>
      <c r="F3294" s="13"/>
      <c r="G3294" s="13"/>
      <c r="H3294" s="13"/>
      <c r="I3294" s="13"/>
      <c r="J3294" s="13"/>
      <c r="K3294" s="13"/>
      <c r="L3294" s="13"/>
      <c r="M3294" s="13"/>
      <c r="N3294" s="13"/>
    </row>
    <row r="3295" ht="15.75" hidden="1" customHeight="1">
      <c r="A3295" s="13"/>
      <c r="B3295" s="13"/>
      <c r="C3295" s="13"/>
      <c r="D3295" s="13"/>
      <c r="E3295" s="13"/>
      <c r="F3295" s="13"/>
      <c r="G3295" s="13"/>
      <c r="H3295" s="13"/>
      <c r="I3295" s="13"/>
      <c r="J3295" s="13"/>
      <c r="K3295" s="13"/>
      <c r="L3295" s="13"/>
      <c r="M3295" s="13"/>
      <c r="N3295" s="13"/>
    </row>
    <row r="3296" ht="15.75" hidden="1" customHeight="1">
      <c r="A3296" s="13"/>
      <c r="B3296" s="13"/>
      <c r="C3296" s="13"/>
      <c r="D3296" s="13"/>
      <c r="E3296" s="13"/>
      <c r="F3296" s="13"/>
      <c r="G3296" s="13"/>
      <c r="H3296" s="13"/>
      <c r="I3296" s="13"/>
      <c r="J3296" s="13"/>
      <c r="K3296" s="13"/>
      <c r="L3296" s="13"/>
      <c r="M3296" s="13"/>
      <c r="N3296" s="13"/>
    </row>
    <row r="3297" ht="15.75" hidden="1" customHeight="1">
      <c r="A3297" s="13"/>
      <c r="B3297" s="13"/>
      <c r="C3297" s="13"/>
      <c r="D3297" s="13"/>
      <c r="E3297" s="13"/>
      <c r="F3297" s="13"/>
      <c r="G3297" s="13"/>
      <c r="H3297" s="13"/>
      <c r="I3297" s="13"/>
      <c r="J3297" s="13"/>
      <c r="K3297" s="13"/>
      <c r="L3297" s="13"/>
      <c r="M3297" s="13"/>
      <c r="N3297" s="13"/>
    </row>
    <row r="3298" ht="15.75" hidden="1" customHeight="1">
      <c r="A3298" s="13"/>
      <c r="B3298" s="13"/>
      <c r="C3298" s="13"/>
      <c r="D3298" s="13"/>
      <c r="E3298" s="13"/>
      <c r="F3298" s="13"/>
      <c r="G3298" s="13"/>
      <c r="H3298" s="13"/>
      <c r="I3298" s="13"/>
      <c r="J3298" s="13"/>
      <c r="K3298" s="13"/>
      <c r="L3298" s="13"/>
      <c r="M3298" s="13"/>
      <c r="N3298" s="13"/>
    </row>
    <row r="3299" ht="15.75" hidden="1" customHeight="1">
      <c r="A3299" s="13"/>
      <c r="B3299" s="13"/>
      <c r="C3299" s="13"/>
      <c r="D3299" s="13"/>
      <c r="E3299" s="13"/>
      <c r="F3299" s="13"/>
      <c r="G3299" s="13"/>
      <c r="H3299" s="13"/>
      <c r="I3299" s="13"/>
      <c r="J3299" s="13"/>
      <c r="K3299" s="13"/>
      <c r="L3299" s="13"/>
      <c r="M3299" s="13"/>
      <c r="N3299" s="13"/>
    </row>
    <row r="3300" ht="15.75" hidden="1" customHeight="1">
      <c r="A3300" s="13"/>
      <c r="B3300" s="13"/>
      <c r="C3300" s="13"/>
      <c r="D3300" s="13"/>
      <c r="E3300" s="13"/>
      <c r="F3300" s="13"/>
      <c r="G3300" s="13"/>
      <c r="H3300" s="13"/>
      <c r="I3300" s="13"/>
      <c r="J3300" s="13"/>
      <c r="K3300" s="13"/>
      <c r="L3300" s="13"/>
      <c r="M3300" s="13"/>
      <c r="N3300" s="13"/>
    </row>
    <row r="3301" ht="15.75" hidden="1" customHeight="1">
      <c r="A3301" s="13"/>
      <c r="B3301" s="13"/>
      <c r="C3301" s="13"/>
      <c r="D3301" s="13"/>
      <c r="E3301" s="13"/>
      <c r="F3301" s="13"/>
      <c r="G3301" s="13"/>
      <c r="H3301" s="13"/>
      <c r="I3301" s="13"/>
      <c r="J3301" s="13"/>
      <c r="K3301" s="13"/>
      <c r="L3301" s="13"/>
      <c r="M3301" s="13"/>
      <c r="N3301" s="13"/>
    </row>
    <row r="3302" ht="15.75" hidden="1" customHeight="1">
      <c r="A3302" s="13"/>
      <c r="B3302" s="13"/>
      <c r="C3302" s="13"/>
      <c r="D3302" s="13"/>
      <c r="E3302" s="13"/>
      <c r="F3302" s="13"/>
      <c r="G3302" s="13"/>
      <c r="H3302" s="13"/>
      <c r="I3302" s="13"/>
      <c r="J3302" s="13"/>
      <c r="K3302" s="13"/>
      <c r="L3302" s="13"/>
      <c r="M3302" s="13"/>
      <c r="N3302" s="13"/>
    </row>
    <row r="3303" ht="15.75" hidden="1" customHeight="1">
      <c r="A3303" s="13"/>
      <c r="B3303" s="13"/>
      <c r="C3303" s="13"/>
      <c r="D3303" s="13"/>
      <c r="E3303" s="13"/>
      <c r="F3303" s="13"/>
      <c r="G3303" s="13"/>
      <c r="H3303" s="13"/>
      <c r="I3303" s="13"/>
      <c r="J3303" s="13"/>
      <c r="K3303" s="13"/>
      <c r="L3303" s="13"/>
      <c r="M3303" s="13"/>
      <c r="N3303" s="13"/>
    </row>
    <row r="3304" ht="15.75" hidden="1" customHeight="1">
      <c r="A3304" s="13"/>
      <c r="B3304" s="13"/>
      <c r="C3304" s="13"/>
      <c r="D3304" s="13"/>
      <c r="E3304" s="13"/>
      <c r="F3304" s="13"/>
      <c r="G3304" s="13"/>
      <c r="H3304" s="13"/>
      <c r="I3304" s="13"/>
      <c r="J3304" s="13"/>
      <c r="K3304" s="13"/>
      <c r="L3304" s="13"/>
      <c r="M3304" s="13"/>
      <c r="N3304" s="13"/>
    </row>
    <row r="3305" ht="15.75" hidden="1" customHeight="1">
      <c r="A3305" s="13"/>
      <c r="B3305" s="13"/>
      <c r="C3305" s="13"/>
      <c r="D3305" s="13"/>
      <c r="E3305" s="13"/>
      <c r="F3305" s="13"/>
      <c r="G3305" s="13"/>
      <c r="H3305" s="13"/>
      <c r="I3305" s="13"/>
      <c r="J3305" s="13"/>
      <c r="K3305" s="13"/>
      <c r="L3305" s="13"/>
      <c r="M3305" s="13"/>
      <c r="N3305" s="13"/>
    </row>
    <row r="3306" ht="15.75" hidden="1" customHeight="1">
      <c r="A3306" s="13"/>
      <c r="B3306" s="13"/>
      <c r="C3306" s="13"/>
      <c r="D3306" s="13"/>
      <c r="E3306" s="13"/>
      <c r="F3306" s="13"/>
      <c r="G3306" s="13"/>
      <c r="H3306" s="13"/>
      <c r="I3306" s="13"/>
      <c r="J3306" s="13"/>
      <c r="K3306" s="13"/>
      <c r="L3306" s="13"/>
      <c r="M3306" s="13"/>
      <c r="N3306" s="13"/>
    </row>
    <row r="3307" ht="15.75" hidden="1" customHeight="1">
      <c r="A3307" s="13"/>
      <c r="B3307" s="13"/>
      <c r="C3307" s="13"/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</row>
    <row r="3308" ht="15.75" hidden="1" customHeight="1">
      <c r="A3308" s="13"/>
      <c r="B3308" s="13"/>
      <c r="C3308" s="13"/>
      <c r="D3308" s="13"/>
      <c r="E3308" s="13"/>
      <c r="F3308" s="13"/>
      <c r="G3308" s="13"/>
      <c r="H3308" s="13"/>
      <c r="I3308" s="13"/>
      <c r="J3308" s="13"/>
      <c r="K3308" s="13"/>
      <c r="L3308" s="13"/>
      <c r="M3308" s="13"/>
      <c r="N3308" s="13"/>
    </row>
    <row r="3309" ht="15.75" hidden="1" customHeight="1">
      <c r="A3309" s="13"/>
      <c r="B3309" s="13"/>
      <c r="C3309" s="13"/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</row>
    <row r="3310" ht="15.75" hidden="1" customHeight="1">
      <c r="A3310" s="13"/>
      <c r="B3310" s="13"/>
      <c r="C3310" s="13"/>
      <c r="D3310" s="13"/>
      <c r="E3310" s="13"/>
      <c r="F3310" s="13"/>
      <c r="G3310" s="13"/>
      <c r="H3310" s="13"/>
      <c r="I3310" s="13"/>
      <c r="J3310" s="13"/>
      <c r="K3310" s="13"/>
      <c r="L3310" s="13"/>
      <c r="M3310" s="13"/>
      <c r="N3310" s="13"/>
    </row>
    <row r="3311" ht="15.75" hidden="1" customHeight="1">
      <c r="A3311" s="13"/>
      <c r="B3311" s="13"/>
      <c r="C3311" s="13"/>
      <c r="D3311" s="13"/>
      <c r="E3311" s="13"/>
      <c r="F3311" s="13"/>
      <c r="G3311" s="13"/>
      <c r="H3311" s="13"/>
      <c r="I3311" s="13"/>
      <c r="J3311" s="13"/>
      <c r="K3311" s="13"/>
      <c r="L3311" s="13"/>
      <c r="M3311" s="13"/>
      <c r="N3311" s="13"/>
    </row>
    <row r="3312" ht="15.75" hidden="1" customHeight="1">
      <c r="A3312" s="13"/>
      <c r="B3312" s="13"/>
      <c r="C3312" s="13"/>
      <c r="D3312" s="13"/>
      <c r="E3312" s="13"/>
      <c r="F3312" s="13"/>
      <c r="G3312" s="13"/>
      <c r="H3312" s="13"/>
      <c r="I3312" s="13"/>
      <c r="J3312" s="13"/>
      <c r="K3312" s="13"/>
      <c r="L3312" s="13"/>
      <c r="M3312" s="13"/>
      <c r="N3312" s="13"/>
    </row>
    <row r="3313" ht="15.75" hidden="1" customHeight="1">
      <c r="A3313" s="13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13"/>
    </row>
    <row r="3314" ht="15.75" hidden="1" customHeight="1">
      <c r="A3314" s="13"/>
      <c r="B3314" s="13"/>
      <c r="C3314" s="13"/>
      <c r="D3314" s="13"/>
      <c r="E3314" s="13"/>
      <c r="F3314" s="13"/>
      <c r="G3314" s="13"/>
      <c r="H3314" s="13"/>
      <c r="I3314" s="13"/>
      <c r="J3314" s="13"/>
      <c r="K3314" s="13"/>
      <c r="L3314" s="13"/>
      <c r="M3314" s="13"/>
      <c r="N3314" s="13"/>
    </row>
    <row r="3315" ht="15.75" hidden="1" customHeight="1">
      <c r="A3315" s="13"/>
      <c r="B3315" s="13"/>
      <c r="C3315" s="13"/>
      <c r="D3315" s="13"/>
      <c r="E3315" s="13"/>
      <c r="F3315" s="13"/>
      <c r="G3315" s="13"/>
      <c r="H3315" s="13"/>
      <c r="I3315" s="13"/>
      <c r="J3315" s="13"/>
      <c r="K3315" s="13"/>
      <c r="L3315" s="13"/>
      <c r="M3315" s="13"/>
      <c r="N3315" s="13"/>
    </row>
    <row r="3316" ht="15.75" hidden="1" customHeight="1">
      <c r="A3316" s="13"/>
      <c r="B3316" s="13"/>
      <c r="C3316" s="13"/>
      <c r="D3316" s="13"/>
      <c r="E3316" s="13"/>
      <c r="F3316" s="13"/>
      <c r="G3316" s="13"/>
      <c r="H3316" s="13"/>
      <c r="I3316" s="13"/>
      <c r="J3316" s="13"/>
      <c r="K3316" s="13"/>
      <c r="L3316" s="13"/>
      <c r="M3316" s="13"/>
      <c r="N3316" s="13"/>
    </row>
    <row r="3317" ht="15.75" hidden="1" customHeight="1">
      <c r="A3317" s="13"/>
      <c r="B3317" s="13"/>
      <c r="C3317" s="13"/>
      <c r="D3317" s="13"/>
      <c r="E3317" s="13"/>
      <c r="F3317" s="13"/>
      <c r="G3317" s="13"/>
      <c r="H3317" s="13"/>
      <c r="I3317" s="13"/>
      <c r="J3317" s="13"/>
      <c r="K3317" s="13"/>
      <c r="L3317" s="13"/>
      <c r="M3317" s="13"/>
      <c r="N3317" s="13"/>
    </row>
    <row r="3318" ht="15.75" hidden="1" customHeight="1">
      <c r="A3318" s="13"/>
      <c r="B3318" s="13"/>
      <c r="C3318" s="13"/>
      <c r="D3318" s="13"/>
      <c r="E3318" s="13"/>
      <c r="F3318" s="13"/>
      <c r="G3318" s="13"/>
      <c r="H3318" s="13"/>
      <c r="I3318" s="13"/>
      <c r="J3318" s="13"/>
      <c r="K3318" s="13"/>
      <c r="L3318" s="13"/>
      <c r="M3318" s="13"/>
      <c r="N3318" s="13"/>
    </row>
    <row r="3319" ht="15.75" hidden="1" customHeight="1">
      <c r="A3319" s="13"/>
      <c r="B3319" s="13"/>
      <c r="C3319" s="13"/>
      <c r="D3319" s="13"/>
      <c r="E3319" s="13"/>
      <c r="F3319" s="13"/>
      <c r="G3319" s="13"/>
      <c r="H3319" s="13"/>
      <c r="I3319" s="13"/>
      <c r="J3319" s="13"/>
      <c r="K3319" s="13"/>
      <c r="L3319" s="13"/>
      <c r="M3319" s="13"/>
      <c r="N3319" s="13"/>
    </row>
    <row r="3320" ht="15.75" hidden="1" customHeight="1">
      <c r="A3320" s="13"/>
      <c r="B3320" s="13"/>
      <c r="C3320" s="13"/>
      <c r="D3320" s="13"/>
      <c r="E3320" s="13"/>
      <c r="F3320" s="13"/>
      <c r="G3320" s="13"/>
      <c r="H3320" s="13"/>
      <c r="I3320" s="13"/>
      <c r="J3320" s="13"/>
      <c r="K3320" s="13"/>
      <c r="L3320" s="13"/>
      <c r="M3320" s="13"/>
      <c r="N3320" s="13"/>
    </row>
    <row r="3321" ht="15.75" hidden="1" customHeight="1">
      <c r="A3321" s="13"/>
      <c r="B3321" s="13"/>
      <c r="C3321" s="13"/>
      <c r="D3321" s="13"/>
      <c r="E3321" s="13"/>
      <c r="F3321" s="13"/>
      <c r="G3321" s="13"/>
      <c r="H3321" s="13"/>
      <c r="I3321" s="13"/>
      <c r="J3321" s="13"/>
      <c r="K3321" s="13"/>
      <c r="L3321" s="13"/>
      <c r="M3321" s="13"/>
      <c r="N3321" s="13"/>
    </row>
    <row r="3322" ht="15.75" hidden="1" customHeight="1">
      <c r="A3322" s="13"/>
      <c r="B3322" s="13"/>
      <c r="C3322" s="13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</row>
    <row r="3323" ht="15.75" hidden="1" customHeight="1">
      <c r="A3323" s="13"/>
      <c r="B3323" s="13"/>
      <c r="C3323" s="13"/>
      <c r="D3323" s="13"/>
      <c r="E3323" s="13"/>
      <c r="F3323" s="13"/>
      <c r="G3323" s="13"/>
      <c r="H3323" s="13"/>
      <c r="I3323" s="13"/>
      <c r="J3323" s="13"/>
      <c r="K3323" s="13"/>
      <c r="L3323" s="13"/>
      <c r="M3323" s="13"/>
      <c r="N3323" s="13"/>
    </row>
    <row r="3324" ht="15.75" hidden="1" customHeight="1">
      <c r="A3324" s="13"/>
      <c r="B3324" s="13"/>
      <c r="C3324" s="13"/>
      <c r="D3324" s="13"/>
      <c r="E3324" s="13"/>
      <c r="F3324" s="13"/>
      <c r="G3324" s="13"/>
      <c r="H3324" s="13"/>
      <c r="I3324" s="13"/>
      <c r="J3324" s="13"/>
      <c r="K3324" s="13"/>
      <c r="L3324" s="13"/>
      <c r="M3324" s="13"/>
      <c r="N3324" s="13"/>
    </row>
    <row r="3325" ht="15.75" hidden="1" customHeight="1">
      <c r="A3325" s="13"/>
      <c r="B3325" s="13"/>
      <c r="C3325" s="13"/>
      <c r="D3325" s="13"/>
      <c r="E3325" s="13"/>
      <c r="F3325" s="13"/>
      <c r="G3325" s="13"/>
      <c r="H3325" s="13"/>
      <c r="I3325" s="13"/>
      <c r="J3325" s="13"/>
      <c r="K3325" s="13"/>
      <c r="L3325" s="13"/>
      <c r="M3325" s="13"/>
      <c r="N3325" s="13"/>
    </row>
    <row r="3326" ht="15.75" hidden="1" customHeight="1">
      <c r="A3326" s="13"/>
      <c r="B3326" s="13"/>
      <c r="C3326" s="13"/>
      <c r="D3326" s="13"/>
      <c r="E3326" s="13"/>
      <c r="F3326" s="13"/>
      <c r="G3326" s="13"/>
      <c r="H3326" s="13"/>
      <c r="I3326" s="13"/>
      <c r="J3326" s="13"/>
      <c r="K3326" s="13"/>
      <c r="L3326" s="13"/>
      <c r="M3326" s="13"/>
      <c r="N3326" s="13"/>
    </row>
    <row r="3327" ht="15.75" hidden="1" customHeight="1">
      <c r="A3327" s="13"/>
      <c r="B3327" s="13"/>
      <c r="C3327" s="13"/>
      <c r="D3327" s="13"/>
      <c r="E3327" s="13"/>
      <c r="F3327" s="13"/>
      <c r="G3327" s="13"/>
      <c r="H3327" s="13"/>
      <c r="I3327" s="13"/>
      <c r="J3327" s="13"/>
      <c r="K3327" s="13"/>
      <c r="L3327" s="13"/>
      <c r="M3327" s="13"/>
      <c r="N3327" s="13"/>
    </row>
    <row r="3328" ht="15.75" hidden="1" customHeight="1">
      <c r="A3328" s="13"/>
      <c r="B3328" s="13"/>
      <c r="C3328" s="13"/>
      <c r="D3328" s="13"/>
      <c r="E3328" s="13"/>
      <c r="F3328" s="13"/>
      <c r="G3328" s="13"/>
      <c r="H3328" s="13"/>
      <c r="I3328" s="13"/>
      <c r="J3328" s="13"/>
      <c r="K3328" s="13"/>
      <c r="L3328" s="13"/>
      <c r="M3328" s="13"/>
      <c r="N3328" s="13"/>
    </row>
    <row r="3329" ht="15.75" hidden="1" customHeight="1">
      <c r="A3329" s="13"/>
      <c r="B3329" s="13"/>
      <c r="C3329" s="13"/>
      <c r="D3329" s="13"/>
      <c r="E3329" s="13"/>
      <c r="F3329" s="13"/>
      <c r="G3329" s="13"/>
      <c r="H3329" s="13"/>
      <c r="I3329" s="13"/>
      <c r="J3329" s="13"/>
      <c r="K3329" s="13"/>
      <c r="L3329" s="13"/>
      <c r="M3329" s="13"/>
      <c r="N3329" s="13"/>
    </row>
    <row r="3330" ht="15.75" hidden="1" customHeight="1">
      <c r="A3330" s="13"/>
      <c r="B3330" s="13"/>
      <c r="C3330" s="13"/>
      <c r="D3330" s="13"/>
      <c r="E3330" s="13"/>
      <c r="F3330" s="13"/>
      <c r="G3330" s="13"/>
      <c r="H3330" s="13"/>
      <c r="I3330" s="13"/>
      <c r="J3330" s="13"/>
      <c r="K3330" s="13"/>
      <c r="L3330" s="13"/>
      <c r="M3330" s="13"/>
      <c r="N3330" s="13"/>
    </row>
    <row r="3331" ht="15.75" hidden="1" customHeight="1">
      <c r="A3331" s="13"/>
      <c r="B3331" s="13"/>
      <c r="C3331" s="13"/>
      <c r="D3331" s="13"/>
      <c r="E3331" s="13"/>
      <c r="F3331" s="13"/>
      <c r="G3331" s="13"/>
      <c r="H3331" s="13"/>
      <c r="I3331" s="13"/>
      <c r="J3331" s="13"/>
      <c r="K3331" s="13"/>
      <c r="L3331" s="13"/>
      <c r="M3331" s="13"/>
      <c r="N3331" s="13"/>
    </row>
    <row r="3332" ht="15.75" hidden="1" customHeight="1">
      <c r="A3332" s="13"/>
      <c r="B3332" s="13"/>
      <c r="C3332" s="13"/>
      <c r="D3332" s="13"/>
      <c r="E3332" s="13"/>
      <c r="F3332" s="13"/>
      <c r="G3332" s="13"/>
      <c r="H3332" s="13"/>
      <c r="I3332" s="13"/>
      <c r="J3332" s="13"/>
      <c r="K3332" s="13"/>
      <c r="L3332" s="13"/>
      <c r="M3332" s="13"/>
      <c r="N3332" s="13"/>
    </row>
    <row r="3333" ht="15.75" hidden="1" customHeight="1">
      <c r="A3333" s="13"/>
      <c r="B3333" s="13"/>
      <c r="C3333" s="13"/>
      <c r="D3333" s="13"/>
      <c r="E3333" s="13"/>
      <c r="F3333" s="13"/>
      <c r="G3333" s="13"/>
      <c r="H3333" s="13"/>
      <c r="I3333" s="13"/>
      <c r="J3333" s="13"/>
      <c r="K3333" s="13"/>
      <c r="L3333" s="13"/>
      <c r="M3333" s="13"/>
      <c r="N3333" s="13"/>
    </row>
    <row r="3334" ht="15.75" hidden="1" customHeight="1">
      <c r="A3334" s="13"/>
      <c r="B3334" s="13"/>
      <c r="C3334" s="13"/>
      <c r="D3334" s="13"/>
      <c r="E3334" s="13"/>
      <c r="F3334" s="13"/>
      <c r="G3334" s="13"/>
      <c r="H3334" s="13"/>
      <c r="I3334" s="13"/>
      <c r="J3334" s="13"/>
      <c r="K3334" s="13"/>
      <c r="L3334" s="13"/>
      <c r="M3334" s="13"/>
      <c r="N3334" s="13"/>
    </row>
    <row r="3335" ht="15.75" hidden="1" customHeight="1">
      <c r="A3335" s="13"/>
      <c r="B3335" s="13"/>
      <c r="C3335" s="13"/>
      <c r="D3335" s="13"/>
      <c r="E3335" s="13"/>
      <c r="F3335" s="13"/>
      <c r="G3335" s="13"/>
      <c r="H3335" s="13"/>
      <c r="I3335" s="13"/>
      <c r="J3335" s="13"/>
      <c r="K3335" s="13"/>
      <c r="L3335" s="13"/>
      <c r="M3335" s="13"/>
      <c r="N3335" s="13"/>
    </row>
    <row r="3336" ht="15.75" hidden="1" customHeight="1">
      <c r="A3336" s="13"/>
      <c r="B3336" s="13"/>
      <c r="C3336" s="13"/>
      <c r="D3336" s="13"/>
      <c r="E3336" s="13"/>
      <c r="F3336" s="13"/>
      <c r="G3336" s="13"/>
      <c r="H3336" s="13"/>
      <c r="I3336" s="13"/>
      <c r="J3336" s="13"/>
      <c r="K3336" s="13"/>
      <c r="L3336" s="13"/>
      <c r="M3336" s="13"/>
      <c r="N3336" s="13"/>
    </row>
    <row r="3337" ht="15.75" hidden="1" customHeight="1">
      <c r="A3337" s="13"/>
      <c r="B3337" s="13"/>
      <c r="C3337" s="13"/>
      <c r="D3337" s="13"/>
      <c r="E3337" s="13"/>
      <c r="F3337" s="13"/>
      <c r="G3337" s="13"/>
      <c r="H3337" s="13"/>
      <c r="I3337" s="13"/>
      <c r="J3337" s="13"/>
      <c r="K3337" s="13"/>
      <c r="L3337" s="13"/>
      <c r="M3337" s="13"/>
      <c r="N3337" s="13"/>
    </row>
    <row r="3338" ht="15.75" hidden="1" customHeight="1">
      <c r="A3338" s="13"/>
      <c r="B3338" s="13"/>
      <c r="C3338" s="13"/>
      <c r="D3338" s="13"/>
      <c r="E3338" s="13"/>
      <c r="F3338" s="13"/>
      <c r="G3338" s="13"/>
      <c r="H3338" s="13"/>
      <c r="I3338" s="13"/>
      <c r="J3338" s="13"/>
      <c r="K3338" s="13"/>
      <c r="L3338" s="13"/>
      <c r="M3338" s="13"/>
      <c r="N3338" s="13"/>
    </row>
    <row r="3339" ht="15.75" hidden="1" customHeight="1">
      <c r="A3339" s="13"/>
      <c r="B3339" s="13"/>
      <c r="C3339" s="13"/>
      <c r="D3339" s="13"/>
      <c r="E3339" s="13"/>
      <c r="F3339" s="13"/>
      <c r="G3339" s="13"/>
      <c r="H3339" s="13"/>
      <c r="I3339" s="13"/>
      <c r="J3339" s="13"/>
      <c r="K3339" s="13"/>
      <c r="L3339" s="13"/>
      <c r="M3339" s="13"/>
      <c r="N3339" s="13"/>
    </row>
    <row r="3340" ht="15.75" hidden="1" customHeight="1">
      <c r="A3340" s="13"/>
      <c r="B3340" s="13"/>
      <c r="C3340" s="13"/>
      <c r="D3340" s="13"/>
      <c r="E3340" s="13"/>
      <c r="F3340" s="13"/>
      <c r="G3340" s="13"/>
      <c r="H3340" s="13"/>
      <c r="I3340" s="13"/>
      <c r="J3340" s="13"/>
      <c r="K3340" s="13"/>
      <c r="L3340" s="13"/>
      <c r="M3340" s="13"/>
      <c r="N3340" s="13"/>
    </row>
    <row r="3341" ht="15.75" hidden="1" customHeight="1">
      <c r="A3341" s="13"/>
      <c r="B3341" s="13"/>
      <c r="C3341" s="13"/>
      <c r="D3341" s="13"/>
      <c r="E3341" s="13"/>
      <c r="F3341" s="13"/>
      <c r="G3341" s="13"/>
      <c r="H3341" s="13"/>
      <c r="I3341" s="13"/>
      <c r="J3341" s="13"/>
      <c r="K3341" s="13"/>
      <c r="L3341" s="13"/>
      <c r="M3341" s="13"/>
      <c r="N3341" s="13"/>
    </row>
    <row r="3342" ht="15.75" hidden="1" customHeight="1">
      <c r="A3342" s="13"/>
      <c r="B3342" s="13"/>
      <c r="C3342" s="13"/>
      <c r="D3342" s="13"/>
      <c r="E3342" s="13"/>
      <c r="F3342" s="13"/>
      <c r="G3342" s="13"/>
      <c r="H3342" s="13"/>
      <c r="I3342" s="13"/>
      <c r="J3342" s="13"/>
      <c r="K3342" s="13"/>
      <c r="L3342" s="13"/>
      <c r="M3342" s="13"/>
      <c r="N3342" s="13"/>
    </row>
    <row r="3343" ht="15.75" hidden="1" customHeight="1">
      <c r="A3343" s="13"/>
      <c r="B3343" s="13"/>
      <c r="C3343" s="13"/>
      <c r="D3343" s="13"/>
      <c r="E3343" s="13"/>
      <c r="F3343" s="13"/>
      <c r="G3343" s="13"/>
      <c r="H3343" s="13"/>
      <c r="I3343" s="13"/>
      <c r="J3343" s="13"/>
      <c r="K3343" s="13"/>
      <c r="L3343" s="13"/>
      <c r="M3343" s="13"/>
      <c r="N3343" s="13"/>
    </row>
    <row r="3344" ht="15.75" hidden="1" customHeight="1">
      <c r="A3344" s="13"/>
      <c r="B3344" s="13"/>
      <c r="C3344" s="13"/>
      <c r="D3344" s="13"/>
      <c r="E3344" s="13"/>
      <c r="F3344" s="13"/>
      <c r="G3344" s="13"/>
      <c r="H3344" s="13"/>
      <c r="I3344" s="13"/>
      <c r="J3344" s="13"/>
      <c r="K3344" s="13"/>
      <c r="L3344" s="13"/>
      <c r="M3344" s="13"/>
      <c r="N3344" s="13"/>
    </row>
    <row r="3345" ht="15.75" hidden="1" customHeight="1">
      <c r="A3345" s="13"/>
      <c r="B3345" s="13"/>
      <c r="C3345" s="13"/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</row>
    <row r="3346" ht="15.75" hidden="1" customHeight="1">
      <c r="A3346" s="13"/>
      <c r="B3346" s="13"/>
      <c r="C3346" s="13"/>
      <c r="D3346" s="13"/>
      <c r="E3346" s="13"/>
      <c r="F3346" s="13"/>
      <c r="G3346" s="13"/>
      <c r="H3346" s="13"/>
      <c r="I3346" s="13"/>
      <c r="J3346" s="13"/>
      <c r="K3346" s="13"/>
      <c r="L3346" s="13"/>
      <c r="M3346" s="13"/>
      <c r="N3346" s="13"/>
    </row>
    <row r="3347" ht="15.75" hidden="1" customHeight="1">
      <c r="A3347" s="13"/>
      <c r="B3347" s="13"/>
      <c r="C3347" s="13"/>
      <c r="D3347" s="13"/>
      <c r="E3347" s="13"/>
      <c r="F3347" s="13"/>
      <c r="G3347" s="13"/>
      <c r="H3347" s="13"/>
      <c r="I3347" s="13"/>
      <c r="J3347" s="13"/>
      <c r="K3347" s="13"/>
      <c r="L3347" s="13"/>
      <c r="M3347" s="13"/>
      <c r="N3347" s="13"/>
    </row>
    <row r="3348" ht="15.75" hidden="1" customHeight="1">
      <c r="A3348" s="13"/>
      <c r="B3348" s="13"/>
      <c r="C3348" s="13"/>
      <c r="D3348" s="13"/>
      <c r="E3348" s="13"/>
      <c r="F3348" s="13"/>
      <c r="G3348" s="13"/>
      <c r="H3348" s="13"/>
      <c r="I3348" s="13"/>
      <c r="J3348" s="13"/>
      <c r="K3348" s="13"/>
      <c r="L3348" s="13"/>
      <c r="M3348" s="13"/>
      <c r="N3348" s="13"/>
    </row>
    <row r="3349" ht="15.75" hidden="1" customHeight="1">
      <c r="A3349" s="13"/>
      <c r="B3349" s="13"/>
      <c r="C3349" s="13"/>
      <c r="D3349" s="13"/>
      <c r="E3349" s="13"/>
      <c r="F3349" s="13"/>
      <c r="G3349" s="13"/>
      <c r="H3349" s="13"/>
      <c r="I3349" s="13"/>
      <c r="J3349" s="13"/>
      <c r="K3349" s="13"/>
      <c r="L3349" s="13"/>
      <c r="M3349" s="13"/>
      <c r="N3349" s="13"/>
    </row>
    <row r="3350" ht="15.75" hidden="1" customHeight="1">
      <c r="A3350" s="13"/>
      <c r="B3350" s="13"/>
      <c r="C3350" s="13"/>
      <c r="D3350" s="13"/>
      <c r="E3350" s="13"/>
      <c r="F3350" s="13"/>
      <c r="G3350" s="13"/>
      <c r="H3350" s="13"/>
      <c r="I3350" s="13"/>
      <c r="J3350" s="13"/>
      <c r="K3350" s="13"/>
      <c r="L3350" s="13"/>
      <c r="M3350" s="13"/>
      <c r="N3350" s="13"/>
    </row>
    <row r="3351" ht="15.75" hidden="1" customHeight="1">
      <c r="A3351" s="13"/>
      <c r="B3351" s="13"/>
      <c r="C3351" s="13"/>
      <c r="D3351" s="13"/>
      <c r="E3351" s="13"/>
      <c r="F3351" s="13"/>
      <c r="G3351" s="13"/>
      <c r="H3351" s="13"/>
      <c r="I3351" s="13"/>
      <c r="J3351" s="13"/>
      <c r="K3351" s="13"/>
      <c r="L3351" s="13"/>
      <c r="M3351" s="13"/>
      <c r="N3351" s="13"/>
    </row>
    <row r="3352" ht="15.75" hidden="1" customHeight="1">
      <c r="A3352" s="13"/>
      <c r="B3352" s="13"/>
      <c r="C3352" s="13"/>
      <c r="D3352" s="13"/>
      <c r="E3352" s="13"/>
      <c r="F3352" s="13"/>
      <c r="G3352" s="13"/>
      <c r="H3352" s="13"/>
      <c r="I3352" s="13"/>
      <c r="J3352" s="13"/>
      <c r="K3352" s="13"/>
      <c r="L3352" s="13"/>
      <c r="M3352" s="13"/>
      <c r="N3352" s="13"/>
    </row>
    <row r="3353" ht="15.75" hidden="1" customHeight="1">
      <c r="A3353" s="13"/>
      <c r="B3353" s="13"/>
      <c r="C3353" s="13"/>
      <c r="D3353" s="13"/>
      <c r="E3353" s="13"/>
      <c r="F3353" s="13"/>
      <c r="G3353" s="13"/>
      <c r="H3353" s="13"/>
      <c r="I3353" s="13"/>
      <c r="J3353" s="13"/>
      <c r="K3353" s="13"/>
      <c r="L3353" s="13"/>
      <c r="M3353" s="13"/>
      <c r="N3353" s="13"/>
    </row>
    <row r="3354" ht="15.75" hidden="1" customHeight="1">
      <c r="A3354" s="13"/>
      <c r="B3354" s="13"/>
      <c r="C3354" s="13"/>
      <c r="D3354" s="13"/>
      <c r="E3354" s="13"/>
      <c r="F3354" s="13"/>
      <c r="G3354" s="13"/>
      <c r="H3354" s="13"/>
      <c r="I3354" s="13"/>
      <c r="J3354" s="13"/>
      <c r="K3354" s="13"/>
      <c r="L3354" s="13"/>
      <c r="M3354" s="13"/>
      <c r="N3354" s="13"/>
    </row>
    <row r="3355" ht="15.75" hidden="1" customHeight="1">
      <c r="A3355" s="13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13"/>
    </row>
    <row r="3356" ht="15.75" hidden="1" customHeight="1">
      <c r="A3356" s="13"/>
      <c r="B3356" s="13"/>
      <c r="C3356" s="13"/>
      <c r="D3356" s="13"/>
      <c r="E3356" s="13"/>
      <c r="F3356" s="13"/>
      <c r="G3356" s="13"/>
      <c r="H3356" s="13"/>
      <c r="I3356" s="13"/>
      <c r="J3356" s="13"/>
      <c r="K3356" s="13"/>
      <c r="L3356" s="13"/>
      <c r="M3356" s="13"/>
      <c r="N3356" s="13"/>
    </row>
    <row r="3357" ht="15.75" hidden="1" customHeight="1">
      <c r="A3357" s="13"/>
      <c r="B3357" s="13"/>
      <c r="C3357" s="13"/>
      <c r="D3357" s="13"/>
      <c r="E3357" s="13"/>
      <c r="F3357" s="13"/>
      <c r="G3357" s="13"/>
      <c r="H3357" s="13"/>
      <c r="I3357" s="13"/>
      <c r="J3357" s="13"/>
      <c r="K3357" s="13"/>
      <c r="L3357" s="13"/>
      <c r="M3357" s="13"/>
      <c r="N3357" s="13"/>
    </row>
    <row r="3358" ht="15.75" hidden="1" customHeight="1">
      <c r="A3358" s="13"/>
      <c r="B3358" s="13"/>
      <c r="C3358" s="13"/>
      <c r="D3358" s="13"/>
      <c r="E3358" s="13"/>
      <c r="F3358" s="13"/>
      <c r="G3358" s="13"/>
      <c r="H3358" s="13"/>
      <c r="I3358" s="13"/>
      <c r="J3358" s="13"/>
      <c r="K3358" s="13"/>
      <c r="L3358" s="13"/>
      <c r="M3358" s="13"/>
      <c r="N3358" s="13"/>
    </row>
    <row r="3359" ht="15.75" hidden="1" customHeight="1">
      <c r="A3359" s="13"/>
      <c r="B3359" s="13"/>
      <c r="C3359" s="13"/>
      <c r="D3359" s="13"/>
      <c r="E3359" s="13"/>
      <c r="F3359" s="13"/>
      <c r="G3359" s="13"/>
      <c r="H3359" s="13"/>
      <c r="I3359" s="13"/>
      <c r="J3359" s="13"/>
      <c r="K3359" s="13"/>
      <c r="L3359" s="13"/>
      <c r="M3359" s="13"/>
      <c r="N3359" s="13"/>
    </row>
    <row r="3360" ht="15.75" hidden="1" customHeight="1">
      <c r="A3360" s="13"/>
      <c r="B3360" s="13"/>
      <c r="C3360" s="13"/>
      <c r="D3360" s="13"/>
      <c r="E3360" s="13"/>
      <c r="F3360" s="13"/>
      <c r="G3360" s="13"/>
      <c r="H3360" s="13"/>
      <c r="I3360" s="13"/>
      <c r="J3360" s="13"/>
      <c r="K3360" s="13"/>
      <c r="L3360" s="13"/>
      <c r="M3360" s="13"/>
      <c r="N3360" s="13"/>
    </row>
    <row r="3361" ht="15.75" hidden="1" customHeight="1">
      <c r="A3361" s="13"/>
      <c r="B3361" s="13"/>
      <c r="C3361" s="13"/>
      <c r="D3361" s="13"/>
      <c r="E3361" s="13"/>
      <c r="F3361" s="13"/>
      <c r="G3361" s="13"/>
      <c r="H3361" s="13"/>
      <c r="I3361" s="13"/>
      <c r="J3361" s="13"/>
      <c r="K3361" s="13"/>
      <c r="L3361" s="13"/>
      <c r="M3361" s="13"/>
      <c r="N3361" s="13"/>
    </row>
    <row r="3362" ht="15.75" hidden="1" customHeight="1">
      <c r="A3362" s="13"/>
      <c r="B3362" s="13"/>
      <c r="C3362" s="13"/>
      <c r="D3362" s="13"/>
      <c r="E3362" s="13"/>
      <c r="F3362" s="13"/>
      <c r="G3362" s="13"/>
      <c r="H3362" s="13"/>
      <c r="I3362" s="13"/>
      <c r="J3362" s="13"/>
      <c r="K3362" s="13"/>
      <c r="L3362" s="13"/>
      <c r="M3362" s="13"/>
      <c r="N3362" s="13"/>
    </row>
    <row r="3363" ht="15.75" hidden="1" customHeight="1">
      <c r="A3363" s="13"/>
      <c r="B3363" s="13"/>
      <c r="C3363" s="13"/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</row>
    <row r="3364" ht="15.75" hidden="1" customHeight="1">
      <c r="A3364" s="13"/>
      <c r="B3364" s="13"/>
      <c r="C3364" s="13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</row>
    <row r="3365" ht="15.75" hidden="1" customHeight="1">
      <c r="A3365" s="13"/>
      <c r="B3365" s="13"/>
      <c r="C3365" s="13"/>
      <c r="D3365" s="13"/>
      <c r="E3365" s="13"/>
      <c r="F3365" s="13"/>
      <c r="G3365" s="13"/>
      <c r="H3365" s="13"/>
      <c r="I3365" s="13"/>
      <c r="J3365" s="13"/>
      <c r="K3365" s="13"/>
      <c r="L3365" s="13"/>
      <c r="M3365" s="13"/>
      <c r="N3365" s="13"/>
    </row>
    <row r="3366" ht="15.75" hidden="1" customHeight="1">
      <c r="A3366" s="13"/>
      <c r="B3366" s="13"/>
      <c r="C3366" s="13"/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</row>
    <row r="3367" ht="15.75" hidden="1" customHeight="1">
      <c r="A3367" s="13"/>
      <c r="B3367" s="13"/>
      <c r="C3367" s="13"/>
      <c r="D3367" s="13"/>
      <c r="E3367" s="13"/>
      <c r="F3367" s="13"/>
      <c r="G3367" s="13"/>
      <c r="H3367" s="13"/>
      <c r="I3367" s="13"/>
      <c r="J3367" s="13"/>
      <c r="K3367" s="13"/>
      <c r="L3367" s="13"/>
      <c r="M3367" s="13"/>
      <c r="N3367" s="13"/>
    </row>
    <row r="3368" ht="15.75" hidden="1" customHeight="1">
      <c r="A3368" s="13"/>
      <c r="B3368" s="13"/>
      <c r="C3368" s="13"/>
      <c r="D3368" s="13"/>
      <c r="E3368" s="13"/>
      <c r="F3368" s="13"/>
      <c r="G3368" s="13"/>
      <c r="H3368" s="13"/>
      <c r="I3368" s="13"/>
      <c r="J3368" s="13"/>
      <c r="K3368" s="13"/>
      <c r="L3368" s="13"/>
      <c r="M3368" s="13"/>
      <c r="N3368" s="13"/>
    </row>
    <row r="3369" ht="15.75" hidden="1" customHeight="1">
      <c r="A3369" s="13"/>
      <c r="B3369" s="13"/>
      <c r="C3369" s="13"/>
      <c r="D3369" s="13"/>
      <c r="E3369" s="13"/>
      <c r="F3369" s="13"/>
      <c r="G3369" s="13"/>
      <c r="H3369" s="13"/>
      <c r="I3369" s="13"/>
      <c r="J3369" s="13"/>
      <c r="K3369" s="13"/>
      <c r="L3369" s="13"/>
      <c r="M3369" s="13"/>
      <c r="N3369" s="13"/>
    </row>
    <row r="3370" ht="15.75" hidden="1" customHeight="1">
      <c r="A3370" s="13"/>
      <c r="B3370" s="13"/>
      <c r="C3370" s="13"/>
      <c r="D3370" s="13"/>
      <c r="E3370" s="13"/>
      <c r="F3370" s="13"/>
      <c r="G3370" s="13"/>
      <c r="H3370" s="13"/>
      <c r="I3370" s="13"/>
      <c r="J3370" s="13"/>
      <c r="K3370" s="13"/>
      <c r="L3370" s="13"/>
      <c r="M3370" s="13"/>
      <c r="N3370" s="13"/>
    </row>
    <row r="3371" ht="15.75" hidden="1" customHeight="1">
      <c r="A3371" s="13"/>
      <c r="B3371" s="13"/>
      <c r="C3371" s="13"/>
      <c r="D3371" s="13"/>
      <c r="E3371" s="13"/>
      <c r="F3371" s="13"/>
      <c r="G3371" s="13"/>
      <c r="H3371" s="13"/>
      <c r="I3371" s="13"/>
      <c r="J3371" s="13"/>
      <c r="K3371" s="13"/>
      <c r="L3371" s="13"/>
      <c r="M3371" s="13"/>
      <c r="N3371" s="13"/>
    </row>
    <row r="3372" ht="15.75" hidden="1" customHeight="1">
      <c r="A3372" s="13"/>
      <c r="B3372" s="13"/>
      <c r="C3372" s="13"/>
      <c r="D3372" s="13"/>
      <c r="E3372" s="13"/>
      <c r="F3372" s="13"/>
      <c r="G3372" s="13"/>
      <c r="H3372" s="13"/>
      <c r="I3372" s="13"/>
      <c r="J3372" s="13"/>
      <c r="K3372" s="13"/>
      <c r="L3372" s="13"/>
      <c r="M3372" s="13"/>
      <c r="N3372" s="13"/>
    </row>
    <row r="3373" ht="15.75" hidden="1" customHeight="1">
      <c r="A3373" s="13"/>
      <c r="B3373" s="13"/>
      <c r="C3373" s="13"/>
      <c r="D3373" s="13"/>
      <c r="E3373" s="13"/>
      <c r="F3373" s="13"/>
      <c r="G3373" s="13"/>
      <c r="H3373" s="13"/>
      <c r="I3373" s="13"/>
      <c r="J3373" s="13"/>
      <c r="K3373" s="13"/>
      <c r="L3373" s="13"/>
      <c r="M3373" s="13"/>
      <c r="N3373" s="13"/>
    </row>
    <row r="3374" ht="15.75" hidden="1" customHeight="1">
      <c r="A3374" s="13"/>
      <c r="B3374" s="13"/>
      <c r="C3374" s="13"/>
      <c r="D3374" s="13"/>
      <c r="E3374" s="13"/>
      <c r="F3374" s="13"/>
      <c r="G3374" s="13"/>
      <c r="H3374" s="13"/>
      <c r="I3374" s="13"/>
      <c r="J3374" s="13"/>
      <c r="K3374" s="13"/>
      <c r="L3374" s="13"/>
      <c r="M3374" s="13"/>
      <c r="N3374" s="13"/>
    </row>
    <row r="3375" ht="15.75" hidden="1" customHeight="1">
      <c r="A3375" s="13"/>
      <c r="B3375" s="13"/>
      <c r="C3375" s="13"/>
      <c r="D3375" s="13"/>
      <c r="E3375" s="13"/>
      <c r="F3375" s="13"/>
      <c r="G3375" s="13"/>
      <c r="H3375" s="13"/>
      <c r="I3375" s="13"/>
      <c r="J3375" s="13"/>
      <c r="K3375" s="13"/>
      <c r="L3375" s="13"/>
      <c r="M3375" s="13"/>
      <c r="N3375" s="13"/>
    </row>
    <row r="3376" ht="15.75" hidden="1" customHeight="1">
      <c r="A3376" s="13"/>
      <c r="B3376" s="13"/>
      <c r="C3376" s="13"/>
      <c r="D3376" s="13"/>
      <c r="E3376" s="13"/>
      <c r="F3376" s="13"/>
      <c r="G3376" s="13"/>
      <c r="H3376" s="13"/>
      <c r="I3376" s="13"/>
      <c r="J3376" s="13"/>
      <c r="K3376" s="13"/>
      <c r="L3376" s="13"/>
      <c r="M3376" s="13"/>
      <c r="N3376" s="13"/>
    </row>
    <row r="3377" ht="15.75" hidden="1" customHeight="1">
      <c r="A3377" s="13"/>
      <c r="B3377" s="13"/>
      <c r="C3377" s="13"/>
      <c r="D3377" s="13"/>
      <c r="E3377" s="13"/>
      <c r="F3377" s="13"/>
      <c r="G3377" s="13"/>
      <c r="H3377" s="13"/>
      <c r="I3377" s="13"/>
      <c r="J3377" s="13"/>
      <c r="K3377" s="13"/>
      <c r="L3377" s="13"/>
      <c r="M3377" s="13"/>
      <c r="N3377" s="13"/>
    </row>
    <row r="3378" ht="15.75" hidden="1" customHeight="1">
      <c r="A3378" s="13"/>
      <c r="B3378" s="13"/>
      <c r="C3378" s="13"/>
      <c r="D3378" s="13"/>
      <c r="E3378" s="13"/>
      <c r="F3378" s="13"/>
      <c r="G3378" s="13"/>
      <c r="H3378" s="13"/>
      <c r="I3378" s="13"/>
      <c r="J3378" s="13"/>
      <c r="K3378" s="13"/>
      <c r="L3378" s="13"/>
      <c r="M3378" s="13"/>
      <c r="N3378" s="13"/>
    </row>
    <row r="3379" ht="15.75" hidden="1" customHeight="1">
      <c r="A3379" s="13"/>
      <c r="B3379" s="13"/>
      <c r="C3379" s="13"/>
      <c r="D3379" s="13"/>
      <c r="E3379" s="13"/>
      <c r="F3379" s="13"/>
      <c r="G3379" s="13"/>
      <c r="H3379" s="13"/>
      <c r="I3379" s="13"/>
      <c r="J3379" s="13"/>
      <c r="K3379" s="13"/>
      <c r="L3379" s="13"/>
      <c r="M3379" s="13"/>
      <c r="N3379" s="13"/>
    </row>
    <row r="3380" ht="15.75" hidden="1" customHeight="1">
      <c r="A3380" s="13"/>
      <c r="B3380" s="13"/>
      <c r="C3380" s="13"/>
      <c r="D3380" s="13"/>
      <c r="E3380" s="13"/>
      <c r="F3380" s="13"/>
      <c r="G3380" s="13"/>
      <c r="H3380" s="13"/>
      <c r="I3380" s="13"/>
      <c r="J3380" s="13"/>
      <c r="K3380" s="13"/>
      <c r="L3380" s="13"/>
      <c r="M3380" s="13"/>
      <c r="N3380" s="13"/>
    </row>
    <row r="3381" ht="15.75" hidden="1" customHeight="1">
      <c r="A3381" s="13"/>
      <c r="B3381" s="13"/>
      <c r="C3381" s="13"/>
      <c r="D3381" s="13"/>
      <c r="E3381" s="13"/>
      <c r="F3381" s="13"/>
      <c r="G3381" s="13"/>
      <c r="H3381" s="13"/>
      <c r="I3381" s="13"/>
      <c r="J3381" s="13"/>
      <c r="K3381" s="13"/>
      <c r="L3381" s="13"/>
      <c r="M3381" s="13"/>
      <c r="N3381" s="13"/>
    </row>
    <row r="3382" ht="15.75" hidden="1" customHeight="1">
      <c r="A3382" s="13"/>
      <c r="B3382" s="13"/>
      <c r="C3382" s="13"/>
      <c r="D3382" s="13"/>
      <c r="E3382" s="13"/>
      <c r="F3382" s="13"/>
      <c r="G3382" s="13"/>
      <c r="H3382" s="13"/>
      <c r="I3382" s="13"/>
      <c r="J3382" s="13"/>
      <c r="K3382" s="13"/>
      <c r="L3382" s="13"/>
      <c r="M3382" s="13"/>
      <c r="N3382" s="13"/>
    </row>
    <row r="3383" ht="15.75" hidden="1" customHeight="1">
      <c r="A3383" s="13"/>
      <c r="B3383" s="13"/>
      <c r="C3383" s="13"/>
      <c r="D3383" s="13"/>
      <c r="E3383" s="13"/>
      <c r="F3383" s="13"/>
      <c r="G3383" s="13"/>
      <c r="H3383" s="13"/>
      <c r="I3383" s="13"/>
      <c r="J3383" s="13"/>
      <c r="K3383" s="13"/>
      <c r="L3383" s="13"/>
      <c r="M3383" s="13"/>
      <c r="N3383" s="13"/>
    </row>
    <row r="3384" ht="15.75" hidden="1" customHeight="1">
      <c r="A3384" s="13"/>
      <c r="B3384" s="13"/>
      <c r="C3384" s="13"/>
      <c r="D3384" s="13"/>
      <c r="E3384" s="13"/>
      <c r="F3384" s="13"/>
      <c r="G3384" s="13"/>
      <c r="H3384" s="13"/>
      <c r="I3384" s="13"/>
      <c r="J3384" s="13"/>
      <c r="K3384" s="13"/>
      <c r="L3384" s="13"/>
      <c r="M3384" s="13"/>
      <c r="N3384" s="13"/>
    </row>
    <row r="3385" ht="15.75" hidden="1" customHeight="1">
      <c r="A3385" s="13"/>
      <c r="B3385" s="13"/>
      <c r="C3385" s="13"/>
      <c r="D3385" s="13"/>
      <c r="E3385" s="13"/>
      <c r="F3385" s="13"/>
      <c r="G3385" s="13"/>
      <c r="H3385" s="13"/>
      <c r="I3385" s="13"/>
      <c r="J3385" s="13"/>
      <c r="K3385" s="13"/>
      <c r="L3385" s="13"/>
      <c r="M3385" s="13"/>
      <c r="N3385" s="13"/>
    </row>
    <row r="3386" ht="15.75" hidden="1" customHeight="1">
      <c r="A3386" s="13"/>
      <c r="B3386" s="13"/>
      <c r="C3386" s="13"/>
      <c r="D3386" s="13"/>
      <c r="E3386" s="13"/>
      <c r="F3386" s="13"/>
      <c r="G3386" s="13"/>
      <c r="H3386" s="13"/>
      <c r="I3386" s="13"/>
      <c r="J3386" s="13"/>
      <c r="K3386" s="13"/>
      <c r="L3386" s="13"/>
      <c r="M3386" s="13"/>
      <c r="N3386" s="13"/>
    </row>
    <row r="3387" ht="15.75" hidden="1" customHeight="1">
      <c r="A3387" s="13"/>
      <c r="B3387" s="13"/>
      <c r="C3387" s="13"/>
      <c r="D3387" s="13"/>
      <c r="E3387" s="13"/>
      <c r="F3387" s="13"/>
      <c r="G3387" s="13"/>
      <c r="H3387" s="13"/>
      <c r="I3387" s="13"/>
      <c r="J3387" s="13"/>
      <c r="K3387" s="13"/>
      <c r="L3387" s="13"/>
      <c r="M3387" s="13"/>
      <c r="N3387" s="13"/>
    </row>
    <row r="3388" ht="15.75" hidden="1" customHeight="1">
      <c r="A3388" s="13"/>
      <c r="B3388" s="13"/>
      <c r="C3388" s="13"/>
      <c r="D3388" s="13"/>
      <c r="E3388" s="13"/>
      <c r="F3388" s="13"/>
      <c r="G3388" s="13"/>
      <c r="H3388" s="13"/>
      <c r="I3388" s="13"/>
      <c r="J3388" s="13"/>
      <c r="K3388" s="13"/>
      <c r="L3388" s="13"/>
      <c r="M3388" s="13"/>
      <c r="N3388" s="13"/>
    </row>
    <row r="3389" ht="15.75" hidden="1" customHeight="1">
      <c r="A3389" s="13"/>
      <c r="B3389" s="13"/>
      <c r="C3389" s="13"/>
      <c r="D3389" s="13"/>
      <c r="E3389" s="13"/>
      <c r="F3389" s="13"/>
      <c r="G3389" s="13"/>
      <c r="H3389" s="13"/>
      <c r="I3389" s="13"/>
      <c r="J3389" s="13"/>
      <c r="K3389" s="13"/>
      <c r="L3389" s="13"/>
      <c r="M3389" s="13"/>
      <c r="N3389" s="13"/>
    </row>
    <row r="3390" ht="15.75" hidden="1" customHeight="1">
      <c r="A3390" s="13"/>
      <c r="B3390" s="13"/>
      <c r="C3390" s="13"/>
      <c r="D3390" s="13"/>
      <c r="E3390" s="13"/>
      <c r="F3390" s="13"/>
      <c r="G3390" s="13"/>
      <c r="H3390" s="13"/>
      <c r="I3390" s="13"/>
      <c r="J3390" s="13"/>
      <c r="K3390" s="13"/>
      <c r="L3390" s="13"/>
      <c r="M3390" s="13"/>
      <c r="N3390" s="13"/>
    </row>
    <row r="3391" ht="15.75" hidden="1" customHeight="1">
      <c r="A3391" s="13"/>
      <c r="B3391" s="13"/>
      <c r="C3391" s="13"/>
      <c r="D3391" s="13"/>
      <c r="E3391" s="13"/>
      <c r="F3391" s="13"/>
      <c r="G3391" s="13"/>
      <c r="H3391" s="13"/>
      <c r="I3391" s="13"/>
      <c r="J3391" s="13"/>
      <c r="K3391" s="13"/>
      <c r="L3391" s="13"/>
      <c r="M3391" s="13"/>
      <c r="N3391" s="13"/>
    </row>
    <row r="3392" ht="15.75" hidden="1" customHeight="1">
      <c r="A3392" s="13"/>
      <c r="B3392" s="13"/>
      <c r="C3392" s="13"/>
      <c r="D3392" s="13"/>
      <c r="E3392" s="13"/>
      <c r="F3392" s="13"/>
      <c r="G3392" s="13"/>
      <c r="H3392" s="13"/>
      <c r="I3392" s="13"/>
      <c r="J3392" s="13"/>
      <c r="K3392" s="13"/>
      <c r="L3392" s="13"/>
      <c r="M3392" s="13"/>
      <c r="N3392" s="13"/>
    </row>
    <row r="3393" ht="15.75" hidden="1" customHeight="1">
      <c r="A3393" s="13"/>
      <c r="B3393" s="13"/>
      <c r="C3393" s="13"/>
      <c r="D3393" s="13"/>
      <c r="E3393" s="13"/>
      <c r="F3393" s="13"/>
      <c r="G3393" s="13"/>
      <c r="H3393" s="13"/>
      <c r="I3393" s="13"/>
      <c r="J3393" s="13"/>
      <c r="K3393" s="13"/>
      <c r="L3393" s="13"/>
      <c r="M3393" s="13"/>
      <c r="N3393" s="13"/>
    </row>
    <row r="3394" ht="15.75" hidden="1" customHeight="1">
      <c r="A3394" s="13"/>
      <c r="B3394" s="13"/>
      <c r="C3394" s="13"/>
      <c r="D3394" s="13"/>
      <c r="E3394" s="13"/>
      <c r="F3394" s="13"/>
      <c r="G3394" s="13"/>
      <c r="H3394" s="13"/>
      <c r="I3394" s="13"/>
      <c r="J3394" s="13"/>
      <c r="K3394" s="13"/>
      <c r="L3394" s="13"/>
      <c r="M3394" s="13"/>
      <c r="N3394" s="13"/>
    </row>
    <row r="3395" ht="15.75" hidden="1" customHeight="1">
      <c r="A3395" s="13"/>
      <c r="B3395" s="13"/>
      <c r="C3395" s="13"/>
      <c r="D3395" s="13"/>
      <c r="E3395" s="13"/>
      <c r="F3395" s="13"/>
      <c r="G3395" s="13"/>
      <c r="H3395" s="13"/>
      <c r="I3395" s="13"/>
      <c r="J3395" s="13"/>
      <c r="K3395" s="13"/>
      <c r="L3395" s="13"/>
      <c r="M3395" s="13"/>
      <c r="N3395" s="13"/>
    </row>
    <row r="3396" ht="15.75" hidden="1" customHeight="1">
      <c r="A3396" s="13"/>
      <c r="B3396" s="13"/>
      <c r="C3396" s="13"/>
      <c r="D3396" s="13"/>
      <c r="E3396" s="13"/>
      <c r="F3396" s="13"/>
      <c r="G3396" s="13"/>
      <c r="H3396" s="13"/>
      <c r="I3396" s="13"/>
      <c r="J3396" s="13"/>
      <c r="K3396" s="13"/>
      <c r="L3396" s="13"/>
      <c r="M3396" s="13"/>
      <c r="N3396" s="13"/>
    </row>
    <row r="3397" ht="15.75" hidden="1" customHeight="1">
      <c r="A3397" s="13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13"/>
    </row>
    <row r="3398" ht="15.75" hidden="1" customHeight="1">
      <c r="A3398" s="13"/>
      <c r="B3398" s="13"/>
      <c r="C3398" s="13"/>
      <c r="D3398" s="13"/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</row>
    <row r="3399" ht="15.75" hidden="1" customHeight="1">
      <c r="A3399" s="13"/>
      <c r="B3399" s="13"/>
      <c r="C3399" s="13"/>
      <c r="D3399" s="13"/>
      <c r="E3399" s="13"/>
      <c r="F3399" s="13"/>
      <c r="G3399" s="13"/>
      <c r="H3399" s="13"/>
      <c r="I3399" s="13"/>
      <c r="J3399" s="13"/>
      <c r="K3399" s="13"/>
      <c r="L3399" s="13"/>
      <c r="M3399" s="13"/>
      <c r="N3399" s="13"/>
    </row>
    <row r="3400" ht="15.75" hidden="1" customHeight="1">
      <c r="A3400" s="13"/>
      <c r="B3400" s="13"/>
      <c r="C3400" s="13"/>
      <c r="D3400" s="13"/>
      <c r="E3400" s="13"/>
      <c r="F3400" s="13"/>
      <c r="G3400" s="13"/>
      <c r="H3400" s="13"/>
      <c r="I3400" s="13"/>
      <c r="J3400" s="13"/>
      <c r="K3400" s="13"/>
      <c r="L3400" s="13"/>
      <c r="M3400" s="13"/>
      <c r="N3400" s="13"/>
    </row>
    <row r="3401" ht="15.75" hidden="1" customHeight="1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</row>
    <row r="3402" ht="15.75" hidden="1" customHeight="1">
      <c r="A3402" s="13"/>
      <c r="B3402" s="13"/>
      <c r="C3402" s="13"/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</row>
    <row r="3403" ht="15.75" hidden="1" customHeight="1">
      <c r="A3403" s="13"/>
      <c r="B3403" s="13"/>
      <c r="C3403" s="13"/>
      <c r="D3403" s="13"/>
      <c r="E3403" s="13"/>
      <c r="F3403" s="13"/>
      <c r="G3403" s="13"/>
      <c r="H3403" s="13"/>
      <c r="I3403" s="13"/>
      <c r="J3403" s="13"/>
      <c r="K3403" s="13"/>
      <c r="L3403" s="13"/>
      <c r="M3403" s="13"/>
      <c r="N3403" s="13"/>
    </row>
    <row r="3404" ht="15.75" hidden="1" customHeight="1">
      <c r="A3404" s="13"/>
      <c r="B3404" s="13"/>
      <c r="C3404" s="13"/>
      <c r="D3404" s="13"/>
      <c r="E3404" s="13"/>
      <c r="F3404" s="13"/>
      <c r="G3404" s="13"/>
      <c r="H3404" s="13"/>
      <c r="I3404" s="13"/>
      <c r="J3404" s="13"/>
      <c r="K3404" s="13"/>
      <c r="L3404" s="13"/>
      <c r="M3404" s="13"/>
      <c r="N3404" s="13"/>
    </row>
    <row r="3405" ht="15.75" hidden="1" customHeight="1">
      <c r="A3405" s="13"/>
      <c r="B3405" s="13"/>
      <c r="C3405" s="13"/>
      <c r="D3405" s="13"/>
      <c r="E3405" s="13"/>
      <c r="F3405" s="13"/>
      <c r="G3405" s="13"/>
      <c r="H3405" s="13"/>
      <c r="I3405" s="13"/>
      <c r="J3405" s="13"/>
      <c r="K3405" s="13"/>
      <c r="L3405" s="13"/>
      <c r="M3405" s="13"/>
      <c r="N3405" s="13"/>
    </row>
    <row r="3406" ht="15.75" hidden="1" customHeight="1">
      <c r="A3406" s="13"/>
      <c r="B3406" s="13"/>
      <c r="C3406" s="13"/>
      <c r="D3406" s="13"/>
      <c r="E3406" s="13"/>
      <c r="F3406" s="13"/>
      <c r="G3406" s="13"/>
      <c r="H3406" s="13"/>
      <c r="I3406" s="13"/>
      <c r="J3406" s="13"/>
      <c r="K3406" s="13"/>
      <c r="L3406" s="13"/>
      <c r="M3406" s="13"/>
      <c r="N3406" s="13"/>
    </row>
    <row r="3407" ht="15.75" hidden="1" customHeight="1">
      <c r="A3407" s="13"/>
      <c r="B3407" s="13"/>
      <c r="C3407" s="13"/>
      <c r="D3407" s="13"/>
      <c r="E3407" s="13"/>
      <c r="F3407" s="13"/>
      <c r="G3407" s="13"/>
      <c r="H3407" s="13"/>
      <c r="I3407" s="13"/>
      <c r="J3407" s="13"/>
      <c r="K3407" s="13"/>
      <c r="L3407" s="13"/>
      <c r="M3407" s="13"/>
      <c r="N3407" s="13"/>
    </row>
    <row r="3408" ht="15.75" hidden="1" customHeight="1">
      <c r="A3408" s="13"/>
      <c r="B3408" s="13"/>
      <c r="C3408" s="13"/>
      <c r="D3408" s="13"/>
      <c r="E3408" s="13"/>
      <c r="F3408" s="13"/>
      <c r="G3408" s="13"/>
      <c r="H3408" s="13"/>
      <c r="I3408" s="13"/>
      <c r="J3408" s="13"/>
      <c r="K3408" s="13"/>
      <c r="L3408" s="13"/>
      <c r="M3408" s="13"/>
      <c r="N3408" s="13"/>
    </row>
    <row r="3409" ht="15.75" hidden="1" customHeight="1">
      <c r="A3409" s="13"/>
      <c r="B3409" s="13"/>
      <c r="C3409" s="13"/>
      <c r="D3409" s="13"/>
      <c r="E3409" s="13"/>
      <c r="F3409" s="13"/>
      <c r="G3409" s="13"/>
      <c r="H3409" s="13"/>
      <c r="I3409" s="13"/>
      <c r="J3409" s="13"/>
      <c r="K3409" s="13"/>
      <c r="L3409" s="13"/>
      <c r="M3409" s="13"/>
      <c r="N3409" s="13"/>
    </row>
    <row r="3410" ht="15.75" hidden="1" customHeight="1">
      <c r="A3410" s="13"/>
      <c r="B3410" s="13"/>
      <c r="C3410" s="13"/>
      <c r="D3410" s="13"/>
      <c r="E3410" s="13"/>
      <c r="F3410" s="13"/>
      <c r="G3410" s="13"/>
      <c r="H3410" s="13"/>
      <c r="I3410" s="13"/>
      <c r="J3410" s="13"/>
      <c r="K3410" s="13"/>
      <c r="L3410" s="13"/>
      <c r="M3410" s="13"/>
      <c r="N3410" s="13"/>
    </row>
    <row r="3411" ht="15.75" hidden="1" customHeight="1">
      <c r="A3411" s="13"/>
      <c r="B3411" s="13"/>
      <c r="C3411" s="13"/>
      <c r="D3411" s="13"/>
      <c r="E3411" s="13"/>
      <c r="F3411" s="13"/>
      <c r="G3411" s="13"/>
      <c r="H3411" s="13"/>
      <c r="I3411" s="13"/>
      <c r="J3411" s="13"/>
      <c r="K3411" s="13"/>
      <c r="L3411" s="13"/>
      <c r="M3411" s="13"/>
      <c r="N3411" s="13"/>
    </row>
    <row r="3412" ht="15.75" hidden="1" customHeight="1">
      <c r="A3412" s="13"/>
      <c r="B3412" s="13"/>
      <c r="C3412" s="13"/>
      <c r="D3412" s="13"/>
      <c r="E3412" s="13"/>
      <c r="F3412" s="13"/>
      <c r="G3412" s="13"/>
      <c r="H3412" s="13"/>
      <c r="I3412" s="13"/>
      <c r="J3412" s="13"/>
      <c r="K3412" s="13"/>
      <c r="L3412" s="13"/>
      <c r="M3412" s="13"/>
      <c r="N3412" s="13"/>
    </row>
    <row r="3413" ht="15.75" hidden="1" customHeight="1">
      <c r="A3413" s="13"/>
      <c r="B3413" s="13"/>
      <c r="C3413" s="13"/>
      <c r="D3413" s="13"/>
      <c r="E3413" s="13"/>
      <c r="F3413" s="13"/>
      <c r="G3413" s="13"/>
      <c r="H3413" s="13"/>
      <c r="I3413" s="13"/>
      <c r="J3413" s="13"/>
      <c r="K3413" s="13"/>
      <c r="L3413" s="13"/>
      <c r="M3413" s="13"/>
      <c r="N3413" s="13"/>
    </row>
    <row r="3414" ht="15.75" hidden="1" customHeight="1">
      <c r="A3414" s="13"/>
      <c r="B3414" s="13"/>
      <c r="C3414" s="13"/>
      <c r="D3414" s="13"/>
      <c r="E3414" s="13"/>
      <c r="F3414" s="13"/>
      <c r="G3414" s="13"/>
      <c r="H3414" s="13"/>
      <c r="I3414" s="13"/>
      <c r="J3414" s="13"/>
      <c r="K3414" s="13"/>
      <c r="L3414" s="13"/>
      <c r="M3414" s="13"/>
      <c r="N3414" s="13"/>
    </row>
    <row r="3415" ht="15.75" hidden="1" customHeight="1">
      <c r="A3415" s="13"/>
      <c r="B3415" s="13"/>
      <c r="C3415" s="13"/>
      <c r="D3415" s="13"/>
      <c r="E3415" s="13"/>
      <c r="F3415" s="13"/>
      <c r="G3415" s="13"/>
      <c r="H3415" s="13"/>
      <c r="I3415" s="13"/>
      <c r="J3415" s="13"/>
      <c r="K3415" s="13"/>
      <c r="L3415" s="13"/>
      <c r="M3415" s="13"/>
      <c r="N3415" s="13"/>
    </row>
    <row r="3416" ht="15.75" hidden="1" customHeight="1">
      <c r="A3416" s="13"/>
      <c r="B3416" s="13"/>
      <c r="C3416" s="13"/>
      <c r="D3416" s="13"/>
      <c r="E3416" s="13"/>
      <c r="F3416" s="13"/>
      <c r="G3416" s="13"/>
      <c r="H3416" s="13"/>
      <c r="I3416" s="13"/>
      <c r="J3416" s="13"/>
      <c r="K3416" s="13"/>
      <c r="L3416" s="13"/>
      <c r="M3416" s="13"/>
      <c r="N3416" s="13"/>
    </row>
    <row r="3417" ht="15.75" hidden="1" customHeight="1">
      <c r="A3417" s="13"/>
      <c r="B3417" s="13"/>
      <c r="C3417" s="13"/>
      <c r="D3417" s="13"/>
      <c r="E3417" s="13"/>
      <c r="F3417" s="13"/>
      <c r="G3417" s="13"/>
      <c r="H3417" s="13"/>
      <c r="I3417" s="13"/>
      <c r="J3417" s="13"/>
      <c r="K3417" s="13"/>
      <c r="L3417" s="13"/>
      <c r="M3417" s="13"/>
      <c r="N3417" s="13"/>
    </row>
    <row r="3418" ht="15.75" hidden="1" customHeight="1">
      <c r="A3418" s="13"/>
      <c r="B3418" s="13"/>
      <c r="C3418" s="13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</row>
    <row r="3419" ht="15.75" hidden="1" customHeight="1">
      <c r="A3419" s="13"/>
      <c r="B3419" s="13"/>
      <c r="C3419" s="13"/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</row>
    <row r="3420" ht="15.75" hidden="1" customHeight="1">
      <c r="A3420" s="13"/>
      <c r="B3420" s="13"/>
      <c r="C3420" s="13"/>
      <c r="D3420" s="13"/>
      <c r="E3420" s="13"/>
      <c r="F3420" s="13"/>
      <c r="G3420" s="13"/>
      <c r="H3420" s="13"/>
      <c r="I3420" s="13"/>
      <c r="J3420" s="13"/>
      <c r="K3420" s="13"/>
      <c r="L3420" s="13"/>
      <c r="M3420" s="13"/>
      <c r="N3420" s="13"/>
    </row>
    <row r="3421" ht="15.75" hidden="1" customHeight="1">
      <c r="A3421" s="13"/>
      <c r="B3421" s="13"/>
      <c r="C3421" s="13"/>
      <c r="D3421" s="13"/>
      <c r="E3421" s="13"/>
      <c r="F3421" s="13"/>
      <c r="G3421" s="13"/>
      <c r="H3421" s="13"/>
      <c r="I3421" s="13"/>
      <c r="J3421" s="13"/>
      <c r="K3421" s="13"/>
      <c r="L3421" s="13"/>
      <c r="M3421" s="13"/>
      <c r="N3421" s="13"/>
    </row>
    <row r="3422" ht="15.75" hidden="1" customHeight="1">
      <c r="A3422" s="13"/>
      <c r="B3422" s="13"/>
      <c r="C3422" s="13"/>
      <c r="D3422" s="13"/>
      <c r="E3422" s="13"/>
      <c r="F3422" s="13"/>
      <c r="G3422" s="13"/>
      <c r="H3422" s="13"/>
      <c r="I3422" s="13"/>
      <c r="J3422" s="13"/>
      <c r="K3422" s="13"/>
      <c r="L3422" s="13"/>
      <c r="M3422" s="13"/>
      <c r="N3422" s="13"/>
    </row>
    <row r="3423" ht="15.75" hidden="1" customHeight="1">
      <c r="A3423" s="13"/>
      <c r="B3423" s="13"/>
      <c r="C3423" s="13"/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</row>
    <row r="3424" ht="15.75" hidden="1" customHeight="1">
      <c r="A3424" s="13"/>
      <c r="B3424" s="13"/>
      <c r="C3424" s="13"/>
      <c r="D3424" s="13"/>
      <c r="E3424" s="13"/>
      <c r="F3424" s="13"/>
      <c r="G3424" s="13"/>
      <c r="H3424" s="13"/>
      <c r="I3424" s="13"/>
      <c r="J3424" s="13"/>
      <c r="K3424" s="13"/>
      <c r="L3424" s="13"/>
      <c r="M3424" s="13"/>
      <c r="N3424" s="13"/>
    </row>
    <row r="3425" ht="15.75" hidden="1" customHeight="1">
      <c r="A3425" s="13"/>
      <c r="B3425" s="13"/>
      <c r="C3425" s="13"/>
      <c r="D3425" s="13"/>
      <c r="E3425" s="13"/>
      <c r="F3425" s="13"/>
      <c r="G3425" s="13"/>
      <c r="H3425" s="13"/>
      <c r="I3425" s="13"/>
      <c r="J3425" s="13"/>
      <c r="K3425" s="13"/>
      <c r="L3425" s="13"/>
      <c r="M3425" s="13"/>
      <c r="N3425" s="13"/>
    </row>
    <row r="3426" ht="15.75" hidden="1" customHeight="1">
      <c r="A3426" s="13"/>
      <c r="B3426" s="13"/>
      <c r="C3426" s="13"/>
      <c r="D3426" s="13"/>
      <c r="E3426" s="13"/>
      <c r="F3426" s="13"/>
      <c r="G3426" s="13"/>
      <c r="H3426" s="13"/>
      <c r="I3426" s="13"/>
      <c r="J3426" s="13"/>
      <c r="K3426" s="13"/>
      <c r="L3426" s="13"/>
      <c r="M3426" s="13"/>
      <c r="N3426" s="13"/>
    </row>
    <row r="3427" ht="15.75" hidden="1" customHeight="1">
      <c r="A3427" s="13"/>
      <c r="B3427" s="13"/>
      <c r="C3427" s="13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</row>
    <row r="3428" ht="15.75" hidden="1" customHeight="1">
      <c r="A3428" s="13"/>
      <c r="B3428" s="13"/>
      <c r="C3428" s="13"/>
      <c r="D3428" s="13"/>
      <c r="E3428" s="13"/>
      <c r="F3428" s="13"/>
      <c r="G3428" s="13"/>
      <c r="H3428" s="13"/>
      <c r="I3428" s="13"/>
      <c r="J3428" s="13"/>
      <c r="K3428" s="13"/>
      <c r="L3428" s="13"/>
      <c r="M3428" s="13"/>
      <c r="N3428" s="13"/>
    </row>
    <row r="3429" ht="15.75" hidden="1" customHeight="1">
      <c r="A3429" s="13"/>
      <c r="B3429" s="13"/>
      <c r="C3429" s="13"/>
      <c r="D3429" s="13"/>
      <c r="E3429" s="13"/>
      <c r="F3429" s="13"/>
      <c r="G3429" s="13"/>
      <c r="H3429" s="13"/>
      <c r="I3429" s="13"/>
      <c r="J3429" s="13"/>
      <c r="K3429" s="13"/>
      <c r="L3429" s="13"/>
      <c r="M3429" s="13"/>
      <c r="N3429" s="13"/>
    </row>
    <row r="3430" ht="15.75" hidden="1" customHeight="1">
      <c r="A3430" s="13"/>
      <c r="B3430" s="13"/>
      <c r="C3430" s="13"/>
      <c r="D3430" s="13"/>
      <c r="E3430" s="13"/>
      <c r="F3430" s="13"/>
      <c r="G3430" s="13"/>
      <c r="H3430" s="13"/>
      <c r="I3430" s="13"/>
      <c r="J3430" s="13"/>
      <c r="K3430" s="13"/>
      <c r="L3430" s="13"/>
      <c r="M3430" s="13"/>
      <c r="N3430" s="13"/>
    </row>
    <row r="3431" ht="15.75" hidden="1" customHeight="1">
      <c r="A3431" s="13"/>
      <c r="B3431" s="13"/>
      <c r="C3431" s="13"/>
      <c r="D3431" s="13"/>
      <c r="E3431" s="13"/>
      <c r="F3431" s="13"/>
      <c r="G3431" s="13"/>
      <c r="H3431" s="13"/>
      <c r="I3431" s="13"/>
      <c r="J3431" s="13"/>
      <c r="K3431" s="13"/>
      <c r="L3431" s="13"/>
      <c r="M3431" s="13"/>
      <c r="N3431" s="13"/>
    </row>
    <row r="3432" ht="15.75" hidden="1" customHeight="1">
      <c r="A3432" s="13"/>
      <c r="B3432" s="13"/>
      <c r="C3432" s="13"/>
      <c r="D3432" s="13"/>
      <c r="E3432" s="13"/>
      <c r="F3432" s="13"/>
      <c r="G3432" s="13"/>
      <c r="H3432" s="13"/>
      <c r="I3432" s="13"/>
      <c r="J3432" s="13"/>
      <c r="K3432" s="13"/>
      <c r="L3432" s="13"/>
      <c r="M3432" s="13"/>
      <c r="N3432" s="13"/>
    </row>
    <row r="3433" ht="15.75" hidden="1" customHeight="1">
      <c r="A3433" s="13"/>
      <c r="B3433" s="13"/>
      <c r="C3433" s="13"/>
      <c r="D3433" s="13"/>
      <c r="E3433" s="13"/>
      <c r="F3433" s="13"/>
      <c r="G3433" s="13"/>
      <c r="H3433" s="13"/>
      <c r="I3433" s="13"/>
      <c r="J3433" s="13"/>
      <c r="K3433" s="13"/>
      <c r="L3433" s="13"/>
      <c r="M3433" s="13"/>
      <c r="N3433" s="13"/>
    </row>
    <row r="3434" ht="15.75" hidden="1" customHeight="1">
      <c r="A3434" s="13"/>
      <c r="B3434" s="13"/>
      <c r="C3434" s="13"/>
      <c r="D3434" s="13"/>
      <c r="E3434" s="13"/>
      <c r="F3434" s="13"/>
      <c r="G3434" s="13"/>
      <c r="H3434" s="13"/>
      <c r="I3434" s="13"/>
      <c r="J3434" s="13"/>
      <c r="K3434" s="13"/>
      <c r="L3434" s="13"/>
      <c r="M3434" s="13"/>
      <c r="N3434" s="13"/>
    </row>
    <row r="3435" ht="15.75" hidden="1" customHeight="1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</row>
    <row r="3436" ht="15.75" hidden="1" customHeight="1">
      <c r="A3436" s="13"/>
      <c r="B3436" s="13"/>
      <c r="C3436" s="13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</row>
    <row r="3437" ht="15.75" hidden="1" customHeight="1">
      <c r="A3437" s="13"/>
      <c r="B3437" s="13"/>
      <c r="C3437" s="13"/>
      <c r="D3437" s="13"/>
      <c r="E3437" s="13"/>
      <c r="F3437" s="13"/>
      <c r="G3437" s="13"/>
      <c r="H3437" s="13"/>
      <c r="I3437" s="13"/>
      <c r="J3437" s="13"/>
      <c r="K3437" s="13"/>
      <c r="L3437" s="13"/>
      <c r="M3437" s="13"/>
      <c r="N3437" s="13"/>
    </row>
    <row r="3438" ht="15.75" hidden="1" customHeight="1">
      <c r="A3438" s="13"/>
      <c r="B3438" s="13"/>
      <c r="C3438" s="13"/>
      <c r="D3438" s="13"/>
      <c r="E3438" s="13"/>
      <c r="F3438" s="13"/>
      <c r="G3438" s="13"/>
      <c r="H3438" s="13"/>
      <c r="I3438" s="13"/>
      <c r="J3438" s="13"/>
      <c r="K3438" s="13"/>
      <c r="L3438" s="13"/>
      <c r="M3438" s="13"/>
      <c r="N3438" s="13"/>
    </row>
    <row r="3439" ht="15.75" hidden="1" customHeight="1">
      <c r="A3439" s="13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13"/>
    </row>
    <row r="3440" ht="15.75" hidden="1" customHeight="1">
      <c r="A3440" s="13"/>
      <c r="B3440" s="13"/>
      <c r="C3440" s="13"/>
      <c r="D3440" s="13"/>
      <c r="E3440" s="13"/>
      <c r="F3440" s="13"/>
      <c r="G3440" s="13"/>
      <c r="H3440" s="13"/>
      <c r="I3440" s="13"/>
      <c r="J3440" s="13"/>
      <c r="K3440" s="13"/>
      <c r="L3440" s="13"/>
      <c r="M3440" s="13"/>
      <c r="N3440" s="13"/>
    </row>
    <row r="3441" ht="15.75" hidden="1" customHeight="1">
      <c r="A3441" s="13"/>
      <c r="B3441" s="13"/>
      <c r="C3441" s="13"/>
      <c r="D3441" s="13"/>
      <c r="E3441" s="13"/>
      <c r="F3441" s="13"/>
      <c r="G3441" s="13"/>
      <c r="H3441" s="13"/>
      <c r="I3441" s="13"/>
      <c r="J3441" s="13"/>
      <c r="K3441" s="13"/>
      <c r="L3441" s="13"/>
      <c r="M3441" s="13"/>
      <c r="N3441" s="13"/>
    </row>
    <row r="3442" ht="15.75" hidden="1" customHeight="1">
      <c r="A3442" s="13"/>
      <c r="B3442" s="13"/>
      <c r="C3442" s="13"/>
      <c r="D3442" s="13"/>
      <c r="E3442" s="13"/>
      <c r="F3442" s="13"/>
      <c r="G3442" s="13"/>
      <c r="H3442" s="13"/>
      <c r="I3442" s="13"/>
      <c r="J3442" s="13"/>
      <c r="K3442" s="13"/>
      <c r="L3442" s="13"/>
      <c r="M3442" s="13"/>
      <c r="N3442" s="13"/>
    </row>
    <row r="3443" ht="15.75" hidden="1" customHeight="1">
      <c r="A3443" s="13"/>
      <c r="B3443" s="13"/>
      <c r="C3443" s="13"/>
      <c r="D3443" s="13"/>
      <c r="E3443" s="13"/>
      <c r="F3443" s="13"/>
      <c r="G3443" s="13"/>
      <c r="H3443" s="13"/>
      <c r="I3443" s="13"/>
      <c r="J3443" s="13"/>
      <c r="K3443" s="13"/>
      <c r="L3443" s="13"/>
      <c r="M3443" s="13"/>
      <c r="N3443" s="13"/>
    </row>
    <row r="3444" ht="15.75" hidden="1" customHeight="1">
      <c r="A3444" s="13"/>
      <c r="B3444" s="13"/>
      <c r="C3444" s="13"/>
      <c r="D3444" s="13"/>
      <c r="E3444" s="13"/>
      <c r="F3444" s="13"/>
      <c r="G3444" s="13"/>
      <c r="H3444" s="13"/>
      <c r="I3444" s="13"/>
      <c r="J3444" s="13"/>
      <c r="K3444" s="13"/>
      <c r="L3444" s="13"/>
      <c r="M3444" s="13"/>
      <c r="N3444" s="13"/>
    </row>
    <row r="3445" ht="15.75" hidden="1" customHeight="1">
      <c r="A3445" s="13"/>
      <c r="B3445" s="13"/>
      <c r="C3445" s="13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</row>
    <row r="3446" ht="15.75" hidden="1" customHeight="1">
      <c r="A3446" s="13"/>
      <c r="B3446" s="13"/>
      <c r="C3446" s="13"/>
      <c r="D3446" s="13"/>
      <c r="E3446" s="13"/>
      <c r="F3446" s="13"/>
      <c r="G3446" s="13"/>
      <c r="H3446" s="13"/>
      <c r="I3446" s="13"/>
      <c r="J3446" s="13"/>
      <c r="K3446" s="13"/>
      <c r="L3446" s="13"/>
      <c r="M3446" s="13"/>
      <c r="N3446" s="13"/>
    </row>
    <row r="3447" ht="15.75" hidden="1" customHeight="1">
      <c r="A3447" s="13"/>
      <c r="B3447" s="13"/>
      <c r="C3447" s="13"/>
      <c r="D3447" s="13"/>
      <c r="E3447" s="13"/>
      <c r="F3447" s="13"/>
      <c r="G3447" s="13"/>
      <c r="H3447" s="13"/>
      <c r="I3447" s="13"/>
      <c r="J3447" s="13"/>
      <c r="K3447" s="13"/>
      <c r="L3447" s="13"/>
      <c r="M3447" s="13"/>
      <c r="N3447" s="13"/>
    </row>
    <row r="3448" ht="15.75" hidden="1" customHeight="1">
      <c r="A3448" s="13"/>
      <c r="B3448" s="13"/>
      <c r="C3448" s="13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/>
    </row>
    <row r="3449" ht="15.75" hidden="1" customHeight="1">
      <c r="A3449" s="13"/>
      <c r="B3449" s="13"/>
      <c r="C3449" s="13"/>
      <c r="D3449" s="13"/>
      <c r="E3449" s="13"/>
      <c r="F3449" s="13"/>
      <c r="G3449" s="13"/>
      <c r="H3449" s="13"/>
      <c r="I3449" s="13"/>
      <c r="J3449" s="13"/>
      <c r="K3449" s="13"/>
      <c r="L3449" s="13"/>
      <c r="M3449" s="13"/>
      <c r="N3449" s="13"/>
    </row>
    <row r="3450" ht="15.75" hidden="1" customHeight="1">
      <c r="A3450" s="13"/>
      <c r="B3450" s="13"/>
      <c r="C3450" s="13"/>
      <c r="D3450" s="13"/>
      <c r="E3450" s="13"/>
      <c r="F3450" s="13"/>
      <c r="G3450" s="13"/>
      <c r="H3450" s="13"/>
      <c r="I3450" s="13"/>
      <c r="J3450" s="13"/>
      <c r="K3450" s="13"/>
      <c r="L3450" s="13"/>
      <c r="M3450" s="13"/>
      <c r="N3450" s="13"/>
    </row>
    <row r="3451" ht="15.75" hidden="1" customHeight="1">
      <c r="A3451" s="13"/>
      <c r="B3451" s="13"/>
      <c r="C3451" s="13"/>
      <c r="D3451" s="13"/>
      <c r="E3451" s="13"/>
      <c r="F3451" s="13"/>
      <c r="G3451" s="13"/>
      <c r="H3451" s="13"/>
      <c r="I3451" s="13"/>
      <c r="J3451" s="13"/>
      <c r="K3451" s="13"/>
      <c r="L3451" s="13"/>
      <c r="M3451" s="13"/>
      <c r="N3451" s="13"/>
    </row>
    <row r="3452" ht="15.75" hidden="1" customHeight="1">
      <c r="A3452" s="13"/>
      <c r="B3452" s="13"/>
      <c r="C3452" s="13"/>
      <c r="D3452" s="13"/>
      <c r="E3452" s="13"/>
      <c r="F3452" s="13"/>
      <c r="G3452" s="13"/>
      <c r="H3452" s="13"/>
      <c r="I3452" s="13"/>
      <c r="J3452" s="13"/>
      <c r="K3452" s="13"/>
      <c r="L3452" s="13"/>
      <c r="M3452" s="13"/>
      <c r="N3452" s="13"/>
    </row>
    <row r="3453" ht="15.75" hidden="1" customHeight="1">
      <c r="A3453" s="13"/>
      <c r="B3453" s="13"/>
      <c r="C3453" s="13"/>
      <c r="D3453" s="13"/>
      <c r="E3453" s="13"/>
      <c r="F3453" s="13"/>
      <c r="G3453" s="13"/>
      <c r="H3453" s="13"/>
      <c r="I3453" s="13"/>
      <c r="J3453" s="13"/>
      <c r="K3453" s="13"/>
      <c r="L3453" s="13"/>
      <c r="M3453" s="13"/>
      <c r="N3453" s="13"/>
    </row>
    <row r="3454" ht="15.75" hidden="1" customHeight="1">
      <c r="A3454" s="13"/>
      <c r="B3454" s="13"/>
      <c r="C3454" s="13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</row>
    <row r="3455" ht="15.75" hidden="1" customHeight="1">
      <c r="A3455" s="13"/>
      <c r="B3455" s="13"/>
      <c r="C3455" s="13"/>
      <c r="D3455" s="13"/>
      <c r="E3455" s="13"/>
      <c r="F3455" s="13"/>
      <c r="G3455" s="13"/>
      <c r="H3455" s="13"/>
      <c r="I3455" s="13"/>
      <c r="J3455" s="13"/>
      <c r="K3455" s="13"/>
      <c r="L3455" s="13"/>
      <c r="M3455" s="13"/>
      <c r="N3455" s="13"/>
    </row>
    <row r="3456" ht="15.75" hidden="1" customHeight="1">
      <c r="A3456" s="13"/>
      <c r="B3456" s="13"/>
      <c r="C3456" s="13"/>
      <c r="D3456" s="13"/>
      <c r="E3456" s="13"/>
      <c r="F3456" s="13"/>
      <c r="G3456" s="13"/>
      <c r="H3456" s="13"/>
      <c r="I3456" s="13"/>
      <c r="J3456" s="13"/>
      <c r="K3456" s="13"/>
      <c r="L3456" s="13"/>
      <c r="M3456" s="13"/>
      <c r="N3456" s="13"/>
    </row>
    <row r="3457" ht="15.75" hidden="1" customHeight="1">
      <c r="A3457" s="13"/>
      <c r="B3457" s="13"/>
      <c r="C3457" s="13"/>
      <c r="D3457" s="13"/>
      <c r="E3457" s="13"/>
      <c r="F3457" s="13"/>
      <c r="G3457" s="13"/>
      <c r="H3457" s="13"/>
      <c r="I3457" s="13"/>
      <c r="J3457" s="13"/>
      <c r="K3457" s="13"/>
      <c r="L3457" s="13"/>
      <c r="M3457" s="13"/>
      <c r="N3457" s="13"/>
    </row>
    <row r="3458" ht="15.75" hidden="1" customHeight="1">
      <c r="A3458" s="13"/>
      <c r="B3458" s="13"/>
      <c r="C3458" s="13"/>
      <c r="D3458" s="13"/>
      <c r="E3458" s="13"/>
      <c r="F3458" s="13"/>
      <c r="G3458" s="13"/>
      <c r="H3458" s="13"/>
      <c r="I3458" s="13"/>
      <c r="J3458" s="13"/>
      <c r="K3458" s="13"/>
      <c r="L3458" s="13"/>
      <c r="M3458" s="13"/>
      <c r="N3458" s="13"/>
    </row>
    <row r="3459" ht="15.75" hidden="1" customHeight="1">
      <c r="A3459" s="13"/>
      <c r="B3459" s="13"/>
      <c r="C3459" s="13"/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</row>
    <row r="3460" ht="15.75" hidden="1" customHeight="1">
      <c r="A3460" s="13"/>
      <c r="B3460" s="13"/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</row>
    <row r="3461" ht="15.75" hidden="1" customHeight="1">
      <c r="A3461" s="13"/>
      <c r="B3461" s="13"/>
      <c r="C3461" s="13"/>
      <c r="D3461" s="13"/>
      <c r="E3461" s="13"/>
      <c r="F3461" s="13"/>
      <c r="G3461" s="13"/>
      <c r="H3461" s="13"/>
      <c r="I3461" s="13"/>
      <c r="J3461" s="13"/>
      <c r="K3461" s="13"/>
      <c r="L3461" s="13"/>
      <c r="M3461" s="13"/>
      <c r="N3461" s="13"/>
    </row>
    <row r="3462" ht="15.75" hidden="1" customHeight="1">
      <c r="A3462" s="13"/>
      <c r="B3462" s="13"/>
      <c r="C3462" s="13"/>
      <c r="D3462" s="13"/>
      <c r="E3462" s="13"/>
      <c r="F3462" s="13"/>
      <c r="G3462" s="13"/>
      <c r="H3462" s="13"/>
      <c r="I3462" s="13"/>
      <c r="J3462" s="13"/>
      <c r="K3462" s="13"/>
      <c r="L3462" s="13"/>
      <c r="M3462" s="13"/>
      <c r="N3462" s="13"/>
    </row>
    <row r="3463" ht="15.75" hidden="1" customHeight="1">
      <c r="A3463" s="13"/>
      <c r="B3463" s="13"/>
      <c r="C3463" s="13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</row>
    <row r="3464" ht="15.75" hidden="1" customHeight="1">
      <c r="A3464" s="13"/>
      <c r="B3464" s="13"/>
      <c r="C3464" s="13"/>
      <c r="D3464" s="13"/>
      <c r="E3464" s="13"/>
      <c r="F3464" s="13"/>
      <c r="G3464" s="13"/>
      <c r="H3464" s="13"/>
      <c r="I3464" s="13"/>
      <c r="J3464" s="13"/>
      <c r="K3464" s="13"/>
      <c r="L3464" s="13"/>
      <c r="M3464" s="13"/>
      <c r="N3464" s="13"/>
    </row>
    <row r="3465" ht="15.75" hidden="1" customHeight="1">
      <c r="A3465" s="13"/>
      <c r="B3465" s="13"/>
      <c r="C3465" s="13"/>
      <c r="D3465" s="13"/>
      <c r="E3465" s="13"/>
      <c r="F3465" s="13"/>
      <c r="G3465" s="13"/>
      <c r="H3465" s="13"/>
      <c r="I3465" s="13"/>
      <c r="J3465" s="13"/>
      <c r="K3465" s="13"/>
      <c r="L3465" s="13"/>
      <c r="M3465" s="13"/>
      <c r="N3465" s="13"/>
    </row>
    <row r="3466" ht="15.75" hidden="1" customHeight="1">
      <c r="A3466" s="13"/>
      <c r="B3466" s="13"/>
      <c r="C3466" s="13"/>
      <c r="D3466" s="13"/>
      <c r="E3466" s="13"/>
      <c r="F3466" s="13"/>
      <c r="G3466" s="13"/>
      <c r="H3466" s="13"/>
      <c r="I3466" s="13"/>
      <c r="J3466" s="13"/>
      <c r="K3466" s="13"/>
      <c r="L3466" s="13"/>
      <c r="M3466" s="13"/>
      <c r="N3466" s="13"/>
    </row>
    <row r="3467" ht="15.75" hidden="1" customHeight="1">
      <c r="A3467" s="13"/>
      <c r="B3467" s="13"/>
      <c r="C3467" s="13"/>
      <c r="D3467" s="13"/>
      <c r="E3467" s="13"/>
      <c r="F3467" s="13"/>
      <c r="G3467" s="13"/>
      <c r="H3467" s="13"/>
      <c r="I3467" s="13"/>
      <c r="J3467" s="13"/>
      <c r="K3467" s="13"/>
      <c r="L3467" s="13"/>
      <c r="M3467" s="13"/>
      <c r="N3467" s="13"/>
    </row>
    <row r="3468" ht="15.75" hidden="1" customHeight="1">
      <c r="A3468" s="13"/>
      <c r="B3468" s="13"/>
      <c r="C3468" s="13"/>
      <c r="D3468" s="13"/>
      <c r="E3468" s="13"/>
      <c r="F3468" s="13"/>
      <c r="G3468" s="13"/>
      <c r="H3468" s="13"/>
      <c r="I3468" s="13"/>
      <c r="J3468" s="13"/>
      <c r="K3468" s="13"/>
      <c r="L3468" s="13"/>
      <c r="M3468" s="13"/>
      <c r="N3468" s="13"/>
    </row>
    <row r="3469" ht="15.75" hidden="1" customHeight="1">
      <c r="A3469" s="13"/>
      <c r="B3469" s="13"/>
      <c r="C3469" s="13"/>
      <c r="D3469" s="13"/>
      <c r="E3469" s="13"/>
      <c r="F3469" s="13"/>
      <c r="G3469" s="13"/>
      <c r="H3469" s="13"/>
      <c r="I3469" s="13"/>
      <c r="J3469" s="13"/>
      <c r="K3469" s="13"/>
      <c r="L3469" s="13"/>
      <c r="M3469" s="13"/>
      <c r="N3469" s="13"/>
    </row>
    <row r="3470" ht="15.75" hidden="1" customHeight="1">
      <c r="A3470" s="13"/>
      <c r="B3470" s="13"/>
      <c r="C3470" s="13"/>
      <c r="D3470" s="13"/>
      <c r="E3470" s="13"/>
      <c r="F3470" s="13"/>
      <c r="G3470" s="13"/>
      <c r="H3470" s="13"/>
      <c r="I3470" s="13"/>
      <c r="J3470" s="13"/>
      <c r="K3470" s="13"/>
      <c r="L3470" s="13"/>
      <c r="M3470" s="13"/>
      <c r="N3470" s="13"/>
    </row>
    <row r="3471" ht="15.75" hidden="1" customHeight="1">
      <c r="A3471" s="13"/>
      <c r="B3471" s="13"/>
      <c r="C3471" s="13"/>
      <c r="D3471" s="13"/>
      <c r="E3471" s="13"/>
      <c r="F3471" s="13"/>
      <c r="G3471" s="13"/>
      <c r="H3471" s="13"/>
      <c r="I3471" s="13"/>
      <c r="J3471" s="13"/>
      <c r="K3471" s="13"/>
      <c r="L3471" s="13"/>
      <c r="M3471" s="13"/>
      <c r="N3471" s="13"/>
    </row>
    <row r="3472" ht="15.75" hidden="1" customHeight="1">
      <c r="A3472" s="13"/>
      <c r="B3472" s="13"/>
      <c r="C3472" s="13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</row>
    <row r="3473" ht="15.75" hidden="1" customHeight="1">
      <c r="A3473" s="13"/>
      <c r="B3473" s="13"/>
      <c r="C3473" s="13"/>
      <c r="D3473" s="13"/>
      <c r="E3473" s="13"/>
      <c r="F3473" s="13"/>
      <c r="G3473" s="13"/>
      <c r="H3473" s="13"/>
      <c r="I3473" s="13"/>
      <c r="J3473" s="13"/>
      <c r="K3473" s="13"/>
      <c r="L3473" s="13"/>
      <c r="M3473" s="13"/>
      <c r="N3473" s="13"/>
    </row>
    <row r="3474" ht="15.75" hidden="1" customHeight="1">
      <c r="A3474" s="13"/>
      <c r="B3474" s="13"/>
      <c r="C3474" s="13"/>
      <c r="D3474" s="13"/>
      <c r="E3474" s="13"/>
      <c r="F3474" s="13"/>
      <c r="G3474" s="13"/>
      <c r="H3474" s="13"/>
      <c r="I3474" s="13"/>
      <c r="J3474" s="13"/>
      <c r="K3474" s="13"/>
      <c r="L3474" s="13"/>
      <c r="M3474" s="13"/>
      <c r="N3474" s="13"/>
    </row>
    <row r="3475" ht="15.75" hidden="1" customHeight="1">
      <c r="A3475" s="13"/>
      <c r="B3475" s="13"/>
      <c r="C3475" s="13"/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</row>
    <row r="3476" ht="15.75" hidden="1" customHeight="1">
      <c r="A3476" s="13"/>
      <c r="B3476" s="13"/>
      <c r="C3476" s="13"/>
      <c r="D3476" s="13"/>
      <c r="E3476" s="13"/>
      <c r="F3476" s="13"/>
      <c r="G3476" s="13"/>
      <c r="H3476" s="13"/>
      <c r="I3476" s="13"/>
      <c r="J3476" s="13"/>
      <c r="K3476" s="13"/>
      <c r="L3476" s="13"/>
      <c r="M3476" s="13"/>
      <c r="N3476" s="13"/>
    </row>
    <row r="3477" ht="15.75" hidden="1" customHeight="1">
      <c r="A3477" s="13"/>
      <c r="B3477" s="13"/>
      <c r="C3477" s="13"/>
      <c r="D3477" s="13"/>
      <c r="E3477" s="13"/>
      <c r="F3477" s="13"/>
      <c r="G3477" s="13"/>
      <c r="H3477" s="13"/>
      <c r="I3477" s="13"/>
      <c r="J3477" s="13"/>
      <c r="K3477" s="13"/>
      <c r="L3477" s="13"/>
      <c r="M3477" s="13"/>
      <c r="N3477" s="13"/>
    </row>
    <row r="3478" ht="15.75" hidden="1" customHeight="1">
      <c r="A3478" s="13"/>
      <c r="B3478" s="13"/>
      <c r="C3478" s="13"/>
      <c r="D3478" s="13"/>
      <c r="E3478" s="13"/>
      <c r="F3478" s="13"/>
      <c r="G3478" s="13"/>
      <c r="H3478" s="13"/>
      <c r="I3478" s="13"/>
      <c r="J3478" s="13"/>
      <c r="K3478" s="13"/>
      <c r="L3478" s="13"/>
      <c r="M3478" s="13"/>
      <c r="N3478" s="13"/>
    </row>
    <row r="3479" ht="15.75" hidden="1" customHeight="1">
      <c r="A3479" s="13"/>
      <c r="B3479" s="13"/>
      <c r="C3479" s="13"/>
      <c r="D3479" s="13"/>
      <c r="E3479" s="13"/>
      <c r="F3479" s="13"/>
      <c r="G3479" s="13"/>
      <c r="H3479" s="13"/>
      <c r="I3479" s="13"/>
      <c r="J3479" s="13"/>
      <c r="K3479" s="13"/>
      <c r="L3479" s="13"/>
      <c r="M3479" s="13"/>
      <c r="N3479" s="13"/>
    </row>
    <row r="3480" ht="15.75" hidden="1" customHeight="1">
      <c r="A3480" s="13"/>
      <c r="B3480" s="13"/>
      <c r="C3480" s="13"/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</row>
    <row r="3481" ht="15.75" hidden="1" customHeight="1">
      <c r="A3481" s="13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13"/>
    </row>
    <row r="3482" ht="15.75" hidden="1" customHeight="1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</row>
    <row r="3483" ht="15.75" hidden="1" customHeight="1">
      <c r="A3483" s="13"/>
      <c r="B3483" s="13"/>
      <c r="C3483" s="13"/>
      <c r="D3483" s="13"/>
      <c r="E3483" s="13"/>
      <c r="F3483" s="13"/>
      <c r="G3483" s="13"/>
      <c r="H3483" s="13"/>
      <c r="I3483" s="13"/>
      <c r="J3483" s="13"/>
      <c r="K3483" s="13"/>
      <c r="L3483" s="13"/>
      <c r="M3483" s="13"/>
      <c r="N3483" s="13"/>
    </row>
    <row r="3484" ht="15.75" hidden="1" customHeight="1">
      <c r="A3484" s="13"/>
      <c r="B3484" s="13"/>
      <c r="C3484" s="13"/>
      <c r="D3484" s="13"/>
      <c r="E3484" s="13"/>
      <c r="F3484" s="13"/>
      <c r="G3484" s="13"/>
      <c r="H3484" s="13"/>
      <c r="I3484" s="13"/>
      <c r="J3484" s="13"/>
      <c r="K3484" s="13"/>
      <c r="L3484" s="13"/>
      <c r="M3484" s="13"/>
      <c r="N3484" s="13"/>
    </row>
    <row r="3485" ht="15.75" hidden="1" customHeight="1">
      <c r="A3485" s="13"/>
      <c r="B3485" s="13"/>
      <c r="C3485" s="13"/>
      <c r="D3485" s="13"/>
      <c r="E3485" s="13"/>
      <c r="F3485" s="13"/>
      <c r="G3485" s="13"/>
      <c r="H3485" s="13"/>
      <c r="I3485" s="13"/>
      <c r="J3485" s="13"/>
      <c r="K3485" s="13"/>
      <c r="L3485" s="13"/>
      <c r="M3485" s="13"/>
      <c r="N3485" s="13"/>
    </row>
    <row r="3486" ht="15.75" hidden="1" customHeight="1">
      <c r="A3486" s="13"/>
      <c r="B3486" s="13"/>
      <c r="C3486" s="13"/>
      <c r="D3486" s="13"/>
      <c r="E3486" s="13"/>
      <c r="F3486" s="13"/>
      <c r="G3486" s="13"/>
      <c r="H3486" s="13"/>
      <c r="I3486" s="13"/>
      <c r="J3486" s="13"/>
      <c r="K3486" s="13"/>
      <c r="L3486" s="13"/>
      <c r="M3486" s="13"/>
      <c r="N3486" s="13"/>
    </row>
    <row r="3487" ht="15.75" hidden="1" customHeight="1">
      <c r="A3487" s="13"/>
      <c r="B3487" s="13"/>
      <c r="C3487" s="13"/>
      <c r="D3487" s="13"/>
      <c r="E3487" s="13"/>
      <c r="F3487" s="13"/>
      <c r="G3487" s="13"/>
      <c r="H3487" s="13"/>
      <c r="I3487" s="13"/>
      <c r="J3487" s="13"/>
      <c r="K3487" s="13"/>
      <c r="L3487" s="13"/>
      <c r="M3487" s="13"/>
      <c r="N3487" s="13"/>
    </row>
    <row r="3488" ht="15.75" hidden="1" customHeight="1">
      <c r="A3488" s="13"/>
      <c r="B3488" s="13"/>
      <c r="C3488" s="13"/>
      <c r="D3488" s="13"/>
      <c r="E3488" s="13"/>
      <c r="F3488" s="13"/>
      <c r="G3488" s="13"/>
      <c r="H3488" s="13"/>
      <c r="I3488" s="13"/>
      <c r="J3488" s="13"/>
      <c r="K3488" s="13"/>
      <c r="L3488" s="13"/>
      <c r="M3488" s="13"/>
      <c r="N3488" s="13"/>
    </row>
    <row r="3489" ht="15.75" hidden="1" customHeight="1">
      <c r="A3489" s="13"/>
      <c r="B3489" s="13"/>
      <c r="C3489" s="13"/>
      <c r="D3489" s="13"/>
      <c r="E3489" s="13"/>
      <c r="F3489" s="13"/>
      <c r="G3489" s="13"/>
      <c r="H3489" s="13"/>
      <c r="I3489" s="13"/>
      <c r="J3489" s="13"/>
      <c r="K3489" s="13"/>
      <c r="L3489" s="13"/>
      <c r="M3489" s="13"/>
      <c r="N3489" s="13"/>
    </row>
    <row r="3490" ht="15.75" hidden="1" customHeight="1">
      <c r="A3490" s="13"/>
      <c r="B3490" s="13"/>
      <c r="C3490" s="13"/>
      <c r="D3490" s="13"/>
      <c r="E3490" s="13"/>
      <c r="F3490" s="13"/>
      <c r="G3490" s="13"/>
      <c r="H3490" s="13"/>
      <c r="I3490" s="13"/>
      <c r="J3490" s="13"/>
      <c r="K3490" s="13"/>
      <c r="L3490" s="13"/>
      <c r="M3490" s="13"/>
      <c r="N3490" s="13"/>
    </row>
    <row r="3491" ht="15.75" hidden="1" customHeight="1">
      <c r="A3491" s="13"/>
      <c r="B3491" s="13"/>
      <c r="C3491" s="13"/>
      <c r="D3491" s="13"/>
      <c r="E3491" s="13"/>
      <c r="F3491" s="13"/>
      <c r="G3491" s="13"/>
      <c r="H3491" s="13"/>
      <c r="I3491" s="13"/>
      <c r="J3491" s="13"/>
      <c r="K3491" s="13"/>
      <c r="L3491" s="13"/>
      <c r="M3491" s="13"/>
      <c r="N3491" s="13"/>
    </row>
    <row r="3492" ht="15.75" hidden="1" customHeight="1">
      <c r="A3492" s="13"/>
      <c r="B3492" s="13"/>
      <c r="C3492" s="13"/>
      <c r="D3492" s="13"/>
      <c r="E3492" s="13"/>
      <c r="F3492" s="13"/>
      <c r="G3492" s="13"/>
      <c r="H3492" s="13"/>
      <c r="I3492" s="13"/>
      <c r="J3492" s="13"/>
      <c r="K3492" s="13"/>
      <c r="L3492" s="13"/>
      <c r="M3492" s="13"/>
      <c r="N3492" s="13"/>
    </row>
    <row r="3493" ht="15.75" hidden="1" customHeight="1">
      <c r="A3493" s="13"/>
      <c r="B3493" s="13"/>
      <c r="C3493" s="13"/>
      <c r="D3493" s="13"/>
      <c r="E3493" s="13"/>
      <c r="F3493" s="13"/>
      <c r="G3493" s="13"/>
      <c r="H3493" s="13"/>
      <c r="I3493" s="13"/>
      <c r="J3493" s="13"/>
      <c r="K3493" s="13"/>
      <c r="L3493" s="13"/>
      <c r="M3493" s="13"/>
      <c r="N3493" s="13"/>
    </row>
    <row r="3494" ht="15.75" hidden="1" customHeight="1">
      <c r="A3494" s="13"/>
      <c r="B3494" s="13"/>
      <c r="C3494" s="13"/>
      <c r="D3494" s="13"/>
      <c r="E3494" s="13"/>
      <c r="F3494" s="13"/>
      <c r="G3494" s="13"/>
      <c r="H3494" s="13"/>
      <c r="I3494" s="13"/>
      <c r="J3494" s="13"/>
      <c r="K3494" s="13"/>
      <c r="L3494" s="13"/>
      <c r="M3494" s="13"/>
      <c r="N3494" s="13"/>
    </row>
    <row r="3495" ht="15.75" hidden="1" customHeight="1">
      <c r="A3495" s="13"/>
      <c r="B3495" s="13"/>
      <c r="C3495" s="13"/>
      <c r="D3495" s="13"/>
      <c r="E3495" s="13"/>
      <c r="F3495" s="13"/>
      <c r="G3495" s="13"/>
      <c r="H3495" s="13"/>
      <c r="I3495" s="13"/>
      <c r="J3495" s="13"/>
      <c r="K3495" s="13"/>
      <c r="L3495" s="13"/>
      <c r="M3495" s="13"/>
      <c r="N3495" s="13"/>
    </row>
    <row r="3496" ht="15.75" hidden="1" customHeight="1">
      <c r="A3496" s="13"/>
      <c r="B3496" s="13"/>
      <c r="C3496" s="13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</row>
    <row r="3497" ht="15.75" hidden="1" customHeight="1">
      <c r="A3497" s="13"/>
      <c r="B3497" s="13"/>
      <c r="C3497" s="13"/>
      <c r="D3497" s="13"/>
      <c r="E3497" s="13"/>
      <c r="F3497" s="13"/>
      <c r="G3497" s="13"/>
      <c r="H3497" s="13"/>
      <c r="I3497" s="13"/>
      <c r="J3497" s="13"/>
      <c r="K3497" s="13"/>
      <c r="L3497" s="13"/>
      <c r="M3497" s="13"/>
      <c r="N3497" s="13"/>
    </row>
    <row r="3498" ht="15.75" hidden="1" customHeight="1">
      <c r="A3498" s="13"/>
      <c r="B3498" s="13"/>
      <c r="C3498" s="13"/>
      <c r="D3498" s="13"/>
      <c r="E3498" s="13"/>
      <c r="F3498" s="13"/>
      <c r="G3498" s="13"/>
      <c r="H3498" s="13"/>
      <c r="I3498" s="13"/>
      <c r="J3498" s="13"/>
      <c r="K3498" s="13"/>
      <c r="L3498" s="13"/>
      <c r="M3498" s="13"/>
      <c r="N3498" s="13"/>
    </row>
    <row r="3499" ht="15.75" hidden="1" customHeight="1">
      <c r="A3499" s="13"/>
      <c r="B3499" s="13"/>
      <c r="C3499" s="13"/>
      <c r="D3499" s="13"/>
      <c r="E3499" s="13"/>
      <c r="F3499" s="13"/>
      <c r="G3499" s="13"/>
      <c r="H3499" s="13"/>
      <c r="I3499" s="13"/>
      <c r="J3499" s="13"/>
      <c r="K3499" s="13"/>
      <c r="L3499" s="13"/>
      <c r="M3499" s="13"/>
      <c r="N3499" s="13"/>
    </row>
    <row r="3500" ht="15.75" hidden="1" customHeight="1">
      <c r="A3500" s="13"/>
      <c r="B3500" s="13"/>
      <c r="C3500" s="13"/>
      <c r="D3500" s="13"/>
      <c r="E3500" s="13"/>
      <c r="F3500" s="13"/>
      <c r="G3500" s="13"/>
      <c r="H3500" s="13"/>
      <c r="I3500" s="13"/>
      <c r="J3500" s="13"/>
      <c r="K3500" s="13"/>
      <c r="L3500" s="13"/>
      <c r="M3500" s="13"/>
      <c r="N3500" s="13"/>
    </row>
    <row r="3501" ht="15.75" hidden="1" customHeight="1">
      <c r="A3501" s="13"/>
      <c r="B3501" s="13"/>
      <c r="C3501" s="13"/>
      <c r="D3501" s="13"/>
      <c r="E3501" s="13"/>
      <c r="F3501" s="13"/>
      <c r="G3501" s="13"/>
      <c r="H3501" s="13"/>
      <c r="I3501" s="13"/>
      <c r="J3501" s="13"/>
      <c r="K3501" s="13"/>
      <c r="L3501" s="13"/>
      <c r="M3501" s="13"/>
      <c r="N3501" s="13"/>
    </row>
    <row r="3502" ht="15.75" hidden="1" customHeight="1">
      <c r="A3502" s="13"/>
      <c r="B3502" s="13"/>
      <c r="C3502" s="13"/>
      <c r="D3502" s="13"/>
      <c r="E3502" s="13"/>
      <c r="F3502" s="13"/>
      <c r="G3502" s="13"/>
      <c r="H3502" s="13"/>
      <c r="I3502" s="13"/>
      <c r="J3502" s="13"/>
      <c r="K3502" s="13"/>
      <c r="L3502" s="13"/>
      <c r="M3502" s="13"/>
      <c r="N3502" s="13"/>
    </row>
    <row r="3503" ht="15.75" hidden="1" customHeight="1">
      <c r="A3503" s="13"/>
      <c r="B3503" s="13"/>
      <c r="C3503" s="13"/>
      <c r="D3503" s="13"/>
      <c r="E3503" s="13"/>
      <c r="F3503" s="13"/>
      <c r="G3503" s="13"/>
      <c r="H3503" s="13"/>
      <c r="I3503" s="13"/>
      <c r="J3503" s="13"/>
      <c r="K3503" s="13"/>
      <c r="L3503" s="13"/>
      <c r="M3503" s="13"/>
      <c r="N3503" s="13"/>
    </row>
    <row r="3504" ht="15.75" hidden="1" customHeight="1">
      <c r="A3504" s="13"/>
      <c r="B3504" s="13"/>
      <c r="C3504" s="13"/>
      <c r="D3504" s="13"/>
      <c r="E3504" s="13"/>
      <c r="F3504" s="13"/>
      <c r="G3504" s="13"/>
      <c r="H3504" s="13"/>
      <c r="I3504" s="13"/>
      <c r="J3504" s="13"/>
      <c r="K3504" s="13"/>
      <c r="L3504" s="13"/>
      <c r="M3504" s="13"/>
      <c r="N3504" s="13"/>
    </row>
    <row r="3505" ht="15.75" hidden="1" customHeight="1">
      <c r="A3505" s="13"/>
      <c r="B3505" s="13"/>
      <c r="C3505" s="13"/>
      <c r="D3505" s="13"/>
      <c r="E3505" s="13"/>
      <c r="F3505" s="13"/>
      <c r="G3505" s="13"/>
      <c r="H3505" s="13"/>
      <c r="I3505" s="13"/>
      <c r="J3505" s="13"/>
      <c r="K3505" s="13"/>
      <c r="L3505" s="13"/>
      <c r="M3505" s="13"/>
      <c r="N3505" s="13"/>
    </row>
    <row r="3506" ht="15.75" hidden="1" customHeight="1">
      <c r="A3506" s="13"/>
      <c r="B3506" s="13"/>
      <c r="C3506" s="13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</row>
    <row r="3507" ht="15.75" hidden="1" customHeight="1">
      <c r="A3507" s="13"/>
      <c r="B3507" s="13"/>
      <c r="C3507" s="13"/>
      <c r="D3507" s="13"/>
      <c r="E3507" s="13"/>
      <c r="F3507" s="13"/>
      <c r="G3507" s="13"/>
      <c r="H3507" s="13"/>
      <c r="I3507" s="13"/>
      <c r="J3507" s="13"/>
      <c r="K3507" s="13"/>
      <c r="L3507" s="13"/>
      <c r="M3507" s="13"/>
      <c r="N3507" s="13"/>
    </row>
    <row r="3508" ht="15.75" hidden="1" customHeight="1">
      <c r="A3508" s="13"/>
      <c r="B3508" s="13"/>
      <c r="C3508" s="13"/>
      <c r="D3508" s="13"/>
      <c r="E3508" s="13"/>
      <c r="F3508" s="13"/>
      <c r="G3508" s="13"/>
      <c r="H3508" s="13"/>
      <c r="I3508" s="13"/>
      <c r="J3508" s="13"/>
      <c r="K3508" s="13"/>
      <c r="L3508" s="13"/>
      <c r="M3508" s="13"/>
      <c r="N3508" s="13"/>
    </row>
    <row r="3509" ht="15.75" hidden="1" customHeight="1">
      <c r="A3509" s="13"/>
      <c r="B3509" s="13"/>
      <c r="C3509" s="13"/>
      <c r="D3509" s="13"/>
      <c r="E3509" s="13"/>
      <c r="F3509" s="13"/>
      <c r="G3509" s="13"/>
      <c r="H3509" s="13"/>
      <c r="I3509" s="13"/>
      <c r="J3509" s="13"/>
      <c r="K3509" s="13"/>
      <c r="L3509" s="13"/>
      <c r="M3509" s="13"/>
      <c r="N3509" s="13"/>
    </row>
    <row r="3510" ht="15.75" hidden="1" customHeight="1">
      <c r="A3510" s="13"/>
      <c r="B3510" s="13"/>
      <c r="C3510" s="13"/>
      <c r="D3510" s="13"/>
      <c r="E3510" s="13"/>
      <c r="F3510" s="13"/>
      <c r="G3510" s="13"/>
      <c r="H3510" s="13"/>
      <c r="I3510" s="13"/>
      <c r="J3510" s="13"/>
      <c r="K3510" s="13"/>
      <c r="L3510" s="13"/>
      <c r="M3510" s="13"/>
      <c r="N3510" s="13"/>
    </row>
    <row r="3511" ht="15.75" hidden="1" customHeight="1">
      <c r="A3511" s="13"/>
      <c r="B3511" s="13"/>
      <c r="C3511" s="13"/>
      <c r="D3511" s="13"/>
      <c r="E3511" s="13"/>
      <c r="F3511" s="13"/>
      <c r="G3511" s="13"/>
      <c r="H3511" s="13"/>
      <c r="I3511" s="13"/>
      <c r="J3511" s="13"/>
      <c r="K3511" s="13"/>
      <c r="L3511" s="13"/>
      <c r="M3511" s="13"/>
      <c r="N3511" s="13"/>
    </row>
    <row r="3512" ht="15.75" hidden="1" customHeight="1">
      <c r="A3512" s="13"/>
      <c r="B3512" s="13"/>
      <c r="C3512" s="13"/>
      <c r="D3512" s="13"/>
      <c r="E3512" s="13"/>
      <c r="F3512" s="13"/>
      <c r="G3512" s="13"/>
      <c r="H3512" s="13"/>
      <c r="I3512" s="13"/>
      <c r="J3512" s="13"/>
      <c r="K3512" s="13"/>
      <c r="L3512" s="13"/>
      <c r="M3512" s="13"/>
      <c r="N3512" s="13"/>
    </row>
    <row r="3513" ht="15.75" hidden="1" customHeight="1">
      <c r="A3513" s="13"/>
      <c r="B3513" s="13"/>
      <c r="C3513" s="13"/>
      <c r="D3513" s="13"/>
      <c r="E3513" s="13"/>
      <c r="F3513" s="13"/>
      <c r="G3513" s="13"/>
      <c r="H3513" s="13"/>
      <c r="I3513" s="13"/>
      <c r="J3513" s="13"/>
      <c r="K3513" s="13"/>
      <c r="L3513" s="13"/>
      <c r="M3513" s="13"/>
      <c r="N3513" s="13"/>
    </row>
    <row r="3514" ht="15.75" hidden="1" customHeight="1">
      <c r="A3514" s="13"/>
      <c r="B3514" s="13"/>
      <c r="C3514" s="13"/>
      <c r="D3514" s="13"/>
      <c r="E3514" s="13"/>
      <c r="F3514" s="13"/>
      <c r="G3514" s="13"/>
      <c r="H3514" s="13"/>
      <c r="I3514" s="13"/>
      <c r="J3514" s="13"/>
      <c r="K3514" s="13"/>
      <c r="L3514" s="13"/>
      <c r="M3514" s="13"/>
      <c r="N3514" s="13"/>
    </row>
    <row r="3515" ht="15.75" hidden="1" customHeight="1">
      <c r="A3515" s="13"/>
      <c r="B3515" s="13"/>
      <c r="C3515" s="13"/>
      <c r="D3515" s="13"/>
      <c r="E3515" s="13"/>
      <c r="F3515" s="13"/>
      <c r="G3515" s="13"/>
      <c r="H3515" s="13"/>
      <c r="I3515" s="13"/>
      <c r="J3515" s="13"/>
      <c r="K3515" s="13"/>
      <c r="L3515" s="13"/>
      <c r="M3515" s="13"/>
      <c r="N3515" s="13"/>
    </row>
    <row r="3516" ht="15.75" hidden="1" customHeight="1">
      <c r="A3516" s="13"/>
      <c r="B3516" s="13"/>
      <c r="C3516" s="13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</row>
    <row r="3517" ht="15.75" hidden="1" customHeight="1">
      <c r="A3517" s="13"/>
      <c r="B3517" s="13"/>
      <c r="C3517" s="13"/>
      <c r="D3517" s="13"/>
      <c r="E3517" s="13"/>
      <c r="F3517" s="13"/>
      <c r="G3517" s="13"/>
      <c r="H3517" s="13"/>
      <c r="I3517" s="13"/>
      <c r="J3517" s="13"/>
      <c r="K3517" s="13"/>
      <c r="L3517" s="13"/>
      <c r="M3517" s="13"/>
      <c r="N3517" s="13"/>
    </row>
    <row r="3518" ht="15.75" hidden="1" customHeight="1">
      <c r="A3518" s="13"/>
      <c r="B3518" s="13"/>
      <c r="C3518" s="13"/>
      <c r="D3518" s="13"/>
      <c r="E3518" s="13"/>
      <c r="F3518" s="13"/>
      <c r="G3518" s="13"/>
      <c r="H3518" s="13"/>
      <c r="I3518" s="13"/>
      <c r="J3518" s="13"/>
      <c r="K3518" s="13"/>
      <c r="L3518" s="13"/>
      <c r="M3518" s="13"/>
      <c r="N3518" s="13"/>
    </row>
    <row r="3519" ht="15.75" hidden="1" customHeight="1">
      <c r="A3519" s="13"/>
      <c r="B3519" s="13"/>
      <c r="C3519" s="13"/>
      <c r="D3519" s="13"/>
      <c r="E3519" s="13"/>
      <c r="F3519" s="13"/>
      <c r="G3519" s="13"/>
      <c r="H3519" s="13"/>
      <c r="I3519" s="13"/>
      <c r="J3519" s="13"/>
      <c r="K3519" s="13"/>
      <c r="L3519" s="13"/>
      <c r="M3519" s="13"/>
      <c r="N3519" s="13"/>
    </row>
    <row r="3520" ht="15.75" hidden="1" customHeight="1">
      <c r="A3520" s="13"/>
      <c r="B3520" s="13"/>
      <c r="C3520" s="13"/>
      <c r="D3520" s="13"/>
      <c r="E3520" s="13"/>
      <c r="F3520" s="13"/>
      <c r="G3520" s="13"/>
      <c r="H3520" s="13"/>
      <c r="I3520" s="13"/>
      <c r="J3520" s="13"/>
      <c r="K3520" s="13"/>
      <c r="L3520" s="13"/>
      <c r="M3520" s="13"/>
      <c r="N3520" s="13"/>
    </row>
    <row r="3521" ht="15.75" hidden="1" customHeight="1">
      <c r="A3521" s="13"/>
      <c r="B3521" s="13"/>
      <c r="C3521" s="13"/>
      <c r="D3521" s="13"/>
      <c r="E3521" s="13"/>
      <c r="F3521" s="13"/>
      <c r="G3521" s="13"/>
      <c r="H3521" s="13"/>
      <c r="I3521" s="13"/>
      <c r="J3521" s="13"/>
      <c r="K3521" s="13"/>
      <c r="L3521" s="13"/>
      <c r="M3521" s="13"/>
      <c r="N3521" s="13"/>
    </row>
    <row r="3522" ht="15.75" hidden="1" customHeight="1">
      <c r="A3522" s="13"/>
      <c r="B3522" s="13"/>
      <c r="C3522" s="13"/>
      <c r="D3522" s="13"/>
      <c r="E3522" s="13"/>
      <c r="F3522" s="13"/>
      <c r="G3522" s="13"/>
      <c r="H3522" s="13"/>
      <c r="I3522" s="13"/>
      <c r="J3522" s="13"/>
      <c r="K3522" s="13"/>
      <c r="L3522" s="13"/>
      <c r="M3522" s="13"/>
      <c r="N3522" s="13"/>
    </row>
    <row r="3523" ht="15.75" hidden="1" customHeight="1">
      <c r="A3523" s="13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13"/>
    </row>
    <row r="3524" ht="15.75" hidden="1" customHeight="1">
      <c r="A3524" s="13"/>
      <c r="B3524" s="13"/>
      <c r="C3524" s="13"/>
      <c r="D3524" s="13"/>
      <c r="E3524" s="13"/>
      <c r="F3524" s="13"/>
      <c r="G3524" s="13"/>
      <c r="H3524" s="13"/>
      <c r="I3524" s="13"/>
      <c r="J3524" s="13"/>
      <c r="K3524" s="13"/>
      <c r="L3524" s="13"/>
      <c r="M3524" s="13"/>
      <c r="N3524" s="13"/>
    </row>
    <row r="3525" ht="15.75" hidden="1" customHeight="1">
      <c r="A3525" s="13"/>
      <c r="B3525" s="13"/>
      <c r="C3525" s="13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</row>
    <row r="3526" ht="15.75" hidden="1" customHeight="1">
      <c r="A3526" s="13"/>
      <c r="B3526" s="13"/>
      <c r="C3526" s="13"/>
      <c r="D3526" s="13"/>
      <c r="E3526" s="13"/>
      <c r="F3526" s="13"/>
      <c r="G3526" s="13"/>
      <c r="H3526" s="13"/>
      <c r="I3526" s="13"/>
      <c r="J3526" s="13"/>
      <c r="K3526" s="13"/>
      <c r="L3526" s="13"/>
      <c r="M3526" s="13"/>
      <c r="N3526" s="13"/>
    </row>
    <row r="3527" ht="15.75" hidden="1" customHeight="1">
      <c r="A3527" s="13"/>
      <c r="B3527" s="13"/>
      <c r="C3527" s="13"/>
      <c r="D3527" s="13"/>
      <c r="E3527" s="13"/>
      <c r="F3527" s="13"/>
      <c r="G3527" s="13"/>
      <c r="H3527" s="13"/>
      <c r="I3527" s="13"/>
      <c r="J3527" s="13"/>
      <c r="K3527" s="13"/>
      <c r="L3527" s="13"/>
      <c r="M3527" s="13"/>
      <c r="N3527" s="13"/>
    </row>
    <row r="3528" ht="15.75" hidden="1" customHeight="1">
      <c r="A3528" s="13"/>
      <c r="B3528" s="13"/>
      <c r="C3528" s="13"/>
      <c r="D3528" s="13"/>
      <c r="E3528" s="13"/>
      <c r="F3528" s="13"/>
      <c r="G3528" s="13"/>
      <c r="H3528" s="13"/>
      <c r="I3528" s="13"/>
      <c r="J3528" s="13"/>
      <c r="K3528" s="13"/>
      <c r="L3528" s="13"/>
      <c r="M3528" s="13"/>
      <c r="N3528" s="13"/>
    </row>
    <row r="3529" ht="15.75" hidden="1" customHeight="1">
      <c r="A3529" s="13"/>
      <c r="B3529" s="13"/>
      <c r="C3529" s="13"/>
      <c r="D3529" s="13"/>
      <c r="E3529" s="13"/>
      <c r="F3529" s="13"/>
      <c r="G3529" s="13"/>
      <c r="H3529" s="13"/>
      <c r="I3529" s="13"/>
      <c r="J3529" s="13"/>
      <c r="K3529" s="13"/>
      <c r="L3529" s="13"/>
      <c r="M3529" s="13"/>
      <c r="N3529" s="13"/>
    </row>
    <row r="3530" ht="15.75" hidden="1" customHeight="1">
      <c r="A3530" s="13"/>
      <c r="B3530" s="13"/>
      <c r="C3530" s="13"/>
      <c r="D3530" s="13"/>
      <c r="E3530" s="13"/>
      <c r="F3530" s="13"/>
      <c r="G3530" s="13"/>
      <c r="H3530" s="13"/>
      <c r="I3530" s="13"/>
      <c r="J3530" s="13"/>
      <c r="K3530" s="13"/>
      <c r="L3530" s="13"/>
      <c r="M3530" s="13"/>
      <c r="N3530" s="13"/>
    </row>
    <row r="3531" ht="15.75" hidden="1" customHeight="1">
      <c r="A3531" s="13"/>
      <c r="B3531" s="13"/>
      <c r="C3531" s="13"/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</row>
    <row r="3532" ht="15.75" hidden="1" customHeight="1">
      <c r="A3532" s="13"/>
      <c r="B3532" s="13"/>
      <c r="C3532" s="13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</row>
    <row r="3533" ht="15.75" hidden="1" customHeight="1">
      <c r="A3533" s="13"/>
      <c r="B3533" s="13"/>
      <c r="C3533" s="13"/>
      <c r="D3533" s="13"/>
      <c r="E3533" s="13"/>
      <c r="F3533" s="13"/>
      <c r="G3533" s="13"/>
      <c r="H3533" s="13"/>
      <c r="I3533" s="13"/>
      <c r="J3533" s="13"/>
      <c r="K3533" s="13"/>
      <c r="L3533" s="13"/>
      <c r="M3533" s="13"/>
      <c r="N3533" s="13"/>
    </row>
    <row r="3534" ht="15.75" hidden="1" customHeight="1">
      <c r="A3534" s="13"/>
      <c r="B3534" s="13"/>
      <c r="C3534" s="13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</row>
    <row r="3535" ht="15.75" hidden="1" customHeight="1">
      <c r="A3535" s="13"/>
      <c r="B3535" s="13"/>
      <c r="C3535" s="13"/>
      <c r="D3535" s="13"/>
      <c r="E3535" s="13"/>
      <c r="F3535" s="13"/>
      <c r="G3535" s="13"/>
      <c r="H3535" s="13"/>
      <c r="I3535" s="13"/>
      <c r="J3535" s="13"/>
      <c r="K3535" s="13"/>
      <c r="L3535" s="13"/>
      <c r="M3535" s="13"/>
      <c r="N3535" s="13"/>
    </row>
    <row r="3536" ht="15.75" hidden="1" customHeight="1">
      <c r="A3536" s="13"/>
      <c r="B3536" s="13"/>
      <c r="C3536" s="13"/>
      <c r="D3536" s="13"/>
      <c r="E3536" s="13"/>
      <c r="F3536" s="13"/>
      <c r="G3536" s="13"/>
      <c r="H3536" s="13"/>
      <c r="I3536" s="13"/>
      <c r="J3536" s="13"/>
      <c r="K3536" s="13"/>
      <c r="L3536" s="13"/>
      <c r="M3536" s="13"/>
      <c r="N3536" s="13"/>
    </row>
    <row r="3537" ht="15.75" hidden="1" customHeight="1">
      <c r="A3537" s="13"/>
      <c r="B3537" s="13"/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</row>
    <row r="3538" ht="15.75" hidden="1" customHeight="1">
      <c r="A3538" s="13"/>
      <c r="B3538" s="13"/>
      <c r="C3538" s="13"/>
      <c r="D3538" s="13"/>
      <c r="E3538" s="13"/>
      <c r="F3538" s="13"/>
      <c r="G3538" s="13"/>
      <c r="H3538" s="13"/>
      <c r="I3538" s="13"/>
      <c r="J3538" s="13"/>
      <c r="K3538" s="13"/>
      <c r="L3538" s="13"/>
      <c r="M3538" s="13"/>
      <c r="N3538" s="13"/>
    </row>
    <row r="3539" ht="15.75" hidden="1" customHeight="1">
      <c r="A3539" s="13"/>
      <c r="B3539" s="13"/>
      <c r="C3539" s="13"/>
      <c r="D3539" s="13"/>
      <c r="E3539" s="13"/>
      <c r="F3539" s="13"/>
      <c r="G3539" s="13"/>
      <c r="H3539" s="13"/>
      <c r="I3539" s="13"/>
      <c r="J3539" s="13"/>
      <c r="K3539" s="13"/>
      <c r="L3539" s="13"/>
      <c r="M3539" s="13"/>
      <c r="N3539" s="13"/>
    </row>
    <row r="3540" ht="15.75" hidden="1" customHeight="1">
      <c r="A3540" s="13"/>
      <c r="B3540" s="13"/>
      <c r="C3540" s="13"/>
      <c r="D3540" s="13"/>
      <c r="E3540" s="13"/>
      <c r="F3540" s="13"/>
      <c r="G3540" s="13"/>
      <c r="H3540" s="13"/>
      <c r="I3540" s="13"/>
      <c r="J3540" s="13"/>
      <c r="K3540" s="13"/>
      <c r="L3540" s="13"/>
      <c r="M3540" s="13"/>
      <c r="N3540" s="13"/>
    </row>
    <row r="3541" ht="15.75" hidden="1" customHeight="1">
      <c r="A3541" s="13"/>
      <c r="B3541" s="13"/>
      <c r="C3541" s="13"/>
      <c r="D3541" s="13"/>
      <c r="E3541" s="13"/>
      <c r="F3541" s="13"/>
      <c r="G3541" s="13"/>
      <c r="H3541" s="13"/>
      <c r="I3541" s="13"/>
      <c r="J3541" s="13"/>
      <c r="K3541" s="13"/>
      <c r="L3541" s="13"/>
      <c r="M3541" s="13"/>
      <c r="N3541" s="13"/>
    </row>
    <row r="3542" ht="15.75" hidden="1" customHeight="1">
      <c r="A3542" s="13"/>
      <c r="B3542" s="13"/>
      <c r="C3542" s="13"/>
      <c r="D3542" s="13"/>
      <c r="E3542" s="13"/>
      <c r="F3542" s="13"/>
      <c r="G3542" s="13"/>
      <c r="H3542" s="13"/>
      <c r="I3542" s="13"/>
      <c r="J3542" s="13"/>
      <c r="K3542" s="13"/>
      <c r="L3542" s="13"/>
      <c r="M3542" s="13"/>
      <c r="N3542" s="13"/>
    </row>
    <row r="3543" ht="15.75" hidden="1" customHeight="1">
      <c r="A3543" s="13"/>
      <c r="B3543" s="13"/>
      <c r="C3543" s="13"/>
      <c r="D3543" s="13"/>
      <c r="E3543" s="13"/>
      <c r="F3543" s="13"/>
      <c r="G3543" s="13"/>
      <c r="H3543" s="13"/>
      <c r="I3543" s="13"/>
      <c r="J3543" s="13"/>
      <c r="K3543" s="13"/>
      <c r="L3543" s="13"/>
      <c r="M3543" s="13"/>
      <c r="N3543" s="13"/>
    </row>
    <row r="3544" ht="15.75" hidden="1" customHeight="1">
      <c r="A3544" s="13"/>
      <c r="B3544" s="13"/>
      <c r="C3544" s="13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</row>
    <row r="3545" ht="15.75" hidden="1" customHeight="1">
      <c r="A3545" s="13"/>
      <c r="B3545" s="13"/>
      <c r="C3545" s="13"/>
      <c r="D3545" s="13"/>
      <c r="E3545" s="13"/>
      <c r="F3545" s="13"/>
      <c r="G3545" s="13"/>
      <c r="H3545" s="13"/>
      <c r="I3545" s="13"/>
      <c r="J3545" s="13"/>
      <c r="K3545" s="13"/>
      <c r="L3545" s="13"/>
      <c r="M3545" s="13"/>
      <c r="N3545" s="13"/>
    </row>
    <row r="3546" ht="15.75" hidden="1" customHeight="1">
      <c r="A3546" s="13"/>
      <c r="B3546" s="13"/>
      <c r="C3546" s="13"/>
      <c r="D3546" s="13"/>
      <c r="E3546" s="13"/>
      <c r="F3546" s="13"/>
      <c r="G3546" s="13"/>
      <c r="H3546" s="13"/>
      <c r="I3546" s="13"/>
      <c r="J3546" s="13"/>
      <c r="K3546" s="13"/>
      <c r="L3546" s="13"/>
      <c r="M3546" s="13"/>
      <c r="N3546" s="13"/>
    </row>
    <row r="3547" ht="15.75" hidden="1" customHeight="1">
      <c r="A3547" s="13"/>
      <c r="B3547" s="13"/>
      <c r="C3547" s="13"/>
      <c r="D3547" s="13"/>
      <c r="E3547" s="13"/>
      <c r="F3547" s="13"/>
      <c r="G3547" s="13"/>
      <c r="H3547" s="13"/>
      <c r="I3547" s="13"/>
      <c r="J3547" s="13"/>
      <c r="K3547" s="13"/>
      <c r="L3547" s="13"/>
      <c r="M3547" s="13"/>
      <c r="N3547" s="13"/>
    </row>
    <row r="3548" ht="15.75" hidden="1" customHeight="1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</row>
    <row r="3549" ht="15.75" hidden="1" customHeight="1">
      <c r="A3549" s="13"/>
      <c r="B3549" s="13"/>
      <c r="C3549" s="13"/>
      <c r="D3549" s="13"/>
      <c r="E3549" s="13"/>
      <c r="F3549" s="13"/>
      <c r="G3549" s="13"/>
      <c r="H3549" s="13"/>
      <c r="I3549" s="13"/>
      <c r="J3549" s="13"/>
      <c r="K3549" s="13"/>
      <c r="L3549" s="13"/>
      <c r="M3549" s="13"/>
      <c r="N3549" s="13"/>
    </row>
    <row r="3550" ht="15.75" hidden="1" customHeight="1">
      <c r="A3550" s="13"/>
      <c r="B3550" s="13"/>
      <c r="C3550" s="13"/>
      <c r="D3550" s="13"/>
      <c r="E3550" s="13"/>
      <c r="F3550" s="13"/>
      <c r="G3550" s="13"/>
      <c r="H3550" s="13"/>
      <c r="I3550" s="13"/>
      <c r="J3550" s="13"/>
      <c r="K3550" s="13"/>
      <c r="L3550" s="13"/>
      <c r="M3550" s="13"/>
      <c r="N3550" s="13"/>
    </row>
    <row r="3551" ht="15.75" hidden="1" customHeight="1">
      <c r="A3551" s="13"/>
      <c r="B3551" s="13"/>
      <c r="C3551" s="13"/>
      <c r="D3551" s="13"/>
      <c r="E3551" s="13"/>
      <c r="F3551" s="13"/>
      <c r="G3551" s="13"/>
      <c r="H3551" s="13"/>
      <c r="I3551" s="13"/>
      <c r="J3551" s="13"/>
      <c r="K3551" s="13"/>
      <c r="L3551" s="13"/>
      <c r="M3551" s="13"/>
      <c r="N3551" s="13"/>
    </row>
    <row r="3552" ht="15.75" hidden="1" customHeight="1">
      <c r="A3552" s="13"/>
      <c r="B3552" s="13"/>
      <c r="C3552" s="13"/>
      <c r="D3552" s="13"/>
      <c r="E3552" s="13"/>
      <c r="F3552" s="13"/>
      <c r="G3552" s="13"/>
      <c r="H3552" s="13"/>
      <c r="I3552" s="13"/>
      <c r="J3552" s="13"/>
      <c r="K3552" s="13"/>
      <c r="L3552" s="13"/>
      <c r="M3552" s="13"/>
      <c r="N3552" s="13"/>
    </row>
    <row r="3553" ht="15.75" hidden="1" customHeight="1">
      <c r="A3553" s="13"/>
      <c r="B3553" s="13"/>
      <c r="C3553" s="13"/>
      <c r="D3553" s="13"/>
      <c r="E3553" s="13"/>
      <c r="F3553" s="13"/>
      <c r="G3553" s="13"/>
      <c r="H3553" s="13"/>
      <c r="I3553" s="13"/>
      <c r="J3553" s="13"/>
      <c r="K3553" s="13"/>
      <c r="L3553" s="13"/>
      <c r="M3553" s="13"/>
      <c r="N3553" s="13"/>
    </row>
    <row r="3554" ht="15.75" hidden="1" customHeight="1">
      <c r="A3554" s="13"/>
      <c r="B3554" s="13"/>
      <c r="C3554" s="13"/>
      <c r="D3554" s="13"/>
      <c r="E3554" s="13"/>
      <c r="F3554" s="13"/>
      <c r="G3554" s="13"/>
      <c r="H3554" s="13"/>
      <c r="I3554" s="13"/>
      <c r="J3554" s="13"/>
      <c r="K3554" s="13"/>
      <c r="L3554" s="13"/>
      <c r="M3554" s="13"/>
      <c r="N3554" s="13"/>
    </row>
    <row r="3555" ht="15.75" hidden="1" customHeight="1">
      <c r="A3555" s="13"/>
      <c r="B3555" s="13"/>
      <c r="C3555" s="13"/>
      <c r="D3555" s="13"/>
      <c r="E3555" s="13"/>
      <c r="F3555" s="13"/>
      <c r="G3555" s="13"/>
      <c r="H3555" s="13"/>
      <c r="I3555" s="13"/>
      <c r="J3555" s="13"/>
      <c r="K3555" s="13"/>
      <c r="L3555" s="13"/>
      <c r="M3555" s="13"/>
      <c r="N3555" s="13"/>
    </row>
    <row r="3556" ht="15.75" hidden="1" customHeight="1">
      <c r="A3556" s="13"/>
      <c r="B3556" s="13"/>
      <c r="C3556" s="13"/>
      <c r="D3556" s="13"/>
      <c r="E3556" s="13"/>
      <c r="F3556" s="13"/>
      <c r="G3556" s="13"/>
      <c r="H3556" s="13"/>
      <c r="I3556" s="13"/>
      <c r="J3556" s="13"/>
      <c r="K3556" s="13"/>
      <c r="L3556" s="13"/>
      <c r="M3556" s="13"/>
      <c r="N3556" s="13"/>
    </row>
    <row r="3557" ht="15.75" hidden="1" customHeight="1">
      <c r="A3557" s="13"/>
      <c r="B3557" s="13"/>
      <c r="C3557" s="13"/>
      <c r="D3557" s="13"/>
      <c r="E3557" s="13"/>
      <c r="F3557" s="13"/>
      <c r="G3557" s="13"/>
      <c r="H3557" s="13"/>
      <c r="I3557" s="13"/>
      <c r="J3557" s="13"/>
      <c r="K3557" s="13"/>
      <c r="L3557" s="13"/>
      <c r="M3557" s="13"/>
      <c r="N3557" s="13"/>
    </row>
    <row r="3558" ht="15.75" hidden="1" customHeight="1">
      <c r="A3558" s="13"/>
      <c r="B3558" s="13"/>
      <c r="C3558" s="13"/>
      <c r="D3558" s="13"/>
      <c r="E3558" s="13"/>
      <c r="F3558" s="13"/>
      <c r="G3558" s="13"/>
      <c r="H3558" s="13"/>
      <c r="I3558" s="13"/>
      <c r="J3558" s="13"/>
      <c r="K3558" s="13"/>
      <c r="L3558" s="13"/>
      <c r="M3558" s="13"/>
      <c r="N3558" s="13"/>
    </row>
    <row r="3559" ht="15.75" hidden="1" customHeight="1">
      <c r="A3559" s="13"/>
      <c r="B3559" s="13"/>
      <c r="C3559" s="13"/>
      <c r="D3559" s="13"/>
      <c r="E3559" s="13"/>
      <c r="F3559" s="13"/>
      <c r="G3559" s="13"/>
      <c r="H3559" s="13"/>
      <c r="I3559" s="13"/>
      <c r="J3559" s="13"/>
      <c r="K3559" s="13"/>
      <c r="L3559" s="13"/>
      <c r="M3559" s="13"/>
      <c r="N3559" s="13"/>
    </row>
    <row r="3560" ht="15.75" hidden="1" customHeight="1">
      <c r="A3560" s="13"/>
      <c r="B3560" s="13"/>
      <c r="C3560" s="13"/>
      <c r="D3560" s="13"/>
      <c r="E3560" s="13"/>
      <c r="F3560" s="13"/>
      <c r="G3560" s="13"/>
      <c r="H3560" s="13"/>
      <c r="I3560" s="13"/>
      <c r="J3560" s="13"/>
      <c r="K3560" s="13"/>
      <c r="L3560" s="13"/>
      <c r="M3560" s="13"/>
      <c r="N3560" s="13"/>
    </row>
    <row r="3561" ht="15.75" hidden="1" customHeight="1">
      <c r="A3561" s="13"/>
      <c r="B3561" s="13"/>
      <c r="C3561" s="13"/>
      <c r="D3561" s="13"/>
      <c r="E3561" s="13"/>
      <c r="F3561" s="13"/>
      <c r="G3561" s="13"/>
      <c r="H3561" s="13"/>
      <c r="I3561" s="13"/>
      <c r="J3561" s="13"/>
      <c r="K3561" s="13"/>
      <c r="L3561" s="13"/>
      <c r="M3561" s="13"/>
      <c r="N3561" s="13"/>
    </row>
    <row r="3562" ht="15.75" hidden="1" customHeight="1">
      <c r="A3562" s="13"/>
      <c r="B3562" s="13"/>
      <c r="C3562" s="13"/>
      <c r="D3562" s="13"/>
      <c r="E3562" s="13"/>
      <c r="F3562" s="13"/>
      <c r="G3562" s="13"/>
      <c r="H3562" s="13"/>
      <c r="I3562" s="13"/>
      <c r="J3562" s="13"/>
      <c r="K3562" s="13"/>
      <c r="L3562" s="13"/>
      <c r="M3562" s="13"/>
      <c r="N3562" s="13"/>
    </row>
    <row r="3563" ht="15.75" hidden="1" customHeight="1">
      <c r="A3563" s="13"/>
      <c r="B3563" s="13"/>
      <c r="C3563" s="13"/>
      <c r="D3563" s="13"/>
      <c r="E3563" s="13"/>
      <c r="F3563" s="13"/>
      <c r="G3563" s="13"/>
      <c r="H3563" s="13"/>
      <c r="I3563" s="13"/>
      <c r="J3563" s="13"/>
      <c r="K3563" s="13"/>
      <c r="L3563" s="13"/>
      <c r="M3563" s="13"/>
      <c r="N3563" s="13"/>
    </row>
    <row r="3564" ht="15.75" hidden="1" customHeight="1">
      <c r="A3564" s="13"/>
      <c r="B3564" s="13"/>
      <c r="C3564" s="13"/>
      <c r="D3564" s="13"/>
      <c r="E3564" s="13"/>
      <c r="F3564" s="13"/>
      <c r="G3564" s="13"/>
      <c r="H3564" s="13"/>
      <c r="I3564" s="13"/>
      <c r="J3564" s="13"/>
      <c r="K3564" s="13"/>
      <c r="L3564" s="13"/>
      <c r="M3564" s="13"/>
      <c r="N3564" s="13"/>
    </row>
    <row r="3565" ht="15.75" hidden="1" customHeight="1">
      <c r="A3565" s="13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13"/>
    </row>
    <row r="3566" ht="15.75" hidden="1" customHeight="1">
      <c r="A3566" s="13"/>
      <c r="B3566" s="13"/>
      <c r="C3566" s="13"/>
      <c r="D3566" s="13"/>
      <c r="E3566" s="13"/>
      <c r="F3566" s="13"/>
      <c r="G3566" s="13"/>
      <c r="H3566" s="13"/>
      <c r="I3566" s="13"/>
      <c r="J3566" s="13"/>
      <c r="K3566" s="13"/>
      <c r="L3566" s="13"/>
      <c r="M3566" s="13"/>
      <c r="N3566" s="13"/>
    </row>
    <row r="3567" ht="15.75" hidden="1" customHeight="1">
      <c r="A3567" s="13"/>
      <c r="B3567" s="13"/>
      <c r="C3567" s="13"/>
      <c r="D3567" s="13"/>
      <c r="E3567" s="13"/>
      <c r="F3567" s="13"/>
      <c r="G3567" s="13"/>
      <c r="H3567" s="13"/>
      <c r="I3567" s="13"/>
      <c r="J3567" s="13"/>
      <c r="K3567" s="13"/>
      <c r="L3567" s="13"/>
      <c r="M3567" s="13"/>
      <c r="N3567" s="13"/>
    </row>
    <row r="3568" ht="15.75" hidden="1" customHeight="1">
      <c r="A3568" s="13"/>
      <c r="B3568" s="13"/>
      <c r="C3568" s="13"/>
      <c r="D3568" s="13"/>
      <c r="E3568" s="13"/>
      <c r="F3568" s="13"/>
      <c r="G3568" s="13"/>
      <c r="H3568" s="13"/>
      <c r="I3568" s="13"/>
      <c r="J3568" s="13"/>
      <c r="K3568" s="13"/>
      <c r="L3568" s="13"/>
      <c r="M3568" s="13"/>
      <c r="N3568" s="13"/>
    </row>
    <row r="3569" ht="15.75" hidden="1" customHeight="1">
      <c r="A3569" s="13"/>
      <c r="B3569" s="13"/>
      <c r="C3569" s="13"/>
      <c r="D3569" s="13"/>
      <c r="E3569" s="13"/>
      <c r="F3569" s="13"/>
      <c r="G3569" s="13"/>
      <c r="H3569" s="13"/>
      <c r="I3569" s="13"/>
      <c r="J3569" s="13"/>
      <c r="K3569" s="13"/>
      <c r="L3569" s="13"/>
      <c r="M3569" s="13"/>
      <c r="N3569" s="13"/>
    </row>
    <row r="3570" ht="15.75" hidden="1" customHeight="1">
      <c r="A3570" s="13"/>
      <c r="B3570" s="13"/>
      <c r="C3570" s="13"/>
      <c r="D3570" s="13"/>
      <c r="E3570" s="13"/>
      <c r="F3570" s="13"/>
      <c r="G3570" s="13"/>
      <c r="H3570" s="13"/>
      <c r="I3570" s="13"/>
      <c r="J3570" s="13"/>
      <c r="K3570" s="13"/>
      <c r="L3570" s="13"/>
      <c r="M3570" s="13"/>
      <c r="N3570" s="13"/>
    </row>
    <row r="3571" ht="15.75" hidden="1" customHeight="1">
      <c r="A3571" s="13"/>
      <c r="B3571" s="13"/>
      <c r="C3571" s="13"/>
      <c r="D3571" s="13"/>
      <c r="E3571" s="13"/>
      <c r="F3571" s="13"/>
      <c r="G3571" s="13"/>
      <c r="H3571" s="13"/>
      <c r="I3571" s="13"/>
      <c r="J3571" s="13"/>
      <c r="K3571" s="13"/>
      <c r="L3571" s="13"/>
      <c r="M3571" s="13"/>
      <c r="N3571" s="13"/>
    </row>
    <row r="3572" ht="15.75" hidden="1" customHeight="1">
      <c r="A3572" s="13"/>
      <c r="B3572" s="13"/>
      <c r="C3572" s="13"/>
      <c r="D3572" s="13"/>
      <c r="E3572" s="13"/>
      <c r="F3572" s="13"/>
      <c r="G3572" s="13"/>
      <c r="H3572" s="13"/>
      <c r="I3572" s="13"/>
      <c r="J3572" s="13"/>
      <c r="K3572" s="13"/>
      <c r="L3572" s="13"/>
      <c r="M3572" s="13"/>
      <c r="N3572" s="13"/>
    </row>
    <row r="3573" ht="15.75" hidden="1" customHeight="1">
      <c r="A3573" s="13"/>
      <c r="B3573" s="13"/>
      <c r="C3573" s="13"/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</row>
    <row r="3574" ht="15.75" hidden="1" customHeight="1">
      <c r="A3574" s="13"/>
      <c r="B3574" s="13"/>
      <c r="C3574" s="13"/>
      <c r="D3574" s="13"/>
      <c r="E3574" s="13"/>
      <c r="F3574" s="13"/>
      <c r="G3574" s="13"/>
      <c r="H3574" s="13"/>
      <c r="I3574" s="13"/>
      <c r="J3574" s="13"/>
      <c r="K3574" s="13"/>
      <c r="L3574" s="13"/>
      <c r="M3574" s="13"/>
      <c r="N3574" s="13"/>
    </row>
    <row r="3575" ht="15.75" hidden="1" customHeight="1">
      <c r="A3575" s="13"/>
      <c r="B3575" s="13"/>
      <c r="C3575" s="13"/>
      <c r="D3575" s="13"/>
      <c r="E3575" s="13"/>
      <c r="F3575" s="13"/>
      <c r="G3575" s="13"/>
      <c r="H3575" s="13"/>
      <c r="I3575" s="13"/>
      <c r="J3575" s="13"/>
      <c r="K3575" s="13"/>
      <c r="L3575" s="13"/>
      <c r="M3575" s="13"/>
      <c r="N3575" s="13"/>
    </row>
    <row r="3576" ht="15.75" hidden="1" customHeight="1">
      <c r="A3576" s="13"/>
      <c r="B3576" s="13"/>
      <c r="C3576" s="13"/>
      <c r="D3576" s="13"/>
      <c r="E3576" s="13"/>
      <c r="F3576" s="13"/>
      <c r="G3576" s="13"/>
      <c r="H3576" s="13"/>
      <c r="I3576" s="13"/>
      <c r="J3576" s="13"/>
      <c r="K3576" s="13"/>
      <c r="L3576" s="13"/>
      <c r="M3576" s="13"/>
      <c r="N3576" s="13"/>
    </row>
    <row r="3577" ht="15.75" hidden="1" customHeight="1">
      <c r="A3577" s="13"/>
      <c r="B3577" s="13"/>
      <c r="C3577" s="13"/>
      <c r="D3577" s="13"/>
      <c r="E3577" s="13"/>
      <c r="F3577" s="13"/>
      <c r="G3577" s="13"/>
      <c r="H3577" s="13"/>
      <c r="I3577" s="13"/>
      <c r="J3577" s="13"/>
      <c r="K3577" s="13"/>
      <c r="L3577" s="13"/>
      <c r="M3577" s="13"/>
      <c r="N3577" s="13"/>
    </row>
    <row r="3578" ht="15.75" hidden="1" customHeight="1">
      <c r="A3578" s="13"/>
      <c r="B3578" s="13"/>
      <c r="C3578" s="13"/>
      <c r="D3578" s="13"/>
      <c r="E3578" s="13"/>
      <c r="F3578" s="13"/>
      <c r="G3578" s="13"/>
      <c r="H3578" s="13"/>
      <c r="I3578" s="13"/>
      <c r="J3578" s="13"/>
      <c r="K3578" s="13"/>
      <c r="L3578" s="13"/>
      <c r="M3578" s="13"/>
      <c r="N3578" s="13"/>
    </row>
    <row r="3579" ht="15.75" hidden="1" customHeight="1">
      <c r="A3579" s="13"/>
      <c r="B3579" s="13"/>
      <c r="C3579" s="13"/>
      <c r="D3579" s="13"/>
      <c r="E3579" s="13"/>
      <c r="F3579" s="13"/>
      <c r="G3579" s="13"/>
      <c r="H3579" s="13"/>
      <c r="I3579" s="13"/>
      <c r="J3579" s="13"/>
      <c r="K3579" s="13"/>
      <c r="L3579" s="13"/>
      <c r="M3579" s="13"/>
      <c r="N3579" s="13"/>
    </row>
    <row r="3580" ht="15.75" hidden="1" customHeight="1">
      <c r="A3580" s="13"/>
      <c r="B3580" s="13"/>
      <c r="C3580" s="13"/>
      <c r="D3580" s="13"/>
      <c r="E3580" s="13"/>
      <c r="F3580" s="13"/>
      <c r="G3580" s="13"/>
      <c r="H3580" s="13"/>
      <c r="I3580" s="13"/>
      <c r="J3580" s="13"/>
      <c r="K3580" s="13"/>
      <c r="L3580" s="13"/>
      <c r="M3580" s="13"/>
      <c r="N3580" s="13"/>
    </row>
    <row r="3581" ht="15.75" hidden="1" customHeight="1">
      <c r="A3581" s="13"/>
      <c r="B3581" s="13"/>
      <c r="C3581" s="13"/>
      <c r="D3581" s="13"/>
      <c r="E3581" s="13"/>
      <c r="F3581" s="13"/>
      <c r="G3581" s="13"/>
      <c r="H3581" s="13"/>
      <c r="I3581" s="13"/>
      <c r="J3581" s="13"/>
      <c r="K3581" s="13"/>
      <c r="L3581" s="13"/>
      <c r="M3581" s="13"/>
      <c r="N3581" s="13"/>
    </row>
    <row r="3582" ht="15.75" hidden="1" customHeight="1">
      <c r="A3582" s="13"/>
      <c r="B3582" s="13"/>
      <c r="C3582" s="13"/>
      <c r="D3582" s="13"/>
      <c r="E3582" s="13"/>
      <c r="F3582" s="13"/>
      <c r="G3582" s="13"/>
      <c r="H3582" s="13"/>
      <c r="I3582" s="13"/>
      <c r="J3582" s="13"/>
      <c r="K3582" s="13"/>
      <c r="L3582" s="13"/>
      <c r="M3582" s="13"/>
      <c r="N3582" s="13"/>
    </row>
    <row r="3583" ht="15.75" hidden="1" customHeight="1">
      <c r="A3583" s="13"/>
      <c r="B3583" s="13"/>
      <c r="C3583" s="13"/>
      <c r="D3583" s="13"/>
      <c r="E3583" s="13"/>
      <c r="F3583" s="13"/>
      <c r="G3583" s="13"/>
      <c r="H3583" s="13"/>
      <c r="I3583" s="13"/>
      <c r="J3583" s="13"/>
      <c r="K3583" s="13"/>
      <c r="L3583" s="13"/>
      <c r="M3583" s="13"/>
      <c r="N3583" s="13"/>
    </row>
    <row r="3584" ht="15.75" hidden="1" customHeight="1">
      <c r="A3584" s="13"/>
      <c r="B3584" s="13"/>
      <c r="C3584" s="13"/>
      <c r="D3584" s="13"/>
      <c r="E3584" s="13"/>
      <c r="F3584" s="13"/>
      <c r="G3584" s="13"/>
      <c r="H3584" s="13"/>
      <c r="I3584" s="13"/>
      <c r="J3584" s="13"/>
      <c r="K3584" s="13"/>
      <c r="L3584" s="13"/>
      <c r="M3584" s="13"/>
      <c r="N3584" s="13"/>
    </row>
    <row r="3585" ht="15.75" hidden="1" customHeight="1">
      <c r="A3585" s="13"/>
      <c r="B3585" s="13"/>
      <c r="C3585" s="13"/>
      <c r="D3585" s="13"/>
      <c r="E3585" s="13"/>
      <c r="F3585" s="13"/>
      <c r="G3585" s="13"/>
      <c r="H3585" s="13"/>
      <c r="I3585" s="13"/>
      <c r="J3585" s="13"/>
      <c r="K3585" s="13"/>
      <c r="L3585" s="13"/>
      <c r="M3585" s="13"/>
      <c r="N3585" s="13"/>
    </row>
    <row r="3586" ht="15.75" hidden="1" customHeight="1">
      <c r="A3586" s="13"/>
      <c r="B3586" s="13"/>
      <c r="C3586" s="13"/>
      <c r="D3586" s="13"/>
      <c r="E3586" s="13"/>
      <c r="F3586" s="13"/>
      <c r="G3586" s="13"/>
      <c r="H3586" s="13"/>
      <c r="I3586" s="13"/>
      <c r="J3586" s="13"/>
      <c r="K3586" s="13"/>
      <c r="L3586" s="13"/>
      <c r="M3586" s="13"/>
      <c r="N3586" s="13"/>
    </row>
    <row r="3587" ht="15.75" hidden="1" customHeight="1">
      <c r="A3587" s="13"/>
      <c r="B3587" s="13"/>
      <c r="C3587" s="13"/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</row>
    <row r="3588" ht="15.75" hidden="1" customHeight="1">
      <c r="A3588" s="13"/>
      <c r="B3588" s="13"/>
      <c r="C3588" s="13"/>
      <c r="D3588" s="13"/>
      <c r="E3588" s="13"/>
      <c r="F3588" s="13"/>
      <c r="G3588" s="13"/>
      <c r="H3588" s="13"/>
      <c r="I3588" s="13"/>
      <c r="J3588" s="13"/>
      <c r="K3588" s="13"/>
      <c r="L3588" s="13"/>
      <c r="M3588" s="13"/>
      <c r="N3588" s="13"/>
    </row>
    <row r="3589" ht="15.75" hidden="1" customHeight="1">
      <c r="A3589" s="13"/>
      <c r="B3589" s="13"/>
      <c r="C3589" s="13"/>
      <c r="D3589" s="13"/>
      <c r="E3589" s="13"/>
      <c r="F3589" s="13"/>
      <c r="G3589" s="13"/>
      <c r="H3589" s="13"/>
      <c r="I3589" s="13"/>
      <c r="J3589" s="13"/>
      <c r="K3589" s="13"/>
      <c r="L3589" s="13"/>
      <c r="M3589" s="13"/>
      <c r="N3589" s="13"/>
    </row>
    <row r="3590" ht="15.75" hidden="1" customHeight="1">
      <c r="A3590" s="13"/>
      <c r="B3590" s="13"/>
      <c r="C3590" s="13"/>
      <c r="D3590" s="13"/>
      <c r="E3590" s="13"/>
      <c r="F3590" s="13"/>
      <c r="G3590" s="13"/>
      <c r="H3590" s="13"/>
      <c r="I3590" s="13"/>
      <c r="J3590" s="13"/>
      <c r="K3590" s="13"/>
      <c r="L3590" s="13"/>
      <c r="M3590" s="13"/>
      <c r="N3590" s="13"/>
    </row>
    <row r="3591" ht="15.75" hidden="1" customHeight="1">
      <c r="A3591" s="13"/>
      <c r="B3591" s="13"/>
      <c r="C3591" s="13"/>
      <c r="D3591" s="13"/>
      <c r="E3591" s="13"/>
      <c r="F3591" s="13"/>
      <c r="G3591" s="13"/>
      <c r="H3591" s="13"/>
      <c r="I3591" s="13"/>
      <c r="J3591" s="13"/>
      <c r="K3591" s="13"/>
      <c r="L3591" s="13"/>
      <c r="M3591" s="13"/>
      <c r="N3591" s="13"/>
    </row>
    <row r="3592" ht="15.75" hidden="1" customHeight="1">
      <c r="A3592" s="13"/>
      <c r="B3592" s="13"/>
      <c r="C3592" s="13"/>
      <c r="D3592" s="13"/>
      <c r="E3592" s="13"/>
      <c r="F3592" s="13"/>
      <c r="G3592" s="13"/>
      <c r="H3592" s="13"/>
      <c r="I3592" s="13"/>
      <c r="J3592" s="13"/>
      <c r="K3592" s="13"/>
      <c r="L3592" s="13"/>
      <c r="M3592" s="13"/>
      <c r="N3592" s="13"/>
    </row>
    <row r="3593" ht="15.75" hidden="1" customHeight="1">
      <c r="A3593" s="13"/>
      <c r="B3593" s="13"/>
      <c r="C3593" s="13"/>
      <c r="D3593" s="13"/>
      <c r="E3593" s="13"/>
      <c r="F3593" s="13"/>
      <c r="G3593" s="13"/>
      <c r="H3593" s="13"/>
      <c r="I3593" s="13"/>
      <c r="J3593" s="13"/>
      <c r="K3593" s="13"/>
      <c r="L3593" s="13"/>
      <c r="M3593" s="13"/>
      <c r="N3593" s="13"/>
    </row>
    <row r="3594" ht="15.75" hidden="1" customHeight="1">
      <c r="A3594" s="13"/>
      <c r="B3594" s="13"/>
      <c r="C3594" s="13"/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</row>
    <row r="3595" ht="15.75" hidden="1" customHeight="1">
      <c r="A3595" s="13"/>
      <c r="B3595" s="13"/>
      <c r="C3595" s="13"/>
      <c r="D3595" s="13"/>
      <c r="E3595" s="13"/>
      <c r="F3595" s="13"/>
      <c r="G3595" s="13"/>
      <c r="H3595" s="13"/>
      <c r="I3595" s="13"/>
      <c r="J3595" s="13"/>
      <c r="K3595" s="13"/>
      <c r="L3595" s="13"/>
      <c r="M3595" s="13"/>
      <c r="N3595" s="13"/>
    </row>
    <row r="3596" ht="15.75" hidden="1" customHeight="1">
      <c r="A3596" s="13"/>
      <c r="B3596" s="13"/>
      <c r="C3596" s="13"/>
      <c r="D3596" s="13"/>
      <c r="E3596" s="13"/>
      <c r="F3596" s="13"/>
      <c r="G3596" s="13"/>
      <c r="H3596" s="13"/>
      <c r="I3596" s="13"/>
      <c r="J3596" s="13"/>
      <c r="K3596" s="13"/>
      <c r="L3596" s="13"/>
      <c r="M3596" s="13"/>
      <c r="N3596" s="13"/>
    </row>
    <row r="3597" ht="15.75" hidden="1" customHeight="1">
      <c r="A3597" s="13"/>
      <c r="B3597" s="13"/>
      <c r="C3597" s="13"/>
      <c r="D3597" s="13"/>
      <c r="E3597" s="13"/>
      <c r="F3597" s="13"/>
      <c r="G3597" s="13"/>
      <c r="H3597" s="13"/>
      <c r="I3597" s="13"/>
      <c r="J3597" s="13"/>
      <c r="K3597" s="13"/>
      <c r="L3597" s="13"/>
      <c r="M3597" s="13"/>
      <c r="N3597" s="13"/>
    </row>
    <row r="3598" ht="15.75" hidden="1" customHeight="1">
      <c r="A3598" s="13"/>
      <c r="B3598" s="13"/>
      <c r="C3598" s="13"/>
      <c r="D3598" s="13"/>
      <c r="E3598" s="13"/>
      <c r="F3598" s="13"/>
      <c r="G3598" s="13"/>
      <c r="H3598" s="13"/>
      <c r="I3598" s="13"/>
      <c r="J3598" s="13"/>
      <c r="K3598" s="13"/>
      <c r="L3598" s="13"/>
      <c r="M3598" s="13"/>
      <c r="N3598" s="13"/>
    </row>
    <row r="3599" ht="15.75" hidden="1" customHeight="1">
      <c r="A3599" s="13"/>
      <c r="B3599" s="13"/>
      <c r="C3599" s="13"/>
      <c r="D3599" s="13"/>
      <c r="E3599" s="13"/>
      <c r="F3599" s="13"/>
      <c r="G3599" s="13"/>
      <c r="H3599" s="13"/>
      <c r="I3599" s="13"/>
      <c r="J3599" s="13"/>
      <c r="K3599" s="13"/>
      <c r="L3599" s="13"/>
      <c r="M3599" s="13"/>
      <c r="N3599" s="13"/>
    </row>
    <row r="3600" ht="15.75" hidden="1" customHeight="1">
      <c r="A3600" s="13"/>
      <c r="B3600" s="13"/>
      <c r="C3600" s="13"/>
      <c r="D3600" s="13"/>
      <c r="E3600" s="13"/>
      <c r="F3600" s="13"/>
      <c r="G3600" s="13"/>
      <c r="H3600" s="13"/>
      <c r="I3600" s="13"/>
      <c r="J3600" s="13"/>
      <c r="K3600" s="13"/>
      <c r="L3600" s="13"/>
      <c r="M3600" s="13"/>
      <c r="N3600" s="13"/>
    </row>
    <row r="3601" ht="15.75" hidden="1" customHeight="1">
      <c r="A3601" s="13"/>
      <c r="B3601" s="13"/>
      <c r="C3601" s="13"/>
      <c r="D3601" s="13"/>
      <c r="E3601" s="13"/>
      <c r="F3601" s="13"/>
      <c r="G3601" s="13"/>
      <c r="H3601" s="13"/>
      <c r="I3601" s="13"/>
      <c r="J3601" s="13"/>
      <c r="K3601" s="13"/>
      <c r="L3601" s="13"/>
      <c r="M3601" s="13"/>
      <c r="N3601" s="13"/>
    </row>
    <row r="3602" ht="15.75" hidden="1" customHeight="1">
      <c r="A3602" s="13"/>
      <c r="B3602" s="13"/>
      <c r="C3602" s="13"/>
      <c r="D3602" s="13"/>
      <c r="E3602" s="13"/>
      <c r="F3602" s="13"/>
      <c r="G3602" s="13"/>
      <c r="H3602" s="13"/>
      <c r="I3602" s="13"/>
      <c r="J3602" s="13"/>
      <c r="K3602" s="13"/>
      <c r="L3602" s="13"/>
      <c r="M3602" s="13"/>
      <c r="N3602" s="13"/>
    </row>
    <row r="3603" ht="15.75" hidden="1" customHeight="1">
      <c r="A3603" s="13"/>
      <c r="B3603" s="13"/>
      <c r="C3603" s="13"/>
      <c r="D3603" s="13"/>
      <c r="E3603" s="13"/>
      <c r="F3603" s="13"/>
      <c r="G3603" s="13"/>
      <c r="H3603" s="13"/>
      <c r="I3603" s="13"/>
      <c r="J3603" s="13"/>
      <c r="K3603" s="13"/>
      <c r="L3603" s="13"/>
      <c r="M3603" s="13"/>
      <c r="N3603" s="13"/>
    </row>
    <row r="3604" ht="15.75" hidden="1" customHeight="1">
      <c r="A3604" s="13"/>
      <c r="B3604" s="13"/>
      <c r="C3604" s="13"/>
      <c r="D3604" s="13"/>
      <c r="E3604" s="13"/>
      <c r="F3604" s="13"/>
      <c r="G3604" s="13"/>
      <c r="H3604" s="13"/>
      <c r="I3604" s="13"/>
      <c r="J3604" s="13"/>
      <c r="K3604" s="13"/>
      <c r="L3604" s="13"/>
      <c r="M3604" s="13"/>
      <c r="N3604" s="13"/>
    </row>
    <row r="3605" ht="15.75" hidden="1" customHeight="1">
      <c r="A3605" s="13"/>
      <c r="B3605" s="13"/>
      <c r="C3605" s="13"/>
      <c r="D3605" s="13"/>
      <c r="E3605" s="13"/>
      <c r="F3605" s="13"/>
      <c r="G3605" s="13"/>
      <c r="H3605" s="13"/>
      <c r="I3605" s="13"/>
      <c r="J3605" s="13"/>
      <c r="K3605" s="13"/>
      <c r="L3605" s="13"/>
      <c r="M3605" s="13"/>
      <c r="N3605" s="13"/>
    </row>
    <row r="3606" ht="15.75" hidden="1" customHeight="1">
      <c r="A3606" s="13"/>
      <c r="B3606" s="13"/>
      <c r="C3606" s="13"/>
      <c r="D3606" s="13"/>
      <c r="E3606" s="13"/>
      <c r="F3606" s="13"/>
      <c r="G3606" s="13"/>
      <c r="H3606" s="13"/>
      <c r="I3606" s="13"/>
      <c r="J3606" s="13"/>
      <c r="K3606" s="13"/>
      <c r="L3606" s="13"/>
      <c r="M3606" s="13"/>
      <c r="N3606" s="13"/>
    </row>
    <row r="3607" ht="15.75" hidden="1" customHeight="1">
      <c r="A3607" s="13"/>
      <c r="B3607" s="13"/>
      <c r="C3607" s="13"/>
      <c r="D3607" s="13"/>
      <c r="E3607" s="13"/>
      <c r="F3607" s="13"/>
      <c r="G3607" s="13"/>
      <c r="H3607" s="13"/>
      <c r="I3607" s="13"/>
      <c r="J3607" s="13"/>
      <c r="K3607" s="13"/>
      <c r="L3607" s="13"/>
      <c r="M3607" s="13"/>
      <c r="N3607" s="13"/>
    </row>
    <row r="3608" ht="15.75" hidden="1" customHeight="1">
      <c r="A3608" s="13"/>
      <c r="B3608" s="13"/>
      <c r="C3608" s="13"/>
      <c r="D3608" s="13"/>
      <c r="E3608" s="13"/>
      <c r="F3608" s="13"/>
      <c r="G3608" s="13"/>
      <c r="H3608" s="13"/>
      <c r="I3608" s="13"/>
      <c r="J3608" s="13"/>
      <c r="K3608" s="13"/>
      <c r="L3608" s="13"/>
      <c r="M3608" s="13"/>
      <c r="N3608" s="13"/>
    </row>
    <row r="3609" ht="15.75" hidden="1" customHeight="1">
      <c r="A3609" s="13"/>
      <c r="B3609" s="13"/>
      <c r="C3609" s="13"/>
      <c r="D3609" s="13"/>
      <c r="E3609" s="13"/>
      <c r="F3609" s="13"/>
      <c r="G3609" s="13"/>
      <c r="H3609" s="13"/>
      <c r="I3609" s="13"/>
      <c r="J3609" s="13"/>
      <c r="K3609" s="13"/>
      <c r="L3609" s="13"/>
      <c r="M3609" s="13"/>
      <c r="N3609" s="13"/>
    </row>
    <row r="3610" ht="15.75" hidden="1" customHeight="1">
      <c r="A3610" s="13"/>
      <c r="B3610" s="13"/>
      <c r="C3610" s="13"/>
      <c r="D3610" s="13"/>
      <c r="E3610" s="13"/>
      <c r="F3610" s="13"/>
      <c r="G3610" s="13"/>
      <c r="H3610" s="13"/>
      <c r="I3610" s="13"/>
      <c r="J3610" s="13"/>
      <c r="K3610" s="13"/>
      <c r="L3610" s="13"/>
      <c r="M3610" s="13"/>
      <c r="N3610" s="13"/>
    </row>
    <row r="3611" ht="15.75" hidden="1" customHeight="1">
      <c r="A3611" s="13"/>
      <c r="B3611" s="13"/>
      <c r="C3611" s="13"/>
      <c r="D3611" s="13"/>
      <c r="E3611" s="13"/>
      <c r="F3611" s="13"/>
      <c r="G3611" s="13"/>
      <c r="H3611" s="13"/>
      <c r="I3611" s="13"/>
      <c r="J3611" s="13"/>
      <c r="K3611" s="13"/>
      <c r="L3611" s="13"/>
      <c r="M3611" s="13"/>
      <c r="N3611" s="13"/>
    </row>
    <row r="3612" ht="15.75" hidden="1" customHeight="1">
      <c r="A3612" s="13"/>
      <c r="B3612" s="13"/>
      <c r="C3612" s="13"/>
      <c r="D3612" s="13"/>
      <c r="E3612" s="13"/>
      <c r="F3612" s="13"/>
      <c r="G3612" s="13"/>
      <c r="H3612" s="13"/>
      <c r="I3612" s="13"/>
      <c r="J3612" s="13"/>
      <c r="K3612" s="13"/>
      <c r="L3612" s="13"/>
      <c r="M3612" s="13"/>
      <c r="N3612" s="13"/>
    </row>
    <row r="3613" ht="15.75" hidden="1" customHeight="1">
      <c r="A3613" s="13"/>
      <c r="B3613" s="13"/>
      <c r="C3613" s="13"/>
      <c r="D3613" s="13"/>
      <c r="E3613" s="13"/>
      <c r="F3613" s="13"/>
      <c r="G3613" s="13"/>
      <c r="H3613" s="13"/>
      <c r="I3613" s="13"/>
      <c r="J3613" s="13"/>
      <c r="K3613" s="13"/>
      <c r="L3613" s="13"/>
      <c r="M3613" s="13"/>
      <c r="N3613" s="13"/>
    </row>
    <row r="3614" ht="15.75" hidden="1" customHeight="1">
      <c r="A3614" s="13"/>
      <c r="B3614" s="13"/>
      <c r="C3614" s="13"/>
      <c r="D3614" s="13"/>
      <c r="E3614" s="13"/>
      <c r="F3614" s="13"/>
      <c r="G3614" s="13"/>
      <c r="H3614" s="13"/>
      <c r="I3614" s="13"/>
      <c r="J3614" s="13"/>
      <c r="K3614" s="13"/>
      <c r="L3614" s="13"/>
      <c r="M3614" s="13"/>
      <c r="N3614" s="13"/>
    </row>
    <row r="3615" ht="15.75" hidden="1" customHeight="1">
      <c r="A3615" s="13"/>
      <c r="B3615" s="13"/>
      <c r="C3615" s="13"/>
      <c r="D3615" s="13"/>
      <c r="E3615" s="13"/>
      <c r="F3615" s="13"/>
      <c r="G3615" s="13"/>
      <c r="H3615" s="13"/>
      <c r="I3615" s="13"/>
      <c r="J3615" s="13"/>
      <c r="K3615" s="13"/>
      <c r="L3615" s="13"/>
      <c r="M3615" s="13"/>
      <c r="N3615" s="13"/>
    </row>
    <row r="3616" ht="15.75" hidden="1" customHeight="1">
      <c r="A3616" s="13"/>
      <c r="B3616" s="13"/>
      <c r="C3616" s="13"/>
      <c r="D3616" s="13"/>
      <c r="E3616" s="13"/>
      <c r="F3616" s="13"/>
      <c r="G3616" s="13"/>
      <c r="H3616" s="13"/>
      <c r="I3616" s="13"/>
      <c r="J3616" s="13"/>
      <c r="K3616" s="13"/>
      <c r="L3616" s="13"/>
      <c r="M3616" s="13"/>
      <c r="N3616" s="13"/>
    </row>
    <row r="3617" ht="15.75" hidden="1" customHeight="1">
      <c r="A3617" s="13"/>
      <c r="B3617" s="13"/>
      <c r="C3617" s="13"/>
      <c r="D3617" s="13"/>
      <c r="E3617" s="13"/>
      <c r="F3617" s="13"/>
      <c r="G3617" s="13"/>
      <c r="H3617" s="13"/>
      <c r="I3617" s="13"/>
      <c r="J3617" s="13"/>
      <c r="K3617" s="13"/>
      <c r="L3617" s="13"/>
      <c r="M3617" s="13"/>
      <c r="N3617" s="13"/>
    </row>
    <row r="3618" ht="15.75" hidden="1" customHeight="1">
      <c r="A3618" s="13"/>
      <c r="B3618" s="13"/>
      <c r="C3618" s="13"/>
      <c r="D3618" s="13"/>
      <c r="E3618" s="13"/>
      <c r="F3618" s="13"/>
      <c r="G3618" s="13"/>
      <c r="H3618" s="13"/>
      <c r="I3618" s="13"/>
      <c r="J3618" s="13"/>
      <c r="K3618" s="13"/>
      <c r="L3618" s="13"/>
      <c r="M3618" s="13"/>
      <c r="N3618" s="13"/>
    </row>
    <row r="3619" ht="15.75" hidden="1" customHeight="1">
      <c r="A3619" s="13"/>
      <c r="B3619" s="13"/>
      <c r="C3619" s="13"/>
      <c r="D3619" s="13"/>
      <c r="E3619" s="13"/>
      <c r="F3619" s="13"/>
      <c r="G3619" s="13"/>
      <c r="H3619" s="13"/>
      <c r="I3619" s="13"/>
      <c r="J3619" s="13"/>
      <c r="K3619" s="13"/>
      <c r="L3619" s="13"/>
      <c r="M3619" s="13"/>
      <c r="N3619" s="13"/>
    </row>
    <row r="3620" ht="15.75" hidden="1" customHeight="1">
      <c r="A3620" s="13"/>
      <c r="B3620" s="13"/>
      <c r="C3620" s="13"/>
      <c r="D3620" s="13"/>
      <c r="E3620" s="13"/>
      <c r="F3620" s="13"/>
      <c r="G3620" s="13"/>
      <c r="H3620" s="13"/>
      <c r="I3620" s="13"/>
      <c r="J3620" s="13"/>
      <c r="K3620" s="13"/>
      <c r="L3620" s="13"/>
      <c r="M3620" s="13"/>
      <c r="N3620" s="13"/>
    </row>
    <row r="3621" ht="15.75" hidden="1" customHeight="1">
      <c r="A3621" s="13"/>
      <c r="B3621" s="13"/>
      <c r="C3621" s="13"/>
      <c r="D3621" s="13"/>
      <c r="E3621" s="13"/>
      <c r="F3621" s="13"/>
      <c r="G3621" s="13"/>
      <c r="H3621" s="13"/>
      <c r="I3621" s="13"/>
      <c r="J3621" s="13"/>
      <c r="K3621" s="13"/>
      <c r="L3621" s="13"/>
      <c r="M3621" s="13"/>
      <c r="N3621" s="13"/>
    </row>
    <row r="3622" ht="15.75" hidden="1" customHeight="1">
      <c r="A3622" s="13"/>
      <c r="B3622" s="13"/>
      <c r="C3622" s="13"/>
      <c r="D3622" s="13"/>
      <c r="E3622" s="13"/>
      <c r="F3622" s="13"/>
      <c r="G3622" s="13"/>
      <c r="H3622" s="13"/>
      <c r="I3622" s="13"/>
      <c r="J3622" s="13"/>
      <c r="K3622" s="13"/>
      <c r="L3622" s="13"/>
      <c r="M3622" s="13"/>
      <c r="N3622" s="13"/>
    </row>
    <row r="3623" ht="15.75" hidden="1" customHeight="1">
      <c r="A3623" s="13"/>
      <c r="B3623" s="13"/>
      <c r="C3623" s="13"/>
      <c r="D3623" s="13"/>
      <c r="E3623" s="13"/>
      <c r="F3623" s="13"/>
      <c r="G3623" s="13"/>
      <c r="H3623" s="13"/>
      <c r="I3623" s="13"/>
      <c r="J3623" s="13"/>
      <c r="K3623" s="13"/>
      <c r="L3623" s="13"/>
      <c r="M3623" s="13"/>
      <c r="N3623" s="13"/>
    </row>
    <row r="3624" ht="15.75" hidden="1" customHeight="1">
      <c r="A3624" s="13"/>
      <c r="B3624" s="13"/>
      <c r="C3624" s="13"/>
      <c r="D3624" s="13"/>
      <c r="E3624" s="13"/>
      <c r="F3624" s="13"/>
      <c r="G3624" s="13"/>
      <c r="H3624" s="13"/>
      <c r="I3624" s="13"/>
      <c r="J3624" s="13"/>
      <c r="K3624" s="13"/>
      <c r="L3624" s="13"/>
      <c r="M3624" s="13"/>
      <c r="N3624" s="13"/>
    </row>
    <row r="3625" ht="15.75" hidden="1" customHeight="1">
      <c r="A3625" s="13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</row>
    <row r="3626" ht="15.75" hidden="1" customHeight="1">
      <c r="A3626" s="13"/>
      <c r="B3626" s="13"/>
      <c r="C3626" s="13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</row>
    <row r="3627" ht="15.75" hidden="1" customHeight="1">
      <c r="A3627" s="13"/>
      <c r="B3627" s="13"/>
      <c r="C3627" s="13"/>
      <c r="D3627" s="13"/>
      <c r="E3627" s="13"/>
      <c r="F3627" s="13"/>
      <c r="G3627" s="13"/>
      <c r="H3627" s="13"/>
      <c r="I3627" s="13"/>
      <c r="J3627" s="13"/>
      <c r="K3627" s="13"/>
      <c r="L3627" s="13"/>
      <c r="M3627" s="13"/>
      <c r="N3627" s="13"/>
    </row>
    <row r="3628" ht="15.75" hidden="1" customHeight="1">
      <c r="A3628" s="13"/>
      <c r="B3628" s="13"/>
      <c r="C3628" s="13"/>
      <c r="D3628" s="13"/>
      <c r="E3628" s="13"/>
      <c r="F3628" s="13"/>
      <c r="G3628" s="13"/>
      <c r="H3628" s="13"/>
      <c r="I3628" s="13"/>
      <c r="J3628" s="13"/>
      <c r="K3628" s="13"/>
      <c r="L3628" s="13"/>
      <c r="M3628" s="13"/>
      <c r="N3628" s="13"/>
    </row>
    <row r="3629" ht="15.75" hidden="1" customHeight="1">
      <c r="A3629" s="13"/>
      <c r="B3629" s="13"/>
      <c r="C3629" s="13"/>
      <c r="D3629" s="13"/>
      <c r="E3629" s="13"/>
      <c r="F3629" s="13"/>
      <c r="G3629" s="13"/>
      <c r="H3629" s="13"/>
      <c r="I3629" s="13"/>
      <c r="J3629" s="13"/>
      <c r="K3629" s="13"/>
      <c r="L3629" s="13"/>
      <c r="M3629" s="13"/>
      <c r="N3629" s="13"/>
    </row>
    <row r="3630" ht="15.75" hidden="1" customHeight="1">
      <c r="A3630" s="13"/>
      <c r="B3630" s="13"/>
      <c r="C3630" s="13"/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</row>
    <row r="3631" ht="15.75" hidden="1" customHeight="1">
      <c r="A3631" s="13"/>
      <c r="B3631" s="13"/>
      <c r="C3631" s="13"/>
      <c r="D3631" s="13"/>
      <c r="E3631" s="13"/>
      <c r="F3631" s="13"/>
      <c r="G3631" s="13"/>
      <c r="H3631" s="13"/>
      <c r="I3631" s="13"/>
      <c r="J3631" s="13"/>
      <c r="K3631" s="13"/>
      <c r="L3631" s="13"/>
      <c r="M3631" s="13"/>
      <c r="N3631" s="13"/>
    </row>
    <row r="3632" ht="15.75" hidden="1" customHeight="1">
      <c r="A3632" s="13"/>
      <c r="B3632" s="13"/>
      <c r="C3632" s="13"/>
      <c r="D3632" s="13"/>
      <c r="E3632" s="13"/>
      <c r="F3632" s="13"/>
      <c r="G3632" s="13"/>
      <c r="H3632" s="13"/>
      <c r="I3632" s="13"/>
      <c r="J3632" s="13"/>
      <c r="K3632" s="13"/>
      <c r="L3632" s="13"/>
      <c r="M3632" s="13"/>
      <c r="N3632" s="13"/>
    </row>
    <row r="3633" ht="15.75" hidden="1" customHeight="1">
      <c r="A3633" s="13"/>
      <c r="B3633" s="13"/>
      <c r="C3633" s="13"/>
      <c r="D3633" s="13"/>
      <c r="E3633" s="13"/>
      <c r="F3633" s="13"/>
      <c r="G3633" s="13"/>
      <c r="H3633" s="13"/>
      <c r="I3633" s="13"/>
      <c r="J3633" s="13"/>
      <c r="K3633" s="13"/>
      <c r="L3633" s="13"/>
      <c r="M3633" s="13"/>
      <c r="N3633" s="13"/>
    </row>
    <row r="3634" ht="15.75" hidden="1" customHeight="1">
      <c r="A3634" s="13"/>
      <c r="B3634" s="13"/>
      <c r="C3634" s="13"/>
      <c r="D3634" s="13"/>
      <c r="E3634" s="13"/>
      <c r="F3634" s="13"/>
      <c r="G3634" s="13"/>
      <c r="H3634" s="13"/>
      <c r="I3634" s="13"/>
      <c r="J3634" s="13"/>
      <c r="K3634" s="13"/>
      <c r="L3634" s="13"/>
      <c r="M3634" s="13"/>
      <c r="N3634" s="13"/>
    </row>
    <row r="3635" ht="15.75" hidden="1" customHeight="1">
      <c r="A3635" s="13"/>
      <c r="B3635" s="13"/>
      <c r="C3635" s="13"/>
      <c r="D3635" s="13"/>
      <c r="E3635" s="13"/>
      <c r="F3635" s="13"/>
      <c r="G3635" s="13"/>
      <c r="H3635" s="13"/>
      <c r="I3635" s="13"/>
      <c r="J3635" s="13"/>
      <c r="K3635" s="13"/>
      <c r="L3635" s="13"/>
      <c r="M3635" s="13"/>
      <c r="N3635" s="13"/>
    </row>
    <row r="3636" ht="15.75" hidden="1" customHeight="1">
      <c r="A3636" s="13"/>
      <c r="B3636" s="13"/>
      <c r="C3636" s="13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</row>
    <row r="3637" ht="15.75" hidden="1" customHeight="1">
      <c r="A3637" s="13"/>
      <c r="B3637" s="13"/>
      <c r="C3637" s="13"/>
      <c r="D3637" s="13"/>
      <c r="E3637" s="13"/>
      <c r="F3637" s="13"/>
      <c r="G3637" s="13"/>
      <c r="H3637" s="13"/>
      <c r="I3637" s="13"/>
      <c r="J3637" s="13"/>
      <c r="K3637" s="13"/>
      <c r="L3637" s="13"/>
      <c r="M3637" s="13"/>
      <c r="N3637" s="13"/>
    </row>
    <row r="3638" ht="15.75" hidden="1" customHeight="1">
      <c r="A3638" s="13"/>
      <c r="B3638" s="13"/>
      <c r="C3638" s="13"/>
      <c r="D3638" s="13"/>
      <c r="E3638" s="13"/>
      <c r="F3638" s="13"/>
      <c r="G3638" s="13"/>
      <c r="H3638" s="13"/>
      <c r="I3638" s="13"/>
      <c r="J3638" s="13"/>
      <c r="K3638" s="13"/>
      <c r="L3638" s="13"/>
      <c r="M3638" s="13"/>
      <c r="N3638" s="13"/>
    </row>
    <row r="3639" ht="15.75" hidden="1" customHeight="1">
      <c r="A3639" s="13"/>
      <c r="B3639" s="13"/>
      <c r="C3639" s="13"/>
      <c r="D3639" s="13"/>
      <c r="E3639" s="13"/>
      <c r="F3639" s="13"/>
      <c r="G3639" s="13"/>
      <c r="H3639" s="13"/>
      <c r="I3639" s="13"/>
      <c r="J3639" s="13"/>
      <c r="K3639" s="13"/>
      <c r="L3639" s="13"/>
      <c r="M3639" s="13"/>
      <c r="N3639" s="13"/>
    </row>
    <row r="3640" ht="15.75" hidden="1" customHeight="1">
      <c r="A3640" s="13"/>
      <c r="B3640" s="13"/>
      <c r="C3640" s="13"/>
      <c r="D3640" s="13"/>
      <c r="E3640" s="13"/>
      <c r="F3640" s="13"/>
      <c r="G3640" s="13"/>
      <c r="H3640" s="13"/>
      <c r="I3640" s="13"/>
      <c r="J3640" s="13"/>
      <c r="K3640" s="13"/>
      <c r="L3640" s="13"/>
      <c r="M3640" s="13"/>
      <c r="N3640" s="13"/>
    </row>
    <row r="3641" ht="15.75" hidden="1" customHeight="1">
      <c r="A3641" s="13"/>
      <c r="B3641" s="13"/>
      <c r="C3641" s="13"/>
      <c r="D3641" s="13"/>
      <c r="E3641" s="13"/>
      <c r="F3641" s="13"/>
      <c r="G3641" s="13"/>
      <c r="H3641" s="13"/>
      <c r="I3641" s="13"/>
      <c r="J3641" s="13"/>
      <c r="K3641" s="13"/>
      <c r="L3641" s="13"/>
      <c r="M3641" s="13"/>
      <c r="N3641" s="13"/>
    </row>
    <row r="3642" ht="15.75" hidden="1" customHeight="1">
      <c r="A3642" s="13"/>
      <c r="B3642" s="13"/>
      <c r="C3642" s="13"/>
      <c r="D3642" s="13"/>
      <c r="E3642" s="13"/>
      <c r="F3642" s="13"/>
      <c r="G3642" s="13"/>
      <c r="H3642" s="13"/>
      <c r="I3642" s="13"/>
      <c r="J3642" s="13"/>
      <c r="K3642" s="13"/>
      <c r="L3642" s="13"/>
      <c r="M3642" s="13"/>
      <c r="N3642" s="13"/>
    </row>
    <row r="3643" ht="15.75" hidden="1" customHeight="1">
      <c r="A3643" s="13"/>
      <c r="B3643" s="13"/>
      <c r="C3643" s="13"/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</row>
    <row r="3644" ht="15.75" hidden="1" customHeight="1">
      <c r="A3644" s="13"/>
      <c r="B3644" s="13"/>
      <c r="C3644" s="13"/>
      <c r="D3644" s="13"/>
      <c r="E3644" s="13"/>
      <c r="F3644" s="13"/>
      <c r="G3644" s="13"/>
      <c r="H3644" s="13"/>
      <c r="I3644" s="13"/>
      <c r="J3644" s="13"/>
      <c r="K3644" s="13"/>
      <c r="L3644" s="13"/>
      <c r="M3644" s="13"/>
      <c r="N3644" s="13"/>
    </row>
    <row r="3645" ht="15.75" hidden="1" customHeight="1">
      <c r="A3645" s="13"/>
      <c r="B3645" s="13"/>
      <c r="C3645" s="13"/>
      <c r="D3645" s="13"/>
      <c r="E3645" s="13"/>
      <c r="F3645" s="13"/>
      <c r="G3645" s="13"/>
      <c r="H3645" s="13"/>
      <c r="I3645" s="13"/>
      <c r="J3645" s="13"/>
      <c r="K3645" s="13"/>
      <c r="L3645" s="13"/>
      <c r="M3645" s="13"/>
      <c r="N3645" s="13"/>
    </row>
    <row r="3646" ht="15.75" hidden="1" customHeight="1">
      <c r="A3646" s="13"/>
      <c r="B3646" s="13"/>
      <c r="C3646" s="13"/>
      <c r="D3646" s="13"/>
      <c r="E3646" s="13"/>
      <c r="F3646" s="13"/>
      <c r="G3646" s="13"/>
      <c r="H3646" s="13"/>
      <c r="I3646" s="13"/>
      <c r="J3646" s="13"/>
      <c r="K3646" s="13"/>
      <c r="L3646" s="13"/>
      <c r="M3646" s="13"/>
      <c r="N3646" s="13"/>
    </row>
    <row r="3647" ht="15.75" hidden="1" customHeight="1">
      <c r="A3647" s="13"/>
      <c r="B3647" s="13"/>
      <c r="C3647" s="13"/>
      <c r="D3647" s="13"/>
      <c r="E3647" s="13"/>
      <c r="F3647" s="13"/>
      <c r="G3647" s="13"/>
      <c r="H3647" s="13"/>
      <c r="I3647" s="13"/>
      <c r="J3647" s="13"/>
      <c r="K3647" s="13"/>
      <c r="L3647" s="13"/>
      <c r="M3647" s="13"/>
      <c r="N3647" s="13"/>
    </row>
    <row r="3648" ht="15.75" hidden="1" customHeight="1">
      <c r="A3648" s="13"/>
      <c r="B3648" s="13"/>
      <c r="C3648" s="13"/>
      <c r="D3648" s="13"/>
      <c r="E3648" s="13"/>
      <c r="F3648" s="13"/>
      <c r="G3648" s="13"/>
      <c r="H3648" s="13"/>
      <c r="I3648" s="13"/>
      <c r="J3648" s="13"/>
      <c r="K3648" s="13"/>
      <c r="L3648" s="13"/>
      <c r="M3648" s="13"/>
      <c r="N3648" s="13"/>
    </row>
    <row r="3649" ht="15.75" hidden="1" customHeight="1">
      <c r="A3649" s="13"/>
      <c r="B3649" s="13"/>
      <c r="C3649" s="13"/>
      <c r="D3649" s="13"/>
      <c r="E3649" s="13"/>
      <c r="F3649" s="13"/>
      <c r="G3649" s="13"/>
      <c r="H3649" s="13"/>
      <c r="I3649" s="13"/>
      <c r="J3649" s="13"/>
      <c r="K3649" s="13"/>
      <c r="L3649" s="13"/>
      <c r="M3649" s="13"/>
      <c r="N3649" s="13"/>
    </row>
    <row r="3650" ht="15.75" hidden="1" customHeight="1">
      <c r="A3650" s="13"/>
      <c r="B3650" s="13"/>
      <c r="C3650" s="13"/>
      <c r="D3650" s="13"/>
      <c r="E3650" s="13"/>
      <c r="F3650" s="13"/>
      <c r="G3650" s="13"/>
      <c r="H3650" s="13"/>
      <c r="I3650" s="13"/>
      <c r="J3650" s="13"/>
      <c r="K3650" s="13"/>
      <c r="L3650" s="13"/>
      <c r="M3650" s="13"/>
      <c r="N3650" s="13"/>
    </row>
    <row r="3651" ht="15.75" hidden="1" customHeight="1">
      <c r="A3651" s="13"/>
      <c r="B3651" s="13"/>
      <c r="C3651" s="13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</row>
    <row r="3652" ht="15.75" hidden="1" customHeight="1">
      <c r="A3652" s="13"/>
      <c r="B3652" s="13"/>
      <c r="C3652" s="13"/>
      <c r="D3652" s="13"/>
      <c r="E3652" s="13"/>
      <c r="F3652" s="13"/>
      <c r="G3652" s="13"/>
      <c r="H3652" s="13"/>
      <c r="I3652" s="13"/>
      <c r="J3652" s="13"/>
      <c r="K3652" s="13"/>
      <c r="L3652" s="13"/>
      <c r="M3652" s="13"/>
      <c r="N3652" s="13"/>
    </row>
    <row r="3653" ht="15.75" hidden="1" customHeight="1">
      <c r="A3653" s="13"/>
      <c r="B3653" s="13"/>
      <c r="C3653" s="13"/>
      <c r="D3653" s="13"/>
      <c r="E3653" s="13"/>
      <c r="F3653" s="13"/>
      <c r="G3653" s="13"/>
      <c r="H3653" s="13"/>
      <c r="I3653" s="13"/>
      <c r="J3653" s="13"/>
      <c r="K3653" s="13"/>
      <c r="L3653" s="13"/>
      <c r="M3653" s="13"/>
      <c r="N3653" s="13"/>
    </row>
    <row r="3654" ht="15.75" hidden="1" customHeight="1">
      <c r="A3654" s="13"/>
      <c r="B3654" s="13"/>
      <c r="C3654" s="13"/>
      <c r="D3654" s="13"/>
      <c r="E3654" s="13"/>
      <c r="F3654" s="13"/>
      <c r="G3654" s="13"/>
      <c r="H3654" s="13"/>
      <c r="I3654" s="13"/>
      <c r="J3654" s="13"/>
      <c r="K3654" s="13"/>
      <c r="L3654" s="13"/>
      <c r="M3654" s="13"/>
      <c r="N3654" s="13"/>
    </row>
    <row r="3655" ht="15.75" hidden="1" customHeight="1">
      <c r="A3655" s="13"/>
      <c r="B3655" s="13"/>
      <c r="C3655" s="13"/>
      <c r="D3655" s="13"/>
      <c r="E3655" s="13"/>
      <c r="F3655" s="13"/>
      <c r="G3655" s="13"/>
      <c r="H3655" s="13"/>
      <c r="I3655" s="13"/>
      <c r="J3655" s="13"/>
      <c r="K3655" s="13"/>
      <c r="L3655" s="13"/>
      <c r="M3655" s="13"/>
      <c r="N3655" s="13"/>
    </row>
    <row r="3656" ht="15.75" hidden="1" customHeight="1">
      <c r="A3656" s="13"/>
      <c r="B3656" s="13"/>
      <c r="C3656" s="13"/>
      <c r="D3656" s="13"/>
      <c r="E3656" s="13"/>
      <c r="F3656" s="13"/>
      <c r="G3656" s="13"/>
      <c r="H3656" s="13"/>
      <c r="I3656" s="13"/>
      <c r="J3656" s="13"/>
      <c r="K3656" s="13"/>
      <c r="L3656" s="13"/>
      <c r="M3656" s="13"/>
      <c r="N3656" s="13"/>
    </row>
    <row r="3657" ht="15.75" hidden="1" customHeight="1">
      <c r="A3657" s="13"/>
      <c r="B3657" s="13"/>
      <c r="C3657" s="13"/>
      <c r="D3657" s="13"/>
      <c r="E3657" s="13"/>
      <c r="F3657" s="13"/>
      <c r="G3657" s="13"/>
      <c r="H3657" s="13"/>
      <c r="I3657" s="13"/>
      <c r="J3657" s="13"/>
      <c r="K3657" s="13"/>
      <c r="L3657" s="13"/>
      <c r="M3657" s="13"/>
      <c r="N3657" s="13"/>
    </row>
    <row r="3658" ht="15.75" hidden="1" customHeight="1">
      <c r="A3658" s="13"/>
      <c r="B3658" s="13"/>
      <c r="C3658" s="13"/>
      <c r="D3658" s="13"/>
      <c r="E3658" s="13"/>
      <c r="F3658" s="13"/>
      <c r="G3658" s="13"/>
      <c r="H3658" s="13"/>
      <c r="I3658" s="13"/>
      <c r="J3658" s="13"/>
      <c r="K3658" s="13"/>
      <c r="L3658" s="13"/>
      <c r="M3658" s="13"/>
      <c r="N3658" s="13"/>
    </row>
    <row r="3659" ht="15.75" hidden="1" customHeight="1">
      <c r="A3659" s="13"/>
      <c r="B3659" s="13"/>
      <c r="C3659" s="13"/>
      <c r="D3659" s="13"/>
      <c r="E3659" s="13"/>
      <c r="F3659" s="13"/>
      <c r="G3659" s="13"/>
      <c r="H3659" s="13"/>
      <c r="I3659" s="13"/>
      <c r="J3659" s="13"/>
      <c r="K3659" s="13"/>
      <c r="L3659" s="13"/>
      <c r="M3659" s="13"/>
      <c r="N3659" s="13"/>
    </row>
    <row r="3660" ht="15.75" hidden="1" customHeight="1">
      <c r="A3660" s="13"/>
      <c r="B3660" s="13"/>
      <c r="C3660" s="13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</row>
    <row r="3661" ht="15.75" hidden="1" customHeight="1">
      <c r="A3661" s="13"/>
      <c r="B3661" s="13"/>
      <c r="C3661" s="13"/>
      <c r="D3661" s="13"/>
      <c r="E3661" s="13"/>
      <c r="F3661" s="13"/>
      <c r="G3661" s="13"/>
      <c r="H3661" s="13"/>
      <c r="I3661" s="13"/>
      <c r="J3661" s="13"/>
      <c r="K3661" s="13"/>
      <c r="L3661" s="13"/>
      <c r="M3661" s="13"/>
      <c r="N3661" s="13"/>
    </row>
    <row r="3662" ht="15.75" hidden="1" customHeight="1">
      <c r="A3662" s="13"/>
      <c r="B3662" s="13"/>
      <c r="C3662" s="13"/>
      <c r="D3662" s="13"/>
      <c r="E3662" s="13"/>
      <c r="F3662" s="13"/>
      <c r="G3662" s="13"/>
      <c r="H3662" s="13"/>
      <c r="I3662" s="13"/>
      <c r="J3662" s="13"/>
      <c r="K3662" s="13"/>
      <c r="L3662" s="13"/>
      <c r="M3662" s="13"/>
      <c r="N3662" s="13"/>
    </row>
    <row r="3663" ht="15.75" hidden="1" customHeight="1">
      <c r="A3663" s="13"/>
      <c r="B3663" s="13"/>
      <c r="C3663" s="13"/>
      <c r="D3663" s="13"/>
      <c r="E3663" s="13"/>
      <c r="F3663" s="13"/>
      <c r="G3663" s="13"/>
      <c r="H3663" s="13"/>
      <c r="I3663" s="13"/>
      <c r="J3663" s="13"/>
      <c r="K3663" s="13"/>
      <c r="L3663" s="13"/>
      <c r="M3663" s="13"/>
      <c r="N3663" s="13"/>
    </row>
    <row r="3664" ht="15.75" hidden="1" customHeight="1">
      <c r="A3664" s="13"/>
      <c r="B3664" s="13"/>
      <c r="C3664" s="13"/>
      <c r="D3664" s="13"/>
      <c r="E3664" s="13"/>
      <c r="F3664" s="13"/>
      <c r="G3664" s="13"/>
      <c r="H3664" s="13"/>
      <c r="I3664" s="13"/>
      <c r="J3664" s="13"/>
      <c r="K3664" s="13"/>
      <c r="L3664" s="13"/>
      <c r="M3664" s="13"/>
      <c r="N3664" s="13"/>
    </row>
    <row r="3665" ht="15.75" hidden="1" customHeight="1">
      <c r="A3665" s="13"/>
      <c r="B3665" s="13"/>
      <c r="C3665" s="13"/>
      <c r="D3665" s="13"/>
      <c r="E3665" s="13"/>
      <c r="F3665" s="13"/>
      <c r="G3665" s="13"/>
      <c r="H3665" s="13"/>
      <c r="I3665" s="13"/>
      <c r="J3665" s="13"/>
      <c r="K3665" s="13"/>
      <c r="L3665" s="13"/>
      <c r="M3665" s="13"/>
      <c r="N3665" s="13"/>
    </row>
    <row r="3666" ht="15.75" hidden="1" customHeight="1">
      <c r="A3666" s="13"/>
      <c r="B3666" s="13"/>
      <c r="C3666" s="13"/>
      <c r="D3666" s="13"/>
      <c r="E3666" s="13"/>
      <c r="F3666" s="13"/>
      <c r="G3666" s="13"/>
      <c r="H3666" s="13"/>
      <c r="I3666" s="13"/>
      <c r="J3666" s="13"/>
      <c r="K3666" s="13"/>
      <c r="L3666" s="13"/>
      <c r="M3666" s="13"/>
      <c r="N3666" s="13"/>
    </row>
    <row r="3667" ht="15.75" hidden="1" customHeight="1">
      <c r="A3667" s="13"/>
      <c r="B3667" s="13"/>
      <c r="C3667" s="13"/>
      <c r="D3667" s="13"/>
      <c r="E3667" s="13"/>
      <c r="F3667" s="13"/>
      <c r="G3667" s="13"/>
      <c r="H3667" s="13"/>
      <c r="I3667" s="13"/>
      <c r="J3667" s="13"/>
      <c r="K3667" s="13"/>
      <c r="L3667" s="13"/>
      <c r="M3667" s="13"/>
      <c r="N3667" s="13"/>
    </row>
    <row r="3668" ht="15.75" hidden="1" customHeight="1">
      <c r="A3668" s="13"/>
      <c r="B3668" s="13"/>
      <c r="C3668" s="13"/>
      <c r="D3668" s="13"/>
      <c r="E3668" s="13"/>
      <c r="F3668" s="13"/>
      <c r="G3668" s="13"/>
      <c r="H3668" s="13"/>
      <c r="I3668" s="13"/>
      <c r="J3668" s="13"/>
      <c r="K3668" s="13"/>
      <c r="L3668" s="13"/>
      <c r="M3668" s="13"/>
      <c r="N3668" s="13"/>
    </row>
    <row r="3669" ht="15.75" hidden="1" customHeight="1">
      <c r="A3669" s="13"/>
      <c r="B3669" s="13"/>
      <c r="C3669" s="13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</row>
    <row r="3670" ht="15.75" hidden="1" customHeight="1">
      <c r="A3670" s="13"/>
      <c r="B3670" s="13"/>
      <c r="C3670" s="13"/>
      <c r="D3670" s="13"/>
      <c r="E3670" s="13"/>
      <c r="F3670" s="13"/>
      <c r="G3670" s="13"/>
      <c r="H3670" s="13"/>
      <c r="I3670" s="13"/>
      <c r="J3670" s="13"/>
      <c r="K3670" s="13"/>
      <c r="L3670" s="13"/>
      <c r="M3670" s="13"/>
      <c r="N3670" s="13"/>
    </row>
    <row r="3671" ht="15.75" hidden="1" customHeight="1">
      <c r="A3671" s="13"/>
      <c r="B3671" s="13"/>
      <c r="C3671" s="13"/>
      <c r="D3671" s="13"/>
      <c r="E3671" s="13"/>
      <c r="F3671" s="13"/>
      <c r="G3671" s="13"/>
      <c r="H3671" s="13"/>
      <c r="I3671" s="13"/>
      <c r="J3671" s="13"/>
      <c r="K3671" s="13"/>
      <c r="L3671" s="13"/>
      <c r="M3671" s="13"/>
      <c r="N3671" s="13"/>
    </row>
    <row r="3672" ht="15.75" hidden="1" customHeight="1">
      <c r="A3672" s="13"/>
      <c r="B3672" s="13"/>
      <c r="C3672" s="13"/>
      <c r="D3672" s="13"/>
      <c r="E3672" s="13"/>
      <c r="F3672" s="13"/>
      <c r="G3672" s="13"/>
      <c r="H3672" s="13"/>
      <c r="I3672" s="13"/>
      <c r="J3672" s="13"/>
      <c r="K3672" s="13"/>
      <c r="L3672" s="13"/>
      <c r="M3672" s="13"/>
      <c r="N3672" s="13"/>
    </row>
    <row r="3673" ht="15.75" hidden="1" customHeight="1">
      <c r="A3673" s="13"/>
      <c r="B3673" s="13"/>
      <c r="C3673" s="13"/>
      <c r="D3673" s="13"/>
      <c r="E3673" s="13"/>
      <c r="F3673" s="13"/>
      <c r="G3673" s="13"/>
      <c r="H3673" s="13"/>
      <c r="I3673" s="13"/>
      <c r="J3673" s="13"/>
      <c r="K3673" s="13"/>
      <c r="L3673" s="13"/>
      <c r="M3673" s="13"/>
      <c r="N3673" s="13"/>
    </row>
    <row r="3674" ht="15.75" hidden="1" customHeight="1">
      <c r="A3674" s="13"/>
      <c r="B3674" s="13"/>
      <c r="C3674" s="13"/>
      <c r="D3674" s="13"/>
      <c r="E3674" s="13"/>
      <c r="F3674" s="13"/>
      <c r="G3674" s="13"/>
      <c r="H3674" s="13"/>
      <c r="I3674" s="13"/>
      <c r="J3674" s="13"/>
      <c r="K3674" s="13"/>
      <c r="L3674" s="13"/>
      <c r="M3674" s="13"/>
      <c r="N3674" s="13"/>
    </row>
    <row r="3675" ht="15.75" hidden="1" customHeight="1">
      <c r="A3675" s="13"/>
      <c r="B3675" s="13"/>
      <c r="C3675" s="13"/>
      <c r="D3675" s="13"/>
      <c r="E3675" s="13"/>
      <c r="F3675" s="13"/>
      <c r="G3675" s="13"/>
      <c r="H3675" s="13"/>
      <c r="I3675" s="13"/>
      <c r="J3675" s="13"/>
      <c r="K3675" s="13"/>
      <c r="L3675" s="13"/>
      <c r="M3675" s="13"/>
      <c r="N3675" s="13"/>
    </row>
    <row r="3676" ht="15.75" hidden="1" customHeight="1">
      <c r="A3676" s="13"/>
      <c r="B3676" s="13"/>
      <c r="C3676" s="13"/>
      <c r="D3676" s="13"/>
      <c r="E3676" s="13"/>
      <c r="F3676" s="13"/>
      <c r="G3676" s="13"/>
      <c r="H3676" s="13"/>
      <c r="I3676" s="13"/>
      <c r="J3676" s="13"/>
      <c r="K3676" s="13"/>
      <c r="L3676" s="13"/>
      <c r="M3676" s="13"/>
      <c r="N3676" s="13"/>
    </row>
    <row r="3677" ht="15.75" hidden="1" customHeight="1">
      <c r="A3677" s="13"/>
      <c r="B3677" s="13"/>
      <c r="C3677" s="13"/>
      <c r="D3677" s="13"/>
      <c r="E3677" s="13"/>
      <c r="F3677" s="13"/>
      <c r="G3677" s="13"/>
      <c r="H3677" s="13"/>
      <c r="I3677" s="13"/>
      <c r="J3677" s="13"/>
      <c r="K3677" s="13"/>
      <c r="L3677" s="13"/>
      <c r="M3677" s="13"/>
      <c r="N3677" s="13"/>
    </row>
    <row r="3678" ht="15.75" hidden="1" customHeight="1">
      <c r="A3678" s="13"/>
      <c r="B3678" s="13"/>
      <c r="C3678" s="13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</row>
    <row r="3679" ht="15.75" hidden="1" customHeight="1">
      <c r="A3679" s="13"/>
      <c r="B3679" s="13"/>
      <c r="C3679" s="13"/>
      <c r="D3679" s="13"/>
      <c r="E3679" s="13"/>
      <c r="F3679" s="13"/>
      <c r="G3679" s="13"/>
      <c r="H3679" s="13"/>
      <c r="I3679" s="13"/>
      <c r="J3679" s="13"/>
      <c r="K3679" s="13"/>
      <c r="L3679" s="13"/>
      <c r="M3679" s="13"/>
      <c r="N3679" s="13"/>
    </row>
    <row r="3680" ht="15.75" hidden="1" customHeight="1">
      <c r="A3680" s="13"/>
      <c r="B3680" s="13"/>
      <c r="C3680" s="13"/>
      <c r="D3680" s="13"/>
      <c r="E3680" s="13"/>
      <c r="F3680" s="13"/>
      <c r="G3680" s="13"/>
      <c r="H3680" s="13"/>
      <c r="I3680" s="13"/>
      <c r="J3680" s="13"/>
      <c r="K3680" s="13"/>
      <c r="L3680" s="13"/>
      <c r="M3680" s="13"/>
      <c r="N3680" s="13"/>
    </row>
    <row r="3681" ht="15.75" hidden="1" customHeight="1">
      <c r="A3681" s="13"/>
      <c r="B3681" s="13"/>
      <c r="C3681" s="13"/>
      <c r="D3681" s="13"/>
      <c r="E3681" s="13"/>
      <c r="F3681" s="13"/>
      <c r="G3681" s="13"/>
      <c r="H3681" s="13"/>
      <c r="I3681" s="13"/>
      <c r="J3681" s="13"/>
      <c r="K3681" s="13"/>
      <c r="L3681" s="13"/>
      <c r="M3681" s="13"/>
      <c r="N3681" s="13"/>
    </row>
    <row r="3682" ht="15.75" hidden="1" customHeight="1">
      <c r="A3682" s="13"/>
      <c r="B3682" s="13"/>
      <c r="C3682" s="13"/>
      <c r="D3682" s="13"/>
      <c r="E3682" s="13"/>
      <c r="F3682" s="13"/>
      <c r="G3682" s="13"/>
      <c r="H3682" s="13"/>
      <c r="I3682" s="13"/>
      <c r="J3682" s="13"/>
      <c r="K3682" s="13"/>
      <c r="L3682" s="13"/>
      <c r="M3682" s="13"/>
      <c r="N3682" s="13"/>
    </row>
    <row r="3683" ht="15.75" hidden="1" customHeight="1">
      <c r="A3683" s="13"/>
      <c r="B3683" s="13"/>
      <c r="C3683" s="13"/>
      <c r="D3683" s="13"/>
      <c r="E3683" s="13"/>
      <c r="F3683" s="13"/>
      <c r="G3683" s="13"/>
      <c r="H3683" s="13"/>
      <c r="I3683" s="13"/>
      <c r="J3683" s="13"/>
      <c r="K3683" s="13"/>
      <c r="L3683" s="13"/>
      <c r="M3683" s="13"/>
      <c r="N3683" s="13"/>
    </row>
    <row r="3684" ht="15.75" hidden="1" customHeight="1">
      <c r="A3684" s="13"/>
      <c r="B3684" s="13"/>
      <c r="C3684" s="13"/>
      <c r="D3684" s="13"/>
      <c r="E3684" s="13"/>
      <c r="F3684" s="13"/>
      <c r="G3684" s="13"/>
      <c r="H3684" s="13"/>
      <c r="I3684" s="13"/>
      <c r="J3684" s="13"/>
      <c r="K3684" s="13"/>
      <c r="L3684" s="13"/>
      <c r="M3684" s="13"/>
      <c r="N3684" s="13"/>
    </row>
    <row r="3685" ht="15.75" hidden="1" customHeight="1">
      <c r="A3685" s="13"/>
      <c r="B3685" s="13"/>
      <c r="C3685" s="13"/>
      <c r="D3685" s="13"/>
      <c r="E3685" s="13"/>
      <c r="F3685" s="13"/>
      <c r="G3685" s="13"/>
      <c r="H3685" s="13"/>
      <c r="I3685" s="13"/>
      <c r="J3685" s="13"/>
      <c r="K3685" s="13"/>
      <c r="L3685" s="13"/>
      <c r="M3685" s="13"/>
      <c r="N3685" s="13"/>
    </row>
    <row r="3686" ht="15.75" hidden="1" customHeight="1">
      <c r="A3686" s="13"/>
      <c r="B3686" s="13"/>
      <c r="C3686" s="13"/>
      <c r="D3686" s="13"/>
      <c r="E3686" s="13"/>
      <c r="F3686" s="13"/>
      <c r="G3686" s="13"/>
      <c r="H3686" s="13"/>
      <c r="I3686" s="13"/>
      <c r="J3686" s="13"/>
      <c r="K3686" s="13"/>
      <c r="L3686" s="13"/>
      <c r="M3686" s="13"/>
      <c r="N3686" s="13"/>
    </row>
    <row r="3687" ht="15.75" hidden="1" customHeight="1">
      <c r="A3687" s="13"/>
      <c r="B3687" s="13"/>
      <c r="C3687" s="13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</row>
    <row r="3688" ht="15.75" hidden="1" customHeight="1">
      <c r="A3688" s="13"/>
      <c r="B3688" s="13"/>
      <c r="C3688" s="13"/>
      <c r="D3688" s="13"/>
      <c r="E3688" s="13"/>
      <c r="F3688" s="13"/>
      <c r="G3688" s="13"/>
      <c r="H3688" s="13"/>
      <c r="I3688" s="13"/>
      <c r="J3688" s="13"/>
      <c r="K3688" s="13"/>
      <c r="L3688" s="13"/>
      <c r="M3688" s="13"/>
      <c r="N3688" s="13"/>
    </row>
    <row r="3689" ht="15.75" hidden="1" customHeight="1">
      <c r="A3689" s="13"/>
      <c r="B3689" s="13"/>
      <c r="C3689" s="13"/>
      <c r="D3689" s="13"/>
      <c r="E3689" s="13"/>
      <c r="F3689" s="13"/>
      <c r="G3689" s="13"/>
      <c r="H3689" s="13"/>
      <c r="I3689" s="13"/>
      <c r="J3689" s="13"/>
      <c r="K3689" s="13"/>
      <c r="L3689" s="13"/>
      <c r="M3689" s="13"/>
      <c r="N3689" s="13"/>
    </row>
    <row r="3690" ht="15.75" hidden="1" customHeight="1">
      <c r="A3690" s="13"/>
      <c r="B3690" s="13"/>
      <c r="C3690" s="13"/>
      <c r="D3690" s="13"/>
      <c r="E3690" s="13"/>
      <c r="F3690" s="13"/>
      <c r="G3690" s="13"/>
      <c r="H3690" s="13"/>
      <c r="I3690" s="13"/>
      <c r="J3690" s="13"/>
      <c r="K3690" s="13"/>
      <c r="L3690" s="13"/>
      <c r="M3690" s="13"/>
      <c r="N3690" s="13"/>
    </row>
    <row r="3691" ht="15.75" hidden="1" customHeight="1">
      <c r="A3691" s="13"/>
      <c r="B3691" s="13"/>
      <c r="C3691" s="13"/>
      <c r="D3691" s="13"/>
      <c r="E3691" s="13"/>
      <c r="F3691" s="13"/>
      <c r="G3691" s="13"/>
      <c r="H3691" s="13"/>
      <c r="I3691" s="13"/>
      <c r="J3691" s="13"/>
      <c r="K3691" s="13"/>
      <c r="L3691" s="13"/>
      <c r="M3691" s="13"/>
      <c r="N3691" s="13"/>
    </row>
    <row r="3692" ht="15.75" hidden="1" customHeight="1">
      <c r="A3692" s="13"/>
      <c r="B3692" s="13"/>
      <c r="C3692" s="13"/>
      <c r="D3692" s="13"/>
      <c r="E3692" s="13"/>
      <c r="F3692" s="13"/>
      <c r="G3692" s="13"/>
      <c r="H3692" s="13"/>
      <c r="I3692" s="13"/>
      <c r="J3692" s="13"/>
      <c r="K3692" s="13"/>
      <c r="L3692" s="13"/>
      <c r="M3692" s="13"/>
      <c r="N3692" s="13"/>
    </row>
    <row r="3693" ht="15.75" hidden="1" customHeight="1">
      <c r="A3693" s="13"/>
      <c r="B3693" s="13"/>
      <c r="C3693" s="13"/>
      <c r="D3693" s="13"/>
      <c r="E3693" s="13"/>
      <c r="F3693" s="13"/>
      <c r="G3693" s="13"/>
      <c r="H3693" s="13"/>
      <c r="I3693" s="13"/>
      <c r="J3693" s="13"/>
      <c r="K3693" s="13"/>
      <c r="L3693" s="13"/>
      <c r="M3693" s="13"/>
      <c r="N3693" s="13"/>
    </row>
    <row r="3694" ht="15.75" hidden="1" customHeight="1">
      <c r="A3694" s="13"/>
      <c r="B3694" s="13"/>
      <c r="C3694" s="13"/>
      <c r="D3694" s="13"/>
      <c r="E3694" s="13"/>
      <c r="F3694" s="13"/>
      <c r="G3694" s="13"/>
      <c r="H3694" s="13"/>
      <c r="I3694" s="13"/>
      <c r="J3694" s="13"/>
      <c r="K3694" s="13"/>
      <c r="L3694" s="13"/>
      <c r="M3694" s="13"/>
      <c r="N3694" s="13"/>
    </row>
    <row r="3695" ht="15.75" hidden="1" customHeight="1">
      <c r="A3695" s="13"/>
      <c r="B3695" s="13"/>
      <c r="C3695" s="13"/>
      <c r="D3695" s="13"/>
      <c r="E3695" s="13"/>
      <c r="F3695" s="13"/>
      <c r="G3695" s="13"/>
      <c r="H3695" s="13"/>
      <c r="I3695" s="13"/>
      <c r="J3695" s="13"/>
      <c r="K3695" s="13"/>
      <c r="L3695" s="13"/>
      <c r="M3695" s="13"/>
      <c r="N3695" s="13"/>
    </row>
    <row r="3696" ht="15.75" hidden="1" customHeight="1">
      <c r="A3696" s="13"/>
      <c r="B3696" s="13"/>
      <c r="C3696" s="13"/>
      <c r="D3696" s="13"/>
      <c r="E3696" s="13"/>
      <c r="F3696" s="13"/>
      <c r="G3696" s="13"/>
      <c r="H3696" s="13"/>
      <c r="I3696" s="13"/>
      <c r="J3696" s="13"/>
      <c r="K3696" s="13"/>
      <c r="L3696" s="13"/>
      <c r="M3696" s="13"/>
      <c r="N3696" s="13"/>
    </row>
    <row r="3697" ht="15.75" hidden="1" customHeight="1">
      <c r="A3697" s="13"/>
      <c r="B3697" s="13"/>
      <c r="C3697" s="13"/>
      <c r="D3697" s="13"/>
      <c r="E3697" s="13"/>
      <c r="F3697" s="13"/>
      <c r="G3697" s="13"/>
      <c r="H3697" s="13"/>
      <c r="I3697" s="13"/>
      <c r="J3697" s="13"/>
      <c r="K3697" s="13"/>
      <c r="L3697" s="13"/>
      <c r="M3697" s="13"/>
      <c r="N3697" s="13"/>
    </row>
    <row r="3698" ht="15.75" hidden="1" customHeight="1">
      <c r="A3698" s="13"/>
      <c r="B3698" s="13"/>
      <c r="C3698" s="13"/>
      <c r="D3698" s="13"/>
      <c r="E3698" s="13"/>
      <c r="F3698" s="13"/>
      <c r="G3698" s="13"/>
      <c r="H3698" s="13"/>
      <c r="I3698" s="13"/>
      <c r="J3698" s="13"/>
      <c r="K3698" s="13"/>
      <c r="L3698" s="13"/>
      <c r="M3698" s="13"/>
      <c r="N3698" s="13"/>
    </row>
    <row r="3699" ht="15.75" hidden="1" customHeight="1">
      <c r="A3699" s="13"/>
      <c r="B3699" s="13"/>
      <c r="C3699" s="13"/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</row>
    <row r="3700" ht="15.75" hidden="1" customHeight="1">
      <c r="A3700" s="13"/>
      <c r="B3700" s="13"/>
      <c r="C3700" s="13"/>
      <c r="D3700" s="13"/>
      <c r="E3700" s="13"/>
      <c r="F3700" s="13"/>
      <c r="G3700" s="13"/>
      <c r="H3700" s="13"/>
      <c r="I3700" s="13"/>
      <c r="J3700" s="13"/>
      <c r="K3700" s="13"/>
      <c r="L3700" s="13"/>
      <c r="M3700" s="13"/>
      <c r="N3700" s="13"/>
    </row>
    <row r="3701" ht="15.75" hidden="1" customHeight="1">
      <c r="A3701" s="13"/>
      <c r="B3701" s="13"/>
      <c r="C3701" s="13"/>
      <c r="D3701" s="13"/>
      <c r="E3701" s="13"/>
      <c r="F3701" s="13"/>
      <c r="G3701" s="13"/>
      <c r="H3701" s="13"/>
      <c r="I3701" s="13"/>
      <c r="J3701" s="13"/>
      <c r="K3701" s="13"/>
      <c r="L3701" s="13"/>
      <c r="M3701" s="13"/>
      <c r="N3701" s="13"/>
    </row>
    <row r="3702" ht="15.75" hidden="1" customHeight="1">
      <c r="A3702" s="13"/>
      <c r="B3702" s="13"/>
      <c r="C3702" s="13"/>
      <c r="D3702" s="13"/>
      <c r="E3702" s="13"/>
      <c r="F3702" s="13"/>
      <c r="G3702" s="13"/>
      <c r="H3702" s="13"/>
      <c r="I3702" s="13"/>
      <c r="J3702" s="13"/>
      <c r="K3702" s="13"/>
      <c r="L3702" s="13"/>
      <c r="M3702" s="13"/>
      <c r="N3702" s="13"/>
    </row>
    <row r="3703" ht="15.75" hidden="1" customHeight="1">
      <c r="A3703" s="13"/>
      <c r="B3703" s="13"/>
      <c r="C3703" s="13"/>
      <c r="D3703" s="13"/>
      <c r="E3703" s="13"/>
      <c r="F3703" s="13"/>
      <c r="G3703" s="13"/>
      <c r="H3703" s="13"/>
      <c r="I3703" s="13"/>
      <c r="J3703" s="13"/>
      <c r="K3703" s="13"/>
      <c r="L3703" s="13"/>
      <c r="M3703" s="13"/>
      <c r="N3703" s="13"/>
    </row>
    <row r="3704" ht="15.75" hidden="1" customHeight="1">
      <c r="A3704" s="13"/>
      <c r="B3704" s="13"/>
      <c r="C3704" s="13"/>
      <c r="D3704" s="13"/>
      <c r="E3704" s="13"/>
      <c r="F3704" s="13"/>
      <c r="G3704" s="13"/>
      <c r="H3704" s="13"/>
      <c r="I3704" s="13"/>
      <c r="J3704" s="13"/>
      <c r="K3704" s="13"/>
      <c r="L3704" s="13"/>
      <c r="M3704" s="13"/>
      <c r="N3704" s="13"/>
    </row>
    <row r="3705" ht="15.75" hidden="1" customHeight="1">
      <c r="A3705" s="13"/>
      <c r="B3705" s="13"/>
      <c r="C3705" s="13"/>
      <c r="D3705" s="13"/>
      <c r="E3705" s="13"/>
      <c r="F3705" s="13"/>
      <c r="G3705" s="13"/>
      <c r="H3705" s="13"/>
      <c r="I3705" s="13"/>
      <c r="J3705" s="13"/>
      <c r="K3705" s="13"/>
      <c r="L3705" s="13"/>
      <c r="M3705" s="13"/>
      <c r="N3705" s="13"/>
    </row>
    <row r="3706" ht="15.75" hidden="1" customHeight="1">
      <c r="A3706" s="13"/>
      <c r="B3706" s="13"/>
      <c r="C3706" s="13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</row>
    <row r="3707" ht="15.75" hidden="1" customHeight="1">
      <c r="A3707" s="13"/>
      <c r="B3707" s="13"/>
      <c r="C3707" s="13"/>
      <c r="D3707" s="13"/>
      <c r="E3707" s="13"/>
      <c r="F3707" s="13"/>
      <c r="G3707" s="13"/>
      <c r="H3707" s="13"/>
      <c r="I3707" s="13"/>
      <c r="J3707" s="13"/>
      <c r="K3707" s="13"/>
      <c r="L3707" s="13"/>
      <c r="M3707" s="13"/>
      <c r="N3707" s="13"/>
    </row>
    <row r="3708" ht="15.75" hidden="1" customHeight="1">
      <c r="A3708" s="13"/>
      <c r="B3708" s="13"/>
      <c r="C3708" s="13"/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</row>
    <row r="3709" ht="15.75" hidden="1" customHeight="1">
      <c r="A3709" s="13"/>
      <c r="B3709" s="13"/>
      <c r="C3709" s="13"/>
      <c r="D3709" s="13"/>
      <c r="E3709" s="13"/>
      <c r="F3709" s="13"/>
      <c r="G3709" s="13"/>
      <c r="H3709" s="13"/>
      <c r="I3709" s="13"/>
      <c r="J3709" s="13"/>
      <c r="K3709" s="13"/>
      <c r="L3709" s="13"/>
      <c r="M3709" s="13"/>
      <c r="N3709" s="13"/>
    </row>
    <row r="3710" ht="15.75" hidden="1" customHeight="1">
      <c r="A3710" s="13"/>
      <c r="B3710" s="13"/>
      <c r="C3710" s="13"/>
      <c r="D3710" s="13"/>
      <c r="E3710" s="13"/>
      <c r="F3710" s="13"/>
      <c r="G3710" s="13"/>
      <c r="H3710" s="13"/>
      <c r="I3710" s="13"/>
      <c r="J3710" s="13"/>
      <c r="K3710" s="13"/>
      <c r="L3710" s="13"/>
      <c r="M3710" s="13"/>
      <c r="N3710" s="13"/>
    </row>
    <row r="3711" ht="15.75" hidden="1" customHeight="1">
      <c r="A3711" s="13"/>
      <c r="B3711" s="13"/>
      <c r="C3711" s="13"/>
      <c r="D3711" s="13"/>
      <c r="E3711" s="13"/>
      <c r="F3711" s="13"/>
      <c r="G3711" s="13"/>
      <c r="H3711" s="13"/>
      <c r="I3711" s="13"/>
      <c r="J3711" s="13"/>
      <c r="K3711" s="13"/>
      <c r="L3711" s="13"/>
      <c r="M3711" s="13"/>
      <c r="N3711" s="13"/>
    </row>
    <row r="3712" ht="15.75" hidden="1" customHeight="1">
      <c r="A3712" s="13"/>
      <c r="B3712" s="13"/>
      <c r="C3712" s="13"/>
      <c r="D3712" s="13"/>
      <c r="E3712" s="13"/>
      <c r="F3712" s="13"/>
      <c r="G3712" s="13"/>
      <c r="H3712" s="13"/>
      <c r="I3712" s="13"/>
      <c r="J3712" s="13"/>
      <c r="K3712" s="13"/>
      <c r="L3712" s="13"/>
      <c r="M3712" s="13"/>
      <c r="N3712" s="13"/>
    </row>
    <row r="3713" ht="15.75" hidden="1" customHeight="1">
      <c r="A3713" s="13"/>
      <c r="B3713" s="13"/>
      <c r="C3713" s="13"/>
      <c r="D3713" s="13"/>
      <c r="E3713" s="13"/>
      <c r="F3713" s="13"/>
      <c r="G3713" s="13"/>
      <c r="H3713" s="13"/>
      <c r="I3713" s="13"/>
      <c r="J3713" s="13"/>
      <c r="K3713" s="13"/>
      <c r="L3713" s="13"/>
      <c r="M3713" s="13"/>
      <c r="N3713" s="13"/>
    </row>
    <row r="3714" ht="15.75" hidden="1" customHeight="1">
      <c r="A3714" s="13"/>
      <c r="B3714" s="13"/>
      <c r="C3714" s="13"/>
      <c r="D3714" s="13"/>
      <c r="E3714" s="13"/>
      <c r="F3714" s="13"/>
      <c r="G3714" s="13"/>
      <c r="H3714" s="13"/>
      <c r="I3714" s="13"/>
      <c r="J3714" s="13"/>
      <c r="K3714" s="13"/>
      <c r="L3714" s="13"/>
      <c r="M3714" s="13"/>
      <c r="N3714" s="13"/>
    </row>
    <row r="3715" ht="15.75" hidden="1" customHeight="1">
      <c r="A3715" s="13"/>
      <c r="B3715" s="13"/>
      <c r="C3715" s="13"/>
      <c r="D3715" s="13"/>
      <c r="E3715" s="13"/>
      <c r="F3715" s="13"/>
      <c r="G3715" s="13"/>
      <c r="H3715" s="13"/>
      <c r="I3715" s="13"/>
      <c r="J3715" s="13"/>
      <c r="K3715" s="13"/>
      <c r="L3715" s="13"/>
      <c r="M3715" s="13"/>
      <c r="N3715" s="13"/>
    </row>
    <row r="3716" ht="15.75" hidden="1" customHeight="1">
      <c r="A3716" s="13"/>
      <c r="B3716" s="13"/>
      <c r="C3716" s="13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</row>
    <row r="3717" ht="15.75" hidden="1" customHeight="1">
      <c r="A3717" s="13"/>
      <c r="B3717" s="13"/>
      <c r="C3717" s="13"/>
      <c r="D3717" s="13"/>
      <c r="E3717" s="13"/>
      <c r="F3717" s="13"/>
      <c r="G3717" s="13"/>
      <c r="H3717" s="13"/>
      <c r="I3717" s="13"/>
      <c r="J3717" s="13"/>
      <c r="K3717" s="13"/>
      <c r="L3717" s="13"/>
      <c r="M3717" s="13"/>
      <c r="N3717" s="13"/>
    </row>
    <row r="3718" ht="15.75" hidden="1" customHeight="1">
      <c r="A3718" s="13"/>
      <c r="B3718" s="13"/>
      <c r="C3718" s="13"/>
      <c r="D3718" s="13"/>
      <c r="E3718" s="13"/>
      <c r="F3718" s="13"/>
      <c r="G3718" s="13"/>
      <c r="H3718" s="13"/>
      <c r="I3718" s="13"/>
      <c r="J3718" s="13"/>
      <c r="K3718" s="13"/>
      <c r="L3718" s="13"/>
      <c r="M3718" s="13"/>
      <c r="N3718" s="13"/>
    </row>
    <row r="3719" ht="15.75" hidden="1" customHeight="1">
      <c r="A3719" s="13"/>
      <c r="B3719" s="13"/>
      <c r="C3719" s="13"/>
      <c r="D3719" s="13"/>
      <c r="E3719" s="13"/>
      <c r="F3719" s="13"/>
      <c r="G3719" s="13"/>
      <c r="H3719" s="13"/>
      <c r="I3719" s="13"/>
      <c r="J3719" s="13"/>
      <c r="K3719" s="13"/>
      <c r="L3719" s="13"/>
      <c r="M3719" s="13"/>
      <c r="N3719" s="13"/>
    </row>
    <row r="3720" ht="15.75" hidden="1" customHeight="1">
      <c r="A3720" s="13"/>
      <c r="B3720" s="13"/>
      <c r="C3720" s="13"/>
      <c r="D3720" s="13"/>
      <c r="E3720" s="13"/>
      <c r="F3720" s="13"/>
      <c r="G3720" s="13"/>
      <c r="H3720" s="13"/>
      <c r="I3720" s="13"/>
      <c r="J3720" s="13"/>
      <c r="K3720" s="13"/>
      <c r="L3720" s="13"/>
      <c r="M3720" s="13"/>
      <c r="N3720" s="13"/>
    </row>
    <row r="3721" ht="15.75" hidden="1" customHeight="1">
      <c r="A3721" s="13"/>
      <c r="B3721" s="13"/>
      <c r="C3721" s="13"/>
      <c r="D3721" s="13"/>
      <c r="E3721" s="13"/>
      <c r="F3721" s="13"/>
      <c r="G3721" s="13"/>
      <c r="H3721" s="13"/>
      <c r="I3721" s="13"/>
      <c r="J3721" s="13"/>
      <c r="K3721" s="13"/>
      <c r="L3721" s="13"/>
      <c r="M3721" s="13"/>
      <c r="N3721" s="13"/>
    </row>
    <row r="3722" ht="15.75" hidden="1" customHeight="1">
      <c r="A3722" s="13"/>
      <c r="B3722" s="13"/>
      <c r="C3722" s="13"/>
      <c r="D3722" s="13"/>
      <c r="E3722" s="13"/>
      <c r="F3722" s="13"/>
      <c r="G3722" s="13"/>
      <c r="H3722" s="13"/>
      <c r="I3722" s="13"/>
      <c r="J3722" s="13"/>
      <c r="K3722" s="13"/>
      <c r="L3722" s="13"/>
      <c r="M3722" s="13"/>
      <c r="N3722" s="13"/>
    </row>
    <row r="3723" ht="15.75" hidden="1" customHeight="1">
      <c r="A3723" s="13"/>
      <c r="B3723" s="13"/>
      <c r="C3723" s="13"/>
      <c r="D3723" s="13"/>
      <c r="E3723" s="13"/>
      <c r="F3723" s="13"/>
      <c r="G3723" s="13"/>
      <c r="H3723" s="13"/>
      <c r="I3723" s="13"/>
      <c r="J3723" s="13"/>
      <c r="K3723" s="13"/>
      <c r="L3723" s="13"/>
      <c r="M3723" s="13"/>
      <c r="N3723" s="13"/>
    </row>
    <row r="3724" ht="15.75" hidden="1" customHeight="1">
      <c r="A3724" s="13"/>
      <c r="B3724" s="13"/>
      <c r="C3724" s="13"/>
      <c r="D3724" s="13"/>
      <c r="E3724" s="13"/>
      <c r="F3724" s="13"/>
      <c r="G3724" s="13"/>
      <c r="H3724" s="13"/>
      <c r="I3724" s="13"/>
      <c r="J3724" s="13"/>
      <c r="K3724" s="13"/>
      <c r="L3724" s="13"/>
      <c r="M3724" s="13"/>
      <c r="N3724" s="13"/>
    </row>
    <row r="3725" ht="15.75" hidden="1" customHeight="1">
      <c r="A3725" s="13"/>
      <c r="B3725" s="13"/>
      <c r="C3725" s="13"/>
      <c r="D3725" s="13"/>
      <c r="E3725" s="13"/>
      <c r="F3725" s="13"/>
      <c r="G3725" s="13"/>
      <c r="H3725" s="13"/>
      <c r="I3725" s="13"/>
      <c r="J3725" s="13"/>
      <c r="K3725" s="13"/>
      <c r="L3725" s="13"/>
      <c r="M3725" s="13"/>
      <c r="N3725" s="13"/>
    </row>
    <row r="3726" ht="15.75" hidden="1" customHeight="1">
      <c r="A3726" s="13"/>
      <c r="B3726" s="13"/>
      <c r="C3726" s="13"/>
      <c r="D3726" s="13"/>
      <c r="E3726" s="13"/>
      <c r="F3726" s="13"/>
      <c r="G3726" s="13"/>
      <c r="H3726" s="13"/>
      <c r="I3726" s="13"/>
      <c r="J3726" s="13"/>
      <c r="K3726" s="13"/>
      <c r="L3726" s="13"/>
      <c r="M3726" s="13"/>
      <c r="N3726" s="13"/>
    </row>
    <row r="3727" ht="15.75" hidden="1" customHeight="1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</row>
    <row r="3728" ht="15.75" hidden="1" customHeight="1">
      <c r="A3728" s="13"/>
      <c r="B3728" s="13"/>
      <c r="C3728" s="13"/>
      <c r="D3728" s="13"/>
      <c r="E3728" s="13"/>
      <c r="F3728" s="13"/>
      <c r="G3728" s="13"/>
      <c r="H3728" s="13"/>
      <c r="I3728" s="13"/>
      <c r="J3728" s="13"/>
      <c r="K3728" s="13"/>
      <c r="L3728" s="13"/>
      <c r="M3728" s="13"/>
      <c r="N3728" s="13"/>
    </row>
    <row r="3729" ht="15.75" hidden="1" customHeight="1">
      <c r="A3729" s="13"/>
      <c r="B3729" s="13"/>
      <c r="C3729" s="13"/>
      <c r="D3729" s="13"/>
      <c r="E3729" s="13"/>
      <c r="F3729" s="13"/>
      <c r="G3729" s="13"/>
      <c r="H3729" s="13"/>
      <c r="I3729" s="13"/>
      <c r="J3729" s="13"/>
      <c r="K3729" s="13"/>
      <c r="L3729" s="13"/>
      <c r="M3729" s="13"/>
      <c r="N3729" s="13"/>
    </row>
    <row r="3730" ht="15.75" hidden="1" customHeight="1">
      <c r="A3730" s="13"/>
      <c r="B3730" s="13"/>
      <c r="C3730" s="13"/>
      <c r="D3730" s="13"/>
      <c r="E3730" s="13"/>
      <c r="F3730" s="13"/>
      <c r="G3730" s="13"/>
      <c r="H3730" s="13"/>
      <c r="I3730" s="13"/>
      <c r="J3730" s="13"/>
      <c r="K3730" s="13"/>
      <c r="L3730" s="13"/>
      <c r="M3730" s="13"/>
      <c r="N3730" s="13"/>
    </row>
    <row r="3731" ht="15.75" hidden="1" customHeight="1">
      <c r="A3731" s="13"/>
      <c r="B3731" s="13"/>
      <c r="C3731" s="13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</row>
    <row r="3732" ht="15.75" hidden="1" customHeight="1">
      <c r="A3732" s="13"/>
      <c r="B3732" s="13"/>
      <c r="C3732" s="13"/>
      <c r="D3732" s="13"/>
      <c r="E3732" s="13"/>
      <c r="F3732" s="13"/>
      <c r="G3732" s="13"/>
      <c r="H3732" s="13"/>
      <c r="I3732" s="13"/>
      <c r="J3732" s="13"/>
      <c r="K3732" s="13"/>
      <c r="L3732" s="13"/>
      <c r="M3732" s="13"/>
      <c r="N3732" s="13"/>
    </row>
    <row r="3733" ht="15.75" hidden="1" customHeight="1">
      <c r="A3733" s="13"/>
      <c r="B3733" s="13"/>
      <c r="C3733" s="13"/>
      <c r="D3733" s="13"/>
      <c r="E3733" s="13"/>
      <c r="F3733" s="13"/>
      <c r="G3733" s="13"/>
      <c r="H3733" s="13"/>
      <c r="I3733" s="13"/>
      <c r="J3733" s="13"/>
      <c r="K3733" s="13"/>
      <c r="L3733" s="13"/>
      <c r="M3733" s="13"/>
      <c r="N3733" s="13"/>
    </row>
    <row r="3734" ht="15.75" hidden="1" customHeight="1">
      <c r="A3734" s="13"/>
      <c r="B3734" s="13"/>
      <c r="C3734" s="13"/>
      <c r="D3734" s="13"/>
      <c r="E3734" s="13"/>
      <c r="F3734" s="13"/>
      <c r="G3734" s="13"/>
      <c r="H3734" s="13"/>
      <c r="I3734" s="13"/>
      <c r="J3734" s="13"/>
      <c r="K3734" s="13"/>
      <c r="L3734" s="13"/>
      <c r="M3734" s="13"/>
      <c r="N3734" s="13"/>
    </row>
    <row r="3735" ht="15.75" hidden="1" customHeight="1">
      <c r="A3735" s="13"/>
      <c r="B3735" s="13"/>
      <c r="C3735" s="13"/>
      <c r="D3735" s="13"/>
      <c r="E3735" s="13"/>
      <c r="F3735" s="13"/>
      <c r="G3735" s="13"/>
      <c r="H3735" s="13"/>
      <c r="I3735" s="13"/>
      <c r="J3735" s="13"/>
      <c r="K3735" s="13"/>
      <c r="L3735" s="13"/>
      <c r="M3735" s="13"/>
      <c r="N3735" s="13"/>
    </row>
    <row r="3736" ht="15.75" hidden="1" customHeight="1">
      <c r="A3736" s="13"/>
      <c r="B3736" s="13"/>
      <c r="C3736" s="13"/>
      <c r="D3736" s="13"/>
      <c r="E3736" s="13"/>
      <c r="F3736" s="13"/>
      <c r="G3736" s="13"/>
      <c r="H3736" s="13"/>
      <c r="I3736" s="13"/>
      <c r="J3736" s="13"/>
      <c r="K3736" s="13"/>
      <c r="L3736" s="13"/>
      <c r="M3736" s="13"/>
      <c r="N3736" s="13"/>
    </row>
    <row r="3737" ht="15.75" hidden="1" customHeight="1">
      <c r="A3737" s="13"/>
      <c r="B3737" s="13"/>
      <c r="C3737" s="13"/>
      <c r="D3737" s="13"/>
      <c r="E3737" s="13"/>
      <c r="F3737" s="13"/>
      <c r="G3737" s="13"/>
      <c r="H3737" s="13"/>
      <c r="I3737" s="13"/>
      <c r="J3737" s="13"/>
      <c r="K3737" s="13"/>
      <c r="L3737" s="13"/>
      <c r="M3737" s="13"/>
      <c r="N3737" s="13"/>
    </row>
    <row r="3738" ht="15.75" hidden="1" customHeight="1">
      <c r="A3738" s="13"/>
      <c r="B3738" s="13"/>
      <c r="C3738" s="13"/>
      <c r="D3738" s="13"/>
      <c r="E3738" s="13"/>
      <c r="F3738" s="13"/>
      <c r="G3738" s="13"/>
      <c r="H3738" s="13"/>
      <c r="I3738" s="13"/>
      <c r="J3738" s="13"/>
      <c r="K3738" s="13"/>
      <c r="L3738" s="13"/>
      <c r="M3738" s="13"/>
      <c r="N3738" s="13"/>
    </row>
    <row r="3739" ht="15.75" hidden="1" customHeight="1">
      <c r="A3739" s="13"/>
      <c r="B3739" s="13"/>
      <c r="C3739" s="13"/>
      <c r="D3739" s="13"/>
      <c r="E3739" s="13"/>
      <c r="F3739" s="13"/>
      <c r="G3739" s="13"/>
      <c r="H3739" s="13"/>
      <c r="I3739" s="13"/>
      <c r="J3739" s="13"/>
      <c r="K3739" s="13"/>
      <c r="L3739" s="13"/>
      <c r="M3739" s="13"/>
      <c r="N3739" s="13"/>
    </row>
    <row r="3740" ht="15.75" hidden="1" customHeight="1">
      <c r="A3740" s="13"/>
      <c r="B3740" s="13"/>
      <c r="C3740" s="13"/>
      <c r="D3740" s="13"/>
      <c r="E3740" s="13"/>
      <c r="F3740" s="13"/>
      <c r="G3740" s="13"/>
      <c r="H3740" s="13"/>
      <c r="I3740" s="13"/>
      <c r="J3740" s="13"/>
      <c r="K3740" s="13"/>
      <c r="L3740" s="13"/>
      <c r="M3740" s="13"/>
      <c r="N3740" s="13"/>
    </row>
    <row r="3741" ht="15.75" hidden="1" customHeight="1">
      <c r="A3741" s="13"/>
      <c r="B3741" s="13"/>
      <c r="C3741" s="13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</row>
    <row r="3742" ht="15.75" hidden="1" customHeight="1">
      <c r="A3742" s="13"/>
      <c r="B3742" s="13"/>
      <c r="C3742" s="13"/>
      <c r="D3742" s="13"/>
      <c r="E3742" s="13"/>
      <c r="F3742" s="13"/>
      <c r="G3742" s="13"/>
      <c r="H3742" s="13"/>
      <c r="I3742" s="13"/>
      <c r="J3742" s="13"/>
      <c r="K3742" s="13"/>
      <c r="L3742" s="13"/>
      <c r="M3742" s="13"/>
      <c r="N3742" s="13"/>
    </row>
    <row r="3743" ht="15.75" hidden="1" customHeight="1">
      <c r="A3743" s="13"/>
      <c r="B3743" s="13"/>
      <c r="C3743" s="13"/>
      <c r="D3743" s="13"/>
      <c r="E3743" s="13"/>
      <c r="F3743" s="13"/>
      <c r="G3743" s="13"/>
      <c r="H3743" s="13"/>
      <c r="I3743" s="13"/>
      <c r="J3743" s="13"/>
      <c r="K3743" s="13"/>
      <c r="L3743" s="13"/>
      <c r="M3743" s="13"/>
      <c r="N3743" s="13"/>
    </row>
    <row r="3744" ht="15.75" hidden="1" customHeight="1">
      <c r="A3744" s="13"/>
      <c r="B3744" s="13"/>
      <c r="C3744" s="13"/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</row>
    <row r="3745" ht="15.75" hidden="1" customHeight="1">
      <c r="A3745" s="13"/>
      <c r="B3745" s="13"/>
      <c r="C3745" s="13"/>
      <c r="D3745" s="13"/>
      <c r="E3745" s="13"/>
      <c r="F3745" s="13"/>
      <c r="G3745" s="13"/>
      <c r="H3745" s="13"/>
      <c r="I3745" s="13"/>
      <c r="J3745" s="13"/>
      <c r="K3745" s="13"/>
      <c r="L3745" s="13"/>
      <c r="M3745" s="13"/>
      <c r="N3745" s="13"/>
    </row>
    <row r="3746" ht="15.75" hidden="1" customHeight="1">
      <c r="A3746" s="13"/>
      <c r="B3746" s="13"/>
      <c r="C3746" s="13"/>
      <c r="D3746" s="13"/>
      <c r="E3746" s="13"/>
      <c r="F3746" s="13"/>
      <c r="G3746" s="13"/>
      <c r="H3746" s="13"/>
      <c r="I3746" s="13"/>
      <c r="J3746" s="13"/>
      <c r="K3746" s="13"/>
      <c r="L3746" s="13"/>
      <c r="M3746" s="13"/>
      <c r="N3746" s="13"/>
    </row>
    <row r="3747" ht="15.75" hidden="1" customHeight="1">
      <c r="A3747" s="13"/>
      <c r="B3747" s="13"/>
      <c r="C3747" s="13"/>
      <c r="D3747" s="13"/>
      <c r="E3747" s="13"/>
      <c r="F3747" s="13"/>
      <c r="G3747" s="13"/>
      <c r="H3747" s="13"/>
      <c r="I3747" s="13"/>
      <c r="J3747" s="13"/>
      <c r="K3747" s="13"/>
      <c r="L3747" s="13"/>
      <c r="M3747" s="13"/>
      <c r="N3747" s="13"/>
    </row>
    <row r="3748" ht="15.75" hidden="1" customHeight="1">
      <c r="A3748" s="13"/>
      <c r="B3748" s="13"/>
      <c r="C3748" s="13"/>
      <c r="D3748" s="13"/>
      <c r="E3748" s="13"/>
      <c r="F3748" s="13"/>
      <c r="G3748" s="13"/>
      <c r="H3748" s="13"/>
      <c r="I3748" s="13"/>
      <c r="J3748" s="13"/>
      <c r="K3748" s="13"/>
      <c r="L3748" s="13"/>
      <c r="M3748" s="13"/>
      <c r="N3748" s="13"/>
    </row>
    <row r="3749" ht="15.75" hidden="1" customHeight="1">
      <c r="A3749" s="13"/>
      <c r="B3749" s="13"/>
      <c r="C3749" s="13"/>
      <c r="D3749" s="13"/>
      <c r="E3749" s="13"/>
      <c r="F3749" s="13"/>
      <c r="G3749" s="13"/>
      <c r="H3749" s="13"/>
      <c r="I3749" s="13"/>
      <c r="J3749" s="13"/>
      <c r="K3749" s="13"/>
      <c r="L3749" s="13"/>
      <c r="M3749" s="13"/>
      <c r="N3749" s="13"/>
    </row>
    <row r="3750" ht="15.75" hidden="1" customHeight="1">
      <c r="A3750" s="13"/>
      <c r="B3750" s="13"/>
      <c r="C3750" s="13"/>
      <c r="D3750" s="13"/>
      <c r="E3750" s="13"/>
      <c r="F3750" s="13"/>
      <c r="G3750" s="13"/>
      <c r="H3750" s="13"/>
      <c r="I3750" s="13"/>
      <c r="J3750" s="13"/>
      <c r="K3750" s="13"/>
      <c r="L3750" s="13"/>
      <c r="M3750" s="13"/>
      <c r="N3750" s="13"/>
    </row>
    <row r="3751" ht="15.75" hidden="1" customHeight="1">
      <c r="A3751" s="13"/>
      <c r="B3751" s="13"/>
      <c r="C3751" s="13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</row>
    <row r="3752" ht="15.75" hidden="1" customHeight="1">
      <c r="A3752" s="13"/>
      <c r="B3752" s="13"/>
      <c r="C3752" s="13"/>
      <c r="D3752" s="13"/>
      <c r="E3752" s="13"/>
      <c r="F3752" s="13"/>
      <c r="G3752" s="13"/>
      <c r="H3752" s="13"/>
      <c r="I3752" s="13"/>
      <c r="J3752" s="13"/>
      <c r="K3752" s="13"/>
      <c r="L3752" s="13"/>
      <c r="M3752" s="13"/>
      <c r="N3752" s="13"/>
    </row>
    <row r="3753" ht="15.75" hidden="1" customHeight="1">
      <c r="A3753" s="13"/>
      <c r="B3753" s="13"/>
      <c r="C3753" s="13"/>
      <c r="D3753" s="13"/>
      <c r="E3753" s="13"/>
      <c r="F3753" s="13"/>
      <c r="G3753" s="13"/>
      <c r="H3753" s="13"/>
      <c r="I3753" s="13"/>
      <c r="J3753" s="13"/>
      <c r="K3753" s="13"/>
      <c r="L3753" s="13"/>
      <c r="M3753" s="13"/>
      <c r="N3753" s="13"/>
    </row>
    <row r="3754" ht="15.75" hidden="1" customHeight="1">
      <c r="A3754" s="13"/>
      <c r="B3754" s="13"/>
      <c r="C3754" s="13"/>
      <c r="D3754" s="13"/>
      <c r="E3754" s="13"/>
      <c r="F3754" s="13"/>
      <c r="G3754" s="13"/>
      <c r="H3754" s="13"/>
      <c r="I3754" s="13"/>
      <c r="J3754" s="13"/>
      <c r="K3754" s="13"/>
      <c r="L3754" s="13"/>
      <c r="M3754" s="13"/>
      <c r="N3754" s="13"/>
    </row>
    <row r="3755" ht="15.75" hidden="1" customHeight="1">
      <c r="A3755" s="13"/>
      <c r="B3755" s="13"/>
      <c r="C3755" s="13"/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</row>
    <row r="3756" ht="15.75" hidden="1" customHeight="1">
      <c r="A3756" s="13"/>
      <c r="B3756" s="13"/>
      <c r="C3756" s="13"/>
      <c r="D3756" s="13"/>
      <c r="E3756" s="13"/>
      <c r="F3756" s="13"/>
      <c r="G3756" s="13"/>
      <c r="H3756" s="13"/>
      <c r="I3756" s="13"/>
      <c r="J3756" s="13"/>
      <c r="K3756" s="13"/>
      <c r="L3756" s="13"/>
      <c r="M3756" s="13"/>
      <c r="N3756" s="13"/>
    </row>
    <row r="3757" ht="15.75" hidden="1" customHeight="1">
      <c r="A3757" s="13"/>
      <c r="B3757" s="13"/>
      <c r="C3757" s="13"/>
      <c r="D3757" s="13"/>
      <c r="E3757" s="13"/>
      <c r="F3757" s="13"/>
      <c r="G3757" s="13"/>
      <c r="H3757" s="13"/>
      <c r="I3757" s="13"/>
      <c r="J3757" s="13"/>
      <c r="K3757" s="13"/>
      <c r="L3757" s="13"/>
      <c r="M3757" s="13"/>
      <c r="N3757" s="13"/>
    </row>
    <row r="3758" ht="15.75" hidden="1" customHeight="1">
      <c r="A3758" s="13"/>
      <c r="B3758" s="13"/>
      <c r="C3758" s="13"/>
      <c r="D3758" s="13"/>
      <c r="E3758" s="13"/>
      <c r="F3758" s="13"/>
      <c r="G3758" s="13"/>
      <c r="H3758" s="13"/>
      <c r="I3758" s="13"/>
      <c r="J3758" s="13"/>
      <c r="K3758" s="13"/>
      <c r="L3758" s="13"/>
      <c r="M3758" s="13"/>
      <c r="N3758" s="13"/>
    </row>
    <row r="3759" ht="15.75" hidden="1" customHeight="1">
      <c r="A3759" s="13"/>
      <c r="B3759" s="13"/>
      <c r="C3759" s="13"/>
      <c r="D3759" s="13"/>
      <c r="E3759" s="13"/>
      <c r="F3759" s="13"/>
      <c r="G3759" s="13"/>
      <c r="H3759" s="13"/>
      <c r="I3759" s="13"/>
      <c r="J3759" s="13"/>
      <c r="K3759" s="13"/>
      <c r="L3759" s="13"/>
      <c r="M3759" s="13"/>
      <c r="N3759" s="13"/>
    </row>
    <row r="3760" ht="15.75" hidden="1" customHeight="1">
      <c r="A3760" s="13"/>
      <c r="B3760" s="13"/>
      <c r="C3760" s="13"/>
      <c r="D3760" s="13"/>
      <c r="E3760" s="13"/>
      <c r="F3760" s="13"/>
      <c r="G3760" s="13"/>
      <c r="H3760" s="13"/>
      <c r="I3760" s="13"/>
      <c r="J3760" s="13"/>
      <c r="K3760" s="13"/>
      <c r="L3760" s="13"/>
      <c r="M3760" s="13"/>
      <c r="N3760" s="13"/>
    </row>
    <row r="3761" ht="15.75" hidden="1" customHeight="1">
      <c r="A3761" s="13"/>
      <c r="B3761" s="13"/>
      <c r="C3761" s="13"/>
      <c r="D3761" s="13"/>
      <c r="E3761" s="13"/>
      <c r="F3761" s="13"/>
      <c r="G3761" s="13"/>
      <c r="H3761" s="13"/>
      <c r="I3761" s="13"/>
      <c r="J3761" s="13"/>
      <c r="K3761" s="13"/>
      <c r="L3761" s="13"/>
      <c r="M3761" s="13"/>
      <c r="N3761" s="13"/>
    </row>
    <row r="3762" ht="15.75" hidden="1" customHeight="1">
      <c r="A3762" s="13"/>
      <c r="B3762" s="13"/>
      <c r="C3762" s="13"/>
      <c r="D3762" s="13"/>
      <c r="E3762" s="13"/>
      <c r="F3762" s="13"/>
      <c r="G3762" s="13"/>
      <c r="H3762" s="13"/>
      <c r="I3762" s="13"/>
      <c r="J3762" s="13"/>
      <c r="K3762" s="13"/>
      <c r="L3762" s="13"/>
      <c r="M3762" s="13"/>
      <c r="N3762" s="13"/>
    </row>
    <row r="3763" ht="15.75" hidden="1" customHeight="1">
      <c r="A3763" s="13"/>
      <c r="B3763" s="13"/>
      <c r="C3763" s="13"/>
      <c r="D3763" s="13"/>
      <c r="E3763" s="13"/>
      <c r="F3763" s="13"/>
      <c r="G3763" s="13"/>
      <c r="H3763" s="13"/>
      <c r="I3763" s="13"/>
      <c r="J3763" s="13"/>
      <c r="K3763" s="13"/>
      <c r="L3763" s="13"/>
      <c r="M3763" s="13"/>
      <c r="N3763" s="13"/>
    </row>
    <row r="3764" ht="15.75" hidden="1" customHeight="1">
      <c r="A3764" s="13"/>
      <c r="B3764" s="13"/>
      <c r="C3764" s="13"/>
      <c r="D3764" s="13"/>
      <c r="E3764" s="13"/>
      <c r="F3764" s="13"/>
      <c r="G3764" s="13"/>
      <c r="H3764" s="13"/>
      <c r="I3764" s="13"/>
      <c r="J3764" s="13"/>
      <c r="K3764" s="13"/>
      <c r="L3764" s="13"/>
      <c r="M3764" s="13"/>
      <c r="N3764" s="13"/>
    </row>
    <row r="3765" ht="15.75" hidden="1" customHeight="1">
      <c r="A3765" s="13"/>
      <c r="B3765" s="13"/>
      <c r="C3765" s="13"/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</row>
    <row r="3766" ht="15.75" hidden="1" customHeight="1">
      <c r="A3766" s="13"/>
      <c r="B3766" s="13"/>
      <c r="C3766" s="13"/>
      <c r="D3766" s="13"/>
      <c r="E3766" s="13"/>
      <c r="F3766" s="13"/>
      <c r="G3766" s="13"/>
      <c r="H3766" s="13"/>
      <c r="I3766" s="13"/>
      <c r="J3766" s="13"/>
      <c r="K3766" s="13"/>
      <c r="L3766" s="13"/>
      <c r="M3766" s="13"/>
      <c r="N3766" s="13"/>
    </row>
    <row r="3767" ht="15.75" hidden="1" customHeight="1">
      <c r="A3767" s="13"/>
      <c r="B3767" s="13"/>
      <c r="C3767" s="13"/>
      <c r="D3767" s="13"/>
      <c r="E3767" s="13"/>
      <c r="F3767" s="13"/>
      <c r="G3767" s="13"/>
      <c r="H3767" s="13"/>
      <c r="I3767" s="13"/>
      <c r="J3767" s="13"/>
      <c r="K3767" s="13"/>
      <c r="L3767" s="13"/>
      <c r="M3767" s="13"/>
      <c r="N3767" s="13"/>
    </row>
    <row r="3768" ht="15.75" hidden="1" customHeight="1">
      <c r="A3768" s="13"/>
      <c r="B3768" s="13"/>
      <c r="C3768" s="13"/>
      <c r="D3768" s="13"/>
      <c r="E3768" s="13"/>
      <c r="F3768" s="13"/>
      <c r="G3768" s="13"/>
      <c r="H3768" s="13"/>
      <c r="I3768" s="13"/>
      <c r="J3768" s="13"/>
      <c r="K3768" s="13"/>
      <c r="L3768" s="13"/>
      <c r="M3768" s="13"/>
      <c r="N3768" s="13"/>
    </row>
    <row r="3769" ht="15.75" hidden="1" customHeight="1">
      <c r="A3769" s="13"/>
      <c r="B3769" s="13"/>
      <c r="C3769" s="13"/>
      <c r="D3769" s="13"/>
      <c r="E3769" s="13"/>
      <c r="F3769" s="13"/>
      <c r="G3769" s="13"/>
      <c r="H3769" s="13"/>
      <c r="I3769" s="13"/>
      <c r="J3769" s="13"/>
      <c r="K3769" s="13"/>
      <c r="L3769" s="13"/>
      <c r="M3769" s="13"/>
      <c r="N3769" s="13"/>
    </row>
    <row r="3770" ht="15.75" hidden="1" customHeight="1">
      <c r="A3770" s="13"/>
      <c r="B3770" s="13"/>
      <c r="C3770" s="13"/>
      <c r="D3770" s="13"/>
      <c r="E3770" s="13"/>
      <c r="F3770" s="13"/>
      <c r="G3770" s="13"/>
      <c r="H3770" s="13"/>
      <c r="I3770" s="13"/>
      <c r="J3770" s="13"/>
      <c r="K3770" s="13"/>
      <c r="L3770" s="13"/>
      <c r="M3770" s="13"/>
      <c r="N3770" s="13"/>
    </row>
    <row r="3771" ht="15.75" hidden="1" customHeight="1">
      <c r="A3771" s="13"/>
      <c r="B3771" s="13"/>
      <c r="C3771" s="13"/>
      <c r="D3771" s="13"/>
      <c r="E3771" s="13"/>
      <c r="F3771" s="13"/>
      <c r="G3771" s="13"/>
      <c r="H3771" s="13"/>
      <c r="I3771" s="13"/>
      <c r="J3771" s="13"/>
      <c r="K3771" s="13"/>
      <c r="L3771" s="13"/>
      <c r="M3771" s="13"/>
      <c r="N3771" s="13"/>
    </row>
    <row r="3772" ht="15.75" hidden="1" customHeight="1">
      <c r="A3772" s="13"/>
      <c r="B3772" s="13"/>
      <c r="C3772" s="13"/>
      <c r="D3772" s="13"/>
      <c r="E3772" s="13"/>
      <c r="F3772" s="13"/>
      <c r="G3772" s="13"/>
      <c r="H3772" s="13"/>
      <c r="I3772" s="13"/>
      <c r="J3772" s="13"/>
      <c r="K3772" s="13"/>
      <c r="L3772" s="13"/>
      <c r="M3772" s="13"/>
      <c r="N3772" s="13"/>
    </row>
    <row r="3773" ht="15.75" hidden="1" customHeight="1">
      <c r="A3773" s="13"/>
      <c r="B3773" s="13"/>
      <c r="C3773" s="13"/>
      <c r="D3773" s="13"/>
      <c r="E3773" s="13"/>
      <c r="F3773" s="13"/>
      <c r="G3773" s="13"/>
      <c r="H3773" s="13"/>
      <c r="I3773" s="13"/>
      <c r="J3773" s="13"/>
      <c r="K3773" s="13"/>
      <c r="L3773" s="13"/>
      <c r="M3773" s="13"/>
      <c r="N3773" s="13"/>
    </row>
    <row r="3774" ht="15.75" hidden="1" customHeight="1">
      <c r="A3774" s="13"/>
      <c r="B3774" s="13"/>
      <c r="C3774" s="13"/>
      <c r="D3774" s="13"/>
      <c r="E3774" s="13"/>
      <c r="F3774" s="13"/>
      <c r="G3774" s="13"/>
      <c r="H3774" s="13"/>
      <c r="I3774" s="13"/>
      <c r="J3774" s="13"/>
      <c r="K3774" s="13"/>
      <c r="L3774" s="13"/>
      <c r="M3774" s="13"/>
      <c r="N3774" s="13"/>
    </row>
    <row r="3775" ht="15.75" hidden="1" customHeight="1">
      <c r="A3775" s="13"/>
      <c r="B3775" s="13"/>
      <c r="C3775" s="13"/>
      <c r="D3775" s="13"/>
      <c r="E3775" s="13"/>
      <c r="F3775" s="13"/>
      <c r="G3775" s="13"/>
      <c r="H3775" s="13"/>
      <c r="I3775" s="13"/>
      <c r="J3775" s="13"/>
      <c r="K3775" s="13"/>
      <c r="L3775" s="13"/>
      <c r="M3775" s="13"/>
      <c r="N3775" s="13"/>
    </row>
    <row r="3776" ht="15.75" hidden="1" customHeight="1">
      <c r="A3776" s="13"/>
      <c r="B3776" s="13"/>
      <c r="C3776" s="13"/>
      <c r="D3776" s="13"/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</row>
    <row r="3777" ht="15.75" hidden="1" customHeight="1">
      <c r="A3777" s="13"/>
      <c r="B3777" s="13"/>
      <c r="C3777" s="13"/>
      <c r="D3777" s="13"/>
      <c r="E3777" s="13"/>
      <c r="F3777" s="13"/>
      <c r="G3777" s="13"/>
      <c r="H3777" s="13"/>
      <c r="I3777" s="13"/>
      <c r="J3777" s="13"/>
      <c r="K3777" s="13"/>
      <c r="L3777" s="13"/>
      <c r="M3777" s="13"/>
      <c r="N3777" s="13"/>
    </row>
    <row r="3778" ht="15.75" hidden="1" customHeight="1">
      <c r="A3778" s="13"/>
      <c r="B3778" s="13"/>
      <c r="C3778" s="13"/>
      <c r="D3778" s="13"/>
      <c r="E3778" s="13"/>
      <c r="F3778" s="13"/>
      <c r="G3778" s="13"/>
      <c r="H3778" s="13"/>
      <c r="I3778" s="13"/>
      <c r="J3778" s="13"/>
      <c r="K3778" s="13"/>
      <c r="L3778" s="13"/>
      <c r="M3778" s="13"/>
      <c r="N3778" s="13"/>
    </row>
    <row r="3779" ht="15.75" hidden="1" customHeight="1">
      <c r="A3779" s="13"/>
      <c r="B3779" s="13"/>
      <c r="C3779" s="13"/>
      <c r="D3779" s="13"/>
      <c r="E3779" s="13"/>
      <c r="F3779" s="13"/>
      <c r="G3779" s="13"/>
      <c r="H3779" s="13"/>
      <c r="I3779" s="13"/>
      <c r="J3779" s="13"/>
      <c r="K3779" s="13"/>
      <c r="L3779" s="13"/>
      <c r="M3779" s="13"/>
      <c r="N3779" s="13"/>
    </row>
    <row r="3780" ht="15.75" hidden="1" customHeight="1">
      <c r="A3780" s="13"/>
      <c r="B3780" s="13"/>
      <c r="C3780" s="13"/>
      <c r="D3780" s="13"/>
      <c r="E3780" s="13"/>
      <c r="F3780" s="13"/>
      <c r="G3780" s="13"/>
      <c r="H3780" s="13"/>
      <c r="I3780" s="13"/>
      <c r="J3780" s="13"/>
      <c r="K3780" s="13"/>
      <c r="L3780" s="13"/>
      <c r="M3780" s="13"/>
      <c r="N3780" s="13"/>
    </row>
    <row r="3781" ht="15.75" hidden="1" customHeight="1">
      <c r="A3781" s="13"/>
      <c r="B3781" s="13"/>
      <c r="C3781" s="13"/>
      <c r="D3781" s="13"/>
      <c r="E3781" s="13"/>
      <c r="F3781" s="13"/>
      <c r="G3781" s="13"/>
      <c r="H3781" s="13"/>
      <c r="I3781" s="13"/>
      <c r="J3781" s="13"/>
      <c r="K3781" s="13"/>
      <c r="L3781" s="13"/>
      <c r="M3781" s="13"/>
      <c r="N3781" s="13"/>
    </row>
    <row r="3782" ht="15.75" hidden="1" customHeight="1">
      <c r="A3782" s="13"/>
      <c r="B3782" s="13"/>
      <c r="C3782" s="13"/>
      <c r="D3782" s="13"/>
      <c r="E3782" s="13"/>
      <c r="F3782" s="13"/>
      <c r="G3782" s="13"/>
      <c r="H3782" s="13"/>
      <c r="I3782" s="13"/>
      <c r="J3782" s="13"/>
      <c r="K3782" s="13"/>
      <c r="L3782" s="13"/>
      <c r="M3782" s="13"/>
      <c r="N3782" s="13"/>
    </row>
    <row r="3783" ht="15.75" hidden="1" customHeight="1">
      <c r="A3783" s="13"/>
      <c r="B3783" s="13"/>
      <c r="C3783" s="13"/>
      <c r="D3783" s="13"/>
      <c r="E3783" s="13"/>
      <c r="F3783" s="13"/>
      <c r="G3783" s="13"/>
      <c r="H3783" s="13"/>
      <c r="I3783" s="13"/>
      <c r="J3783" s="13"/>
      <c r="K3783" s="13"/>
      <c r="L3783" s="13"/>
      <c r="M3783" s="13"/>
      <c r="N3783" s="13"/>
    </row>
    <row r="3784" ht="15.75" hidden="1" customHeight="1">
      <c r="A3784" s="13"/>
      <c r="B3784" s="13"/>
      <c r="C3784" s="13"/>
      <c r="D3784" s="13"/>
      <c r="E3784" s="13"/>
      <c r="F3784" s="13"/>
      <c r="G3784" s="13"/>
      <c r="H3784" s="13"/>
      <c r="I3784" s="13"/>
      <c r="J3784" s="13"/>
      <c r="K3784" s="13"/>
      <c r="L3784" s="13"/>
      <c r="M3784" s="13"/>
      <c r="N3784" s="13"/>
    </row>
    <row r="3785" ht="15.75" hidden="1" customHeight="1">
      <c r="A3785" s="13"/>
      <c r="B3785" s="13"/>
      <c r="C3785" s="13"/>
      <c r="D3785" s="13"/>
      <c r="E3785" s="13"/>
      <c r="F3785" s="13"/>
      <c r="G3785" s="13"/>
      <c r="H3785" s="13"/>
      <c r="I3785" s="13"/>
      <c r="J3785" s="13"/>
      <c r="K3785" s="13"/>
      <c r="L3785" s="13"/>
      <c r="M3785" s="13"/>
      <c r="N3785" s="13"/>
    </row>
    <row r="3786" ht="15.75" hidden="1" customHeight="1">
      <c r="A3786" s="13"/>
      <c r="B3786" s="13"/>
      <c r="C3786" s="13"/>
      <c r="D3786" s="13"/>
      <c r="E3786" s="13"/>
      <c r="F3786" s="13"/>
      <c r="G3786" s="13"/>
      <c r="H3786" s="13"/>
      <c r="I3786" s="13"/>
      <c r="J3786" s="13"/>
      <c r="K3786" s="13"/>
      <c r="L3786" s="13"/>
      <c r="M3786" s="13"/>
      <c r="N3786" s="13"/>
    </row>
    <row r="3787" ht="15.75" hidden="1" customHeight="1">
      <c r="A3787" s="13"/>
      <c r="B3787" s="13"/>
      <c r="C3787" s="13"/>
      <c r="D3787" s="13"/>
      <c r="E3787" s="13"/>
      <c r="F3787" s="13"/>
      <c r="G3787" s="13"/>
      <c r="H3787" s="13"/>
      <c r="I3787" s="13"/>
      <c r="J3787" s="13"/>
      <c r="K3787" s="13"/>
      <c r="L3787" s="13"/>
      <c r="M3787" s="13"/>
      <c r="N3787" s="13"/>
    </row>
    <row r="3788" ht="15.75" hidden="1" customHeight="1">
      <c r="A3788" s="13"/>
      <c r="B3788" s="13"/>
      <c r="C3788" s="13"/>
      <c r="D3788" s="13"/>
      <c r="E3788" s="13"/>
      <c r="F3788" s="13"/>
      <c r="G3788" s="13"/>
      <c r="H3788" s="13"/>
      <c r="I3788" s="13"/>
      <c r="J3788" s="13"/>
      <c r="K3788" s="13"/>
      <c r="L3788" s="13"/>
      <c r="M3788" s="13"/>
      <c r="N3788" s="13"/>
    </row>
    <row r="3789" ht="15.75" hidden="1" customHeight="1">
      <c r="A3789" s="13"/>
      <c r="B3789" s="13"/>
      <c r="C3789" s="13"/>
      <c r="D3789" s="13"/>
      <c r="E3789" s="13"/>
      <c r="F3789" s="13"/>
      <c r="G3789" s="13"/>
      <c r="H3789" s="13"/>
      <c r="I3789" s="13"/>
      <c r="J3789" s="13"/>
      <c r="K3789" s="13"/>
      <c r="L3789" s="13"/>
      <c r="M3789" s="13"/>
      <c r="N3789" s="13"/>
    </row>
    <row r="3790" ht="15.75" hidden="1" customHeight="1">
      <c r="A3790" s="13"/>
      <c r="B3790" s="13"/>
      <c r="C3790" s="13"/>
      <c r="D3790" s="13"/>
      <c r="E3790" s="13"/>
      <c r="F3790" s="13"/>
      <c r="G3790" s="13"/>
      <c r="H3790" s="13"/>
      <c r="I3790" s="13"/>
      <c r="J3790" s="13"/>
      <c r="K3790" s="13"/>
      <c r="L3790" s="13"/>
      <c r="M3790" s="13"/>
      <c r="N3790" s="13"/>
    </row>
    <row r="3791" ht="15.75" hidden="1" customHeight="1">
      <c r="A3791" s="13"/>
      <c r="B3791" s="13"/>
      <c r="C3791" s="13"/>
      <c r="D3791" s="13"/>
      <c r="E3791" s="13"/>
      <c r="F3791" s="13"/>
      <c r="G3791" s="13"/>
      <c r="H3791" s="13"/>
      <c r="I3791" s="13"/>
      <c r="J3791" s="13"/>
      <c r="K3791" s="13"/>
      <c r="L3791" s="13"/>
      <c r="M3791" s="13"/>
      <c r="N3791" s="13"/>
    </row>
    <row r="3792" ht="15.75" hidden="1" customHeight="1">
      <c r="A3792" s="13"/>
      <c r="B3792" s="13"/>
      <c r="C3792" s="13"/>
      <c r="D3792" s="13"/>
      <c r="E3792" s="13"/>
      <c r="F3792" s="13"/>
      <c r="G3792" s="13"/>
      <c r="H3792" s="13"/>
      <c r="I3792" s="13"/>
      <c r="J3792" s="13"/>
      <c r="K3792" s="13"/>
      <c r="L3792" s="13"/>
      <c r="M3792" s="13"/>
      <c r="N3792" s="13"/>
    </row>
    <row r="3793" ht="15.75" hidden="1" customHeight="1">
      <c r="A3793" s="13"/>
      <c r="B3793" s="13"/>
      <c r="C3793" s="13"/>
      <c r="D3793" s="13"/>
      <c r="E3793" s="13"/>
      <c r="F3793" s="13"/>
      <c r="G3793" s="13"/>
      <c r="H3793" s="13"/>
      <c r="I3793" s="13"/>
      <c r="J3793" s="13"/>
      <c r="K3793" s="13"/>
      <c r="L3793" s="13"/>
      <c r="M3793" s="13"/>
      <c r="N3793" s="13"/>
    </row>
    <row r="3794" ht="15.75" hidden="1" customHeight="1">
      <c r="A3794" s="13"/>
      <c r="B3794" s="13"/>
      <c r="C3794" s="13"/>
      <c r="D3794" s="13"/>
      <c r="E3794" s="13"/>
      <c r="F3794" s="13"/>
      <c r="G3794" s="13"/>
      <c r="H3794" s="13"/>
      <c r="I3794" s="13"/>
      <c r="J3794" s="13"/>
      <c r="K3794" s="13"/>
      <c r="L3794" s="13"/>
      <c r="M3794" s="13"/>
      <c r="N3794" s="13"/>
    </row>
    <row r="3795" ht="15.75" hidden="1" customHeight="1">
      <c r="A3795" s="13"/>
      <c r="B3795" s="13"/>
      <c r="C3795" s="13"/>
      <c r="D3795" s="13"/>
      <c r="E3795" s="13"/>
      <c r="F3795" s="13"/>
      <c r="G3795" s="13"/>
      <c r="H3795" s="13"/>
      <c r="I3795" s="13"/>
      <c r="J3795" s="13"/>
      <c r="K3795" s="13"/>
      <c r="L3795" s="13"/>
      <c r="M3795" s="13"/>
      <c r="N3795" s="13"/>
    </row>
    <row r="3796" ht="15.75" hidden="1" customHeight="1">
      <c r="A3796" s="13"/>
      <c r="B3796" s="13"/>
      <c r="C3796" s="13"/>
      <c r="D3796" s="13"/>
      <c r="E3796" s="13"/>
      <c r="F3796" s="13"/>
      <c r="G3796" s="13"/>
      <c r="H3796" s="13"/>
      <c r="I3796" s="13"/>
      <c r="J3796" s="13"/>
      <c r="K3796" s="13"/>
      <c r="L3796" s="13"/>
      <c r="M3796" s="13"/>
      <c r="N3796" s="13"/>
    </row>
    <row r="3797" ht="15.75" hidden="1" customHeight="1">
      <c r="A3797" s="13"/>
      <c r="B3797" s="13"/>
      <c r="C3797" s="13"/>
      <c r="D3797" s="13"/>
      <c r="E3797" s="13"/>
      <c r="F3797" s="13"/>
      <c r="G3797" s="13"/>
      <c r="H3797" s="13"/>
      <c r="I3797" s="13"/>
      <c r="J3797" s="13"/>
      <c r="K3797" s="13"/>
      <c r="L3797" s="13"/>
      <c r="M3797" s="13"/>
      <c r="N3797" s="13"/>
    </row>
    <row r="3798" ht="15.75" hidden="1" customHeight="1">
      <c r="A3798" s="13"/>
      <c r="B3798" s="13"/>
      <c r="C3798" s="13"/>
      <c r="D3798" s="13"/>
      <c r="E3798" s="13"/>
      <c r="F3798" s="13"/>
      <c r="G3798" s="13"/>
      <c r="H3798" s="13"/>
      <c r="I3798" s="13"/>
      <c r="J3798" s="13"/>
      <c r="K3798" s="13"/>
      <c r="L3798" s="13"/>
      <c r="M3798" s="13"/>
      <c r="N3798" s="13"/>
    </row>
    <row r="3799" ht="15.75" hidden="1" customHeight="1">
      <c r="A3799" s="13"/>
      <c r="B3799" s="13"/>
      <c r="C3799" s="13"/>
      <c r="D3799" s="13"/>
      <c r="E3799" s="13"/>
      <c r="F3799" s="13"/>
      <c r="G3799" s="13"/>
      <c r="H3799" s="13"/>
      <c r="I3799" s="13"/>
      <c r="J3799" s="13"/>
      <c r="K3799" s="13"/>
      <c r="L3799" s="13"/>
      <c r="M3799" s="13"/>
      <c r="N3799" s="13"/>
    </row>
    <row r="3800" ht="15.75" hidden="1" customHeight="1">
      <c r="A3800" s="13"/>
      <c r="B3800" s="13"/>
      <c r="C3800" s="13"/>
      <c r="D3800" s="13"/>
      <c r="E3800" s="13"/>
      <c r="F3800" s="13"/>
      <c r="G3800" s="13"/>
      <c r="H3800" s="13"/>
      <c r="I3800" s="13"/>
      <c r="J3800" s="13"/>
      <c r="K3800" s="13"/>
      <c r="L3800" s="13"/>
      <c r="M3800" s="13"/>
      <c r="N3800" s="13"/>
    </row>
    <row r="3801" ht="15.75" hidden="1" customHeight="1">
      <c r="A3801" s="13"/>
      <c r="B3801" s="13"/>
      <c r="C3801" s="13"/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</row>
    <row r="3802" ht="15.75" hidden="1" customHeight="1">
      <c r="A3802" s="13"/>
      <c r="B3802" s="13"/>
      <c r="C3802" s="13"/>
      <c r="D3802" s="13"/>
      <c r="E3802" s="13"/>
      <c r="F3802" s="13"/>
      <c r="G3802" s="13"/>
      <c r="H3802" s="13"/>
      <c r="I3802" s="13"/>
      <c r="J3802" s="13"/>
      <c r="K3802" s="13"/>
      <c r="L3802" s="13"/>
      <c r="M3802" s="13"/>
      <c r="N3802" s="13"/>
    </row>
    <row r="3803" ht="15.75" hidden="1" customHeight="1">
      <c r="A3803" s="13"/>
      <c r="B3803" s="13"/>
      <c r="C3803" s="13"/>
      <c r="D3803" s="13"/>
      <c r="E3803" s="13"/>
      <c r="F3803" s="13"/>
      <c r="G3803" s="13"/>
      <c r="H3803" s="13"/>
      <c r="I3803" s="13"/>
      <c r="J3803" s="13"/>
      <c r="K3803" s="13"/>
      <c r="L3803" s="13"/>
      <c r="M3803" s="13"/>
      <c r="N3803" s="13"/>
    </row>
    <row r="3804" ht="15.75" hidden="1" customHeight="1">
      <c r="A3804" s="13"/>
      <c r="B3804" s="13"/>
      <c r="C3804" s="13"/>
      <c r="D3804" s="13"/>
      <c r="E3804" s="13"/>
      <c r="F3804" s="13"/>
      <c r="G3804" s="13"/>
      <c r="H3804" s="13"/>
      <c r="I3804" s="13"/>
      <c r="J3804" s="13"/>
      <c r="K3804" s="13"/>
      <c r="L3804" s="13"/>
      <c r="M3804" s="13"/>
      <c r="N3804" s="13"/>
    </row>
    <row r="3805" ht="15.75" hidden="1" customHeight="1">
      <c r="A3805" s="13"/>
      <c r="B3805" s="13"/>
      <c r="C3805" s="13"/>
      <c r="D3805" s="13"/>
      <c r="E3805" s="13"/>
      <c r="F3805" s="13"/>
      <c r="G3805" s="13"/>
      <c r="H3805" s="13"/>
      <c r="I3805" s="13"/>
      <c r="J3805" s="13"/>
      <c r="K3805" s="13"/>
      <c r="L3805" s="13"/>
      <c r="M3805" s="13"/>
      <c r="N3805" s="13"/>
    </row>
    <row r="3806" ht="15.75" hidden="1" customHeight="1">
      <c r="A3806" s="13"/>
      <c r="B3806" s="13"/>
      <c r="C3806" s="13"/>
      <c r="D3806" s="13"/>
      <c r="E3806" s="13"/>
      <c r="F3806" s="13"/>
      <c r="G3806" s="13"/>
      <c r="H3806" s="13"/>
      <c r="I3806" s="13"/>
      <c r="J3806" s="13"/>
      <c r="K3806" s="13"/>
      <c r="L3806" s="13"/>
      <c r="M3806" s="13"/>
      <c r="N3806" s="13"/>
    </row>
    <row r="3807" ht="15.75" hidden="1" customHeight="1">
      <c r="A3807" s="13"/>
      <c r="B3807" s="13"/>
      <c r="C3807" s="13"/>
      <c r="D3807" s="13"/>
      <c r="E3807" s="13"/>
      <c r="F3807" s="13"/>
      <c r="G3807" s="13"/>
      <c r="H3807" s="13"/>
      <c r="I3807" s="13"/>
      <c r="J3807" s="13"/>
      <c r="K3807" s="13"/>
      <c r="L3807" s="13"/>
      <c r="M3807" s="13"/>
      <c r="N3807" s="13"/>
    </row>
    <row r="3808" ht="15.75" hidden="1" customHeight="1">
      <c r="A3808" s="13"/>
      <c r="B3808" s="13"/>
      <c r="C3808" s="13"/>
      <c r="D3808" s="13"/>
      <c r="E3808" s="13"/>
      <c r="F3808" s="13"/>
      <c r="G3808" s="13"/>
      <c r="H3808" s="13"/>
      <c r="I3808" s="13"/>
      <c r="J3808" s="13"/>
      <c r="K3808" s="13"/>
      <c r="L3808" s="13"/>
      <c r="M3808" s="13"/>
      <c r="N3808" s="13"/>
    </row>
    <row r="3809" ht="15.75" hidden="1" customHeight="1">
      <c r="A3809" s="13"/>
      <c r="B3809" s="13"/>
      <c r="C3809" s="13"/>
      <c r="D3809" s="13"/>
      <c r="E3809" s="13"/>
      <c r="F3809" s="13"/>
      <c r="G3809" s="13"/>
      <c r="H3809" s="13"/>
      <c r="I3809" s="13"/>
      <c r="J3809" s="13"/>
      <c r="K3809" s="13"/>
      <c r="L3809" s="13"/>
      <c r="M3809" s="13"/>
      <c r="N3809" s="13"/>
    </row>
    <row r="3810" ht="15.75" hidden="1" customHeight="1">
      <c r="A3810" s="13"/>
      <c r="B3810" s="13"/>
      <c r="C3810" s="13"/>
      <c r="D3810" s="13"/>
      <c r="E3810" s="13"/>
      <c r="F3810" s="13"/>
      <c r="G3810" s="13"/>
      <c r="H3810" s="13"/>
      <c r="I3810" s="13"/>
      <c r="J3810" s="13"/>
      <c r="K3810" s="13"/>
      <c r="L3810" s="13"/>
      <c r="M3810" s="13"/>
      <c r="N3810" s="13"/>
    </row>
    <row r="3811" ht="15.75" hidden="1" customHeight="1">
      <c r="A3811" s="13"/>
      <c r="B3811" s="13"/>
      <c r="C3811" s="13"/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</row>
    <row r="3812" ht="15.75" hidden="1" customHeight="1">
      <c r="A3812" s="13"/>
      <c r="B3812" s="13"/>
      <c r="C3812" s="13"/>
      <c r="D3812" s="13"/>
      <c r="E3812" s="13"/>
      <c r="F3812" s="13"/>
      <c r="G3812" s="13"/>
      <c r="H3812" s="13"/>
      <c r="I3812" s="13"/>
      <c r="J3812" s="13"/>
      <c r="K3812" s="13"/>
      <c r="L3812" s="13"/>
      <c r="M3812" s="13"/>
      <c r="N3812" s="13"/>
    </row>
    <row r="3813" ht="15.75" hidden="1" customHeight="1">
      <c r="A3813" s="13"/>
      <c r="B3813" s="13"/>
      <c r="C3813" s="13"/>
      <c r="D3813" s="13"/>
      <c r="E3813" s="13"/>
      <c r="F3813" s="13"/>
      <c r="G3813" s="13"/>
      <c r="H3813" s="13"/>
      <c r="I3813" s="13"/>
      <c r="J3813" s="13"/>
      <c r="K3813" s="13"/>
      <c r="L3813" s="13"/>
      <c r="M3813" s="13"/>
      <c r="N3813" s="13"/>
    </row>
    <row r="3814" ht="15.75" hidden="1" customHeight="1">
      <c r="A3814" s="13"/>
      <c r="B3814" s="13"/>
      <c r="C3814" s="13"/>
      <c r="D3814" s="13"/>
      <c r="E3814" s="13"/>
      <c r="F3814" s="13"/>
      <c r="G3814" s="13"/>
      <c r="H3814" s="13"/>
      <c r="I3814" s="13"/>
      <c r="J3814" s="13"/>
      <c r="K3814" s="13"/>
      <c r="L3814" s="13"/>
      <c r="M3814" s="13"/>
      <c r="N3814" s="13"/>
    </row>
    <row r="3815" ht="15.75" hidden="1" customHeight="1">
      <c r="A3815" s="13"/>
      <c r="B3815" s="13"/>
      <c r="C3815" s="13"/>
      <c r="D3815" s="13"/>
      <c r="E3815" s="13"/>
      <c r="F3815" s="13"/>
      <c r="G3815" s="13"/>
      <c r="H3815" s="13"/>
      <c r="I3815" s="13"/>
      <c r="J3815" s="13"/>
      <c r="K3815" s="13"/>
      <c r="L3815" s="13"/>
      <c r="M3815" s="13"/>
      <c r="N3815" s="13"/>
    </row>
    <row r="3816" ht="15.75" hidden="1" customHeight="1">
      <c r="A3816" s="13"/>
      <c r="B3816" s="13"/>
      <c r="C3816" s="13"/>
      <c r="D3816" s="13"/>
      <c r="E3816" s="13"/>
      <c r="F3816" s="13"/>
      <c r="G3816" s="13"/>
      <c r="H3816" s="13"/>
      <c r="I3816" s="13"/>
      <c r="J3816" s="13"/>
      <c r="K3816" s="13"/>
      <c r="L3816" s="13"/>
      <c r="M3816" s="13"/>
      <c r="N3816" s="13"/>
    </row>
    <row r="3817" ht="15.75" hidden="1" customHeight="1">
      <c r="A3817" s="13"/>
      <c r="B3817" s="13"/>
      <c r="C3817" s="13"/>
      <c r="D3817" s="13"/>
      <c r="E3817" s="13"/>
      <c r="F3817" s="13"/>
      <c r="G3817" s="13"/>
      <c r="H3817" s="13"/>
      <c r="I3817" s="13"/>
      <c r="J3817" s="13"/>
      <c r="K3817" s="13"/>
      <c r="L3817" s="13"/>
      <c r="M3817" s="13"/>
      <c r="N3817" s="13"/>
    </row>
    <row r="3818" ht="15.75" hidden="1" customHeight="1">
      <c r="A3818" s="13"/>
      <c r="B3818" s="13"/>
      <c r="C3818" s="13"/>
      <c r="D3818" s="13"/>
      <c r="E3818" s="13"/>
      <c r="F3818" s="13"/>
      <c r="G3818" s="13"/>
      <c r="H3818" s="13"/>
      <c r="I3818" s="13"/>
      <c r="J3818" s="13"/>
      <c r="K3818" s="13"/>
      <c r="L3818" s="13"/>
      <c r="M3818" s="13"/>
      <c r="N3818" s="13"/>
    </row>
    <row r="3819" ht="15.75" hidden="1" customHeight="1">
      <c r="A3819" s="13"/>
      <c r="B3819" s="13"/>
      <c r="C3819" s="13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</row>
    <row r="3820" ht="15.75" hidden="1" customHeight="1">
      <c r="A3820" s="13"/>
      <c r="B3820" s="13"/>
      <c r="C3820" s="13"/>
      <c r="D3820" s="13"/>
      <c r="E3820" s="13"/>
      <c r="F3820" s="13"/>
      <c r="G3820" s="13"/>
      <c r="H3820" s="13"/>
      <c r="I3820" s="13"/>
      <c r="J3820" s="13"/>
      <c r="K3820" s="13"/>
      <c r="L3820" s="13"/>
      <c r="M3820" s="13"/>
      <c r="N3820" s="13"/>
    </row>
    <row r="3821" ht="15.75" hidden="1" customHeight="1">
      <c r="A3821" s="13"/>
      <c r="B3821" s="13"/>
      <c r="C3821" s="13"/>
      <c r="D3821" s="13"/>
      <c r="E3821" s="13"/>
      <c r="F3821" s="13"/>
      <c r="G3821" s="13"/>
      <c r="H3821" s="13"/>
      <c r="I3821" s="13"/>
      <c r="J3821" s="13"/>
      <c r="K3821" s="13"/>
      <c r="L3821" s="13"/>
      <c r="M3821" s="13"/>
      <c r="N3821" s="13"/>
    </row>
    <row r="3822" ht="15.75" hidden="1" customHeight="1">
      <c r="A3822" s="13"/>
      <c r="B3822" s="13"/>
      <c r="C3822" s="13"/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</row>
    <row r="3823" ht="15.75" hidden="1" customHeight="1">
      <c r="A3823" s="13"/>
      <c r="B3823" s="13"/>
      <c r="C3823" s="13"/>
      <c r="D3823" s="13"/>
      <c r="E3823" s="13"/>
      <c r="F3823" s="13"/>
      <c r="G3823" s="13"/>
      <c r="H3823" s="13"/>
      <c r="I3823" s="13"/>
      <c r="J3823" s="13"/>
      <c r="K3823" s="13"/>
      <c r="L3823" s="13"/>
      <c r="M3823" s="13"/>
      <c r="N3823" s="13"/>
    </row>
    <row r="3824" ht="15.75" hidden="1" customHeight="1">
      <c r="A3824" s="13"/>
      <c r="B3824" s="13"/>
      <c r="C3824" s="13"/>
      <c r="D3824" s="13"/>
      <c r="E3824" s="13"/>
      <c r="F3824" s="13"/>
      <c r="G3824" s="13"/>
      <c r="H3824" s="13"/>
      <c r="I3824" s="13"/>
      <c r="J3824" s="13"/>
      <c r="K3824" s="13"/>
      <c r="L3824" s="13"/>
      <c r="M3824" s="13"/>
      <c r="N3824" s="13"/>
    </row>
    <row r="3825" ht="15.75" hidden="1" customHeight="1">
      <c r="A3825" s="13"/>
      <c r="B3825" s="13"/>
      <c r="C3825" s="13"/>
      <c r="D3825" s="13"/>
      <c r="E3825" s="13"/>
      <c r="F3825" s="13"/>
      <c r="G3825" s="13"/>
      <c r="H3825" s="13"/>
      <c r="I3825" s="13"/>
      <c r="J3825" s="13"/>
      <c r="K3825" s="13"/>
      <c r="L3825" s="13"/>
      <c r="M3825" s="13"/>
      <c r="N3825" s="13"/>
    </row>
    <row r="3826" ht="15.75" hidden="1" customHeight="1">
      <c r="A3826" s="13"/>
      <c r="B3826" s="13"/>
      <c r="C3826" s="13"/>
      <c r="D3826" s="13"/>
      <c r="E3826" s="13"/>
      <c r="F3826" s="13"/>
      <c r="G3826" s="13"/>
      <c r="H3826" s="13"/>
      <c r="I3826" s="13"/>
      <c r="J3826" s="13"/>
      <c r="K3826" s="13"/>
      <c r="L3826" s="13"/>
      <c r="M3826" s="13"/>
      <c r="N3826" s="13"/>
    </row>
    <row r="3827" ht="15.75" hidden="1" customHeight="1">
      <c r="A3827" s="13"/>
      <c r="B3827" s="13"/>
      <c r="C3827" s="13"/>
      <c r="D3827" s="13"/>
      <c r="E3827" s="13"/>
      <c r="F3827" s="13"/>
      <c r="G3827" s="13"/>
      <c r="H3827" s="13"/>
      <c r="I3827" s="13"/>
      <c r="J3827" s="13"/>
      <c r="K3827" s="13"/>
      <c r="L3827" s="13"/>
      <c r="M3827" s="13"/>
      <c r="N3827" s="13"/>
    </row>
    <row r="3828" ht="15.75" hidden="1" customHeight="1">
      <c r="A3828" s="13"/>
      <c r="B3828" s="13"/>
      <c r="C3828" s="13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</row>
    <row r="3829" ht="15.75" hidden="1" customHeight="1">
      <c r="A3829" s="13"/>
      <c r="B3829" s="13"/>
      <c r="C3829" s="13"/>
      <c r="D3829" s="13"/>
      <c r="E3829" s="13"/>
      <c r="F3829" s="13"/>
      <c r="G3829" s="13"/>
      <c r="H3829" s="13"/>
      <c r="I3829" s="13"/>
      <c r="J3829" s="13"/>
      <c r="K3829" s="13"/>
      <c r="L3829" s="13"/>
      <c r="M3829" s="13"/>
      <c r="N3829" s="13"/>
    </row>
    <row r="3830" ht="15.75" hidden="1" customHeight="1">
      <c r="A3830" s="13"/>
      <c r="B3830" s="13"/>
      <c r="C3830" s="13"/>
      <c r="D3830" s="13"/>
      <c r="E3830" s="13"/>
      <c r="F3830" s="13"/>
      <c r="G3830" s="13"/>
      <c r="H3830" s="13"/>
      <c r="I3830" s="13"/>
      <c r="J3830" s="13"/>
      <c r="K3830" s="13"/>
      <c r="L3830" s="13"/>
      <c r="M3830" s="13"/>
      <c r="N3830" s="13"/>
    </row>
    <row r="3831" ht="15.75" hidden="1" customHeight="1">
      <c r="A3831" s="13"/>
      <c r="B3831" s="13"/>
      <c r="C3831" s="13"/>
      <c r="D3831" s="13"/>
      <c r="E3831" s="13"/>
      <c r="F3831" s="13"/>
      <c r="G3831" s="13"/>
      <c r="H3831" s="13"/>
      <c r="I3831" s="13"/>
      <c r="J3831" s="13"/>
      <c r="K3831" s="13"/>
      <c r="L3831" s="13"/>
      <c r="M3831" s="13"/>
      <c r="N3831" s="13"/>
    </row>
    <row r="3832" ht="15.75" hidden="1" customHeight="1">
      <c r="A3832" s="13"/>
      <c r="B3832" s="13"/>
      <c r="C3832" s="13"/>
      <c r="D3832" s="13"/>
      <c r="E3832" s="13"/>
      <c r="F3832" s="13"/>
      <c r="G3832" s="13"/>
      <c r="H3832" s="13"/>
      <c r="I3832" s="13"/>
      <c r="J3832" s="13"/>
      <c r="K3832" s="13"/>
      <c r="L3832" s="13"/>
      <c r="M3832" s="13"/>
      <c r="N3832" s="13"/>
    </row>
    <row r="3833" ht="15.75" hidden="1" customHeight="1">
      <c r="A3833" s="13"/>
      <c r="B3833" s="13"/>
      <c r="C3833" s="13"/>
      <c r="D3833" s="13"/>
      <c r="E3833" s="13"/>
      <c r="F3833" s="13"/>
      <c r="G3833" s="13"/>
      <c r="H3833" s="13"/>
      <c r="I3833" s="13"/>
      <c r="J3833" s="13"/>
      <c r="K3833" s="13"/>
      <c r="L3833" s="13"/>
      <c r="M3833" s="13"/>
      <c r="N3833" s="13"/>
    </row>
    <row r="3834" ht="15.75" hidden="1" customHeight="1">
      <c r="A3834" s="13"/>
      <c r="B3834" s="13"/>
      <c r="C3834" s="13"/>
      <c r="D3834" s="13"/>
      <c r="E3834" s="13"/>
      <c r="F3834" s="13"/>
      <c r="G3834" s="13"/>
      <c r="H3834" s="13"/>
      <c r="I3834" s="13"/>
      <c r="J3834" s="13"/>
      <c r="K3834" s="13"/>
      <c r="L3834" s="13"/>
      <c r="M3834" s="13"/>
      <c r="N3834" s="13"/>
    </row>
    <row r="3835" ht="15.75" hidden="1" customHeight="1">
      <c r="A3835" s="13"/>
      <c r="B3835" s="13"/>
      <c r="C3835" s="13"/>
      <c r="D3835" s="13"/>
      <c r="E3835" s="13"/>
      <c r="F3835" s="13"/>
      <c r="G3835" s="13"/>
      <c r="H3835" s="13"/>
      <c r="I3835" s="13"/>
      <c r="J3835" s="13"/>
      <c r="K3835" s="13"/>
      <c r="L3835" s="13"/>
      <c r="M3835" s="13"/>
      <c r="N3835" s="13"/>
    </row>
    <row r="3836" ht="15.75" hidden="1" customHeight="1">
      <c r="A3836" s="13"/>
      <c r="B3836" s="13"/>
      <c r="C3836" s="13"/>
      <c r="D3836" s="13"/>
      <c r="E3836" s="13"/>
      <c r="F3836" s="13"/>
      <c r="G3836" s="13"/>
      <c r="H3836" s="13"/>
      <c r="I3836" s="13"/>
      <c r="J3836" s="13"/>
      <c r="K3836" s="13"/>
      <c r="L3836" s="13"/>
      <c r="M3836" s="13"/>
      <c r="N3836" s="13"/>
    </row>
    <row r="3837" ht="15.75" hidden="1" customHeight="1">
      <c r="A3837" s="13"/>
      <c r="B3837" s="13"/>
      <c r="C3837" s="13"/>
      <c r="D3837" s="13"/>
      <c r="E3837" s="13"/>
      <c r="F3837" s="13"/>
      <c r="G3837" s="13"/>
      <c r="H3837" s="13"/>
      <c r="I3837" s="13"/>
      <c r="J3837" s="13"/>
      <c r="K3837" s="13"/>
      <c r="L3837" s="13"/>
      <c r="M3837" s="13"/>
      <c r="N3837" s="13"/>
    </row>
    <row r="3838" ht="15.75" hidden="1" customHeight="1">
      <c r="A3838" s="13"/>
      <c r="B3838" s="13"/>
      <c r="C3838" s="13"/>
      <c r="D3838" s="13"/>
      <c r="E3838" s="13"/>
      <c r="F3838" s="13"/>
      <c r="G3838" s="13"/>
      <c r="H3838" s="13"/>
      <c r="I3838" s="13"/>
      <c r="J3838" s="13"/>
      <c r="K3838" s="13"/>
      <c r="L3838" s="13"/>
      <c r="M3838" s="13"/>
      <c r="N3838" s="13"/>
    </row>
    <row r="3839" ht="15.75" hidden="1" customHeight="1">
      <c r="A3839" s="13"/>
      <c r="B3839" s="13"/>
      <c r="C3839" s="13"/>
      <c r="D3839" s="13"/>
      <c r="E3839" s="13"/>
      <c r="F3839" s="13"/>
      <c r="G3839" s="13"/>
      <c r="H3839" s="13"/>
      <c r="I3839" s="13"/>
      <c r="J3839" s="13"/>
      <c r="K3839" s="13"/>
      <c r="L3839" s="13"/>
      <c r="M3839" s="13"/>
      <c r="N3839" s="13"/>
    </row>
    <row r="3840" ht="15.75" hidden="1" customHeight="1">
      <c r="A3840" s="13"/>
      <c r="B3840" s="13"/>
      <c r="C3840" s="13"/>
      <c r="D3840" s="13"/>
      <c r="E3840" s="13"/>
      <c r="F3840" s="13"/>
      <c r="G3840" s="13"/>
      <c r="H3840" s="13"/>
      <c r="I3840" s="13"/>
      <c r="J3840" s="13"/>
      <c r="K3840" s="13"/>
      <c r="L3840" s="13"/>
      <c r="M3840" s="13"/>
      <c r="N3840" s="13"/>
    </row>
    <row r="3841" ht="15.75" hidden="1" customHeight="1">
      <c r="A3841" s="13"/>
      <c r="B3841" s="13"/>
      <c r="C3841" s="13"/>
      <c r="D3841" s="13"/>
      <c r="E3841" s="13"/>
      <c r="F3841" s="13"/>
      <c r="G3841" s="13"/>
      <c r="H3841" s="13"/>
      <c r="I3841" s="13"/>
      <c r="J3841" s="13"/>
      <c r="K3841" s="13"/>
      <c r="L3841" s="13"/>
      <c r="M3841" s="13"/>
      <c r="N3841" s="13"/>
    </row>
    <row r="3842" ht="15.75" hidden="1" customHeight="1">
      <c r="A3842" s="13"/>
      <c r="B3842" s="13"/>
      <c r="C3842" s="13"/>
      <c r="D3842" s="13"/>
      <c r="E3842" s="13"/>
      <c r="F3842" s="13"/>
      <c r="G3842" s="13"/>
      <c r="H3842" s="13"/>
      <c r="I3842" s="13"/>
      <c r="J3842" s="13"/>
      <c r="K3842" s="13"/>
      <c r="L3842" s="13"/>
      <c r="M3842" s="13"/>
      <c r="N3842" s="13"/>
    </row>
    <row r="3843" ht="15.75" hidden="1" customHeight="1">
      <c r="A3843" s="13"/>
      <c r="B3843" s="13"/>
      <c r="C3843" s="13"/>
      <c r="D3843" s="13"/>
      <c r="E3843" s="13"/>
      <c r="F3843" s="13"/>
      <c r="G3843" s="13"/>
      <c r="H3843" s="13"/>
      <c r="I3843" s="13"/>
      <c r="J3843" s="13"/>
      <c r="K3843" s="13"/>
      <c r="L3843" s="13"/>
      <c r="M3843" s="13"/>
      <c r="N3843" s="13"/>
    </row>
    <row r="3844" ht="15.75" hidden="1" customHeight="1">
      <c r="A3844" s="13"/>
      <c r="B3844" s="13"/>
      <c r="C3844" s="13"/>
      <c r="D3844" s="13"/>
      <c r="E3844" s="13"/>
      <c r="F3844" s="13"/>
      <c r="G3844" s="13"/>
      <c r="H3844" s="13"/>
      <c r="I3844" s="13"/>
      <c r="J3844" s="13"/>
      <c r="K3844" s="13"/>
      <c r="L3844" s="13"/>
      <c r="M3844" s="13"/>
      <c r="N3844" s="13"/>
    </row>
    <row r="3845" ht="15.75" hidden="1" customHeight="1">
      <c r="A3845" s="13"/>
      <c r="B3845" s="13"/>
      <c r="C3845" s="13"/>
      <c r="D3845" s="13"/>
      <c r="E3845" s="13"/>
      <c r="F3845" s="13"/>
      <c r="G3845" s="13"/>
      <c r="H3845" s="13"/>
      <c r="I3845" s="13"/>
      <c r="J3845" s="13"/>
      <c r="K3845" s="13"/>
      <c r="L3845" s="13"/>
      <c r="M3845" s="13"/>
      <c r="N3845" s="13"/>
    </row>
    <row r="3846" ht="15.75" hidden="1" customHeight="1">
      <c r="A3846" s="13"/>
      <c r="B3846" s="13"/>
      <c r="C3846" s="13"/>
      <c r="D3846" s="13"/>
      <c r="E3846" s="13"/>
      <c r="F3846" s="13"/>
      <c r="G3846" s="13"/>
      <c r="H3846" s="13"/>
      <c r="I3846" s="13"/>
      <c r="J3846" s="13"/>
      <c r="K3846" s="13"/>
      <c r="L3846" s="13"/>
      <c r="M3846" s="13"/>
      <c r="N3846" s="13"/>
    </row>
    <row r="3847" ht="15.75" hidden="1" customHeight="1">
      <c r="A3847" s="13"/>
      <c r="B3847" s="13"/>
      <c r="C3847" s="13"/>
      <c r="D3847" s="13"/>
      <c r="E3847" s="13"/>
      <c r="F3847" s="13"/>
      <c r="G3847" s="13"/>
      <c r="H3847" s="13"/>
      <c r="I3847" s="13"/>
      <c r="J3847" s="13"/>
      <c r="K3847" s="13"/>
      <c r="L3847" s="13"/>
      <c r="M3847" s="13"/>
      <c r="N3847" s="13"/>
    </row>
    <row r="3848" ht="15.75" hidden="1" customHeight="1">
      <c r="A3848" s="13"/>
      <c r="B3848" s="13"/>
      <c r="C3848" s="13"/>
      <c r="D3848" s="13"/>
      <c r="E3848" s="13"/>
      <c r="F3848" s="13"/>
      <c r="G3848" s="13"/>
      <c r="H3848" s="13"/>
      <c r="I3848" s="13"/>
      <c r="J3848" s="13"/>
      <c r="K3848" s="13"/>
      <c r="L3848" s="13"/>
      <c r="M3848" s="13"/>
      <c r="N3848" s="13"/>
    </row>
    <row r="3849" ht="15.75" hidden="1" customHeight="1">
      <c r="A3849" s="13"/>
      <c r="B3849" s="13"/>
      <c r="C3849" s="13"/>
      <c r="D3849" s="13"/>
      <c r="E3849" s="13"/>
      <c r="F3849" s="13"/>
      <c r="G3849" s="13"/>
      <c r="H3849" s="13"/>
      <c r="I3849" s="13"/>
      <c r="J3849" s="13"/>
      <c r="K3849" s="13"/>
      <c r="L3849" s="13"/>
      <c r="M3849" s="13"/>
      <c r="N3849" s="13"/>
    </row>
    <row r="3850" ht="15.75" hidden="1" customHeight="1">
      <c r="A3850" s="13"/>
      <c r="B3850" s="13"/>
      <c r="C3850" s="13"/>
      <c r="D3850" s="13"/>
      <c r="E3850" s="13"/>
      <c r="F3850" s="13"/>
      <c r="G3850" s="13"/>
      <c r="H3850" s="13"/>
      <c r="I3850" s="13"/>
      <c r="J3850" s="13"/>
      <c r="K3850" s="13"/>
      <c r="L3850" s="13"/>
      <c r="M3850" s="13"/>
      <c r="N3850" s="13"/>
    </row>
    <row r="3851" ht="15.75" hidden="1" customHeight="1">
      <c r="A3851" s="13"/>
      <c r="B3851" s="13"/>
      <c r="C3851" s="13"/>
      <c r="D3851" s="13"/>
      <c r="E3851" s="13"/>
      <c r="F3851" s="13"/>
      <c r="G3851" s="13"/>
      <c r="H3851" s="13"/>
      <c r="I3851" s="13"/>
      <c r="J3851" s="13"/>
      <c r="K3851" s="13"/>
      <c r="L3851" s="13"/>
      <c r="M3851" s="13"/>
      <c r="N3851" s="13"/>
    </row>
    <row r="3852" ht="15.75" hidden="1" customHeight="1">
      <c r="A3852" s="13"/>
      <c r="B3852" s="13"/>
      <c r="C3852" s="13"/>
      <c r="D3852" s="13"/>
      <c r="E3852" s="13"/>
      <c r="F3852" s="13"/>
      <c r="G3852" s="13"/>
      <c r="H3852" s="13"/>
      <c r="I3852" s="13"/>
      <c r="J3852" s="13"/>
      <c r="K3852" s="13"/>
      <c r="L3852" s="13"/>
      <c r="M3852" s="13"/>
      <c r="N3852" s="13"/>
    </row>
    <row r="3853" ht="15.75" hidden="1" customHeight="1">
      <c r="A3853" s="13"/>
      <c r="B3853" s="13"/>
      <c r="C3853" s="13"/>
      <c r="D3853" s="13"/>
      <c r="E3853" s="13"/>
      <c r="F3853" s="13"/>
      <c r="G3853" s="13"/>
      <c r="H3853" s="13"/>
      <c r="I3853" s="13"/>
      <c r="J3853" s="13"/>
      <c r="K3853" s="13"/>
      <c r="L3853" s="13"/>
      <c r="M3853" s="13"/>
      <c r="N3853" s="13"/>
    </row>
    <row r="3854" ht="15.75" hidden="1" customHeight="1">
      <c r="A3854" s="13"/>
      <c r="B3854" s="13"/>
      <c r="C3854" s="13"/>
      <c r="D3854" s="13"/>
      <c r="E3854" s="13"/>
      <c r="F3854" s="13"/>
      <c r="G3854" s="13"/>
      <c r="H3854" s="13"/>
      <c r="I3854" s="13"/>
      <c r="J3854" s="13"/>
      <c r="K3854" s="13"/>
      <c r="L3854" s="13"/>
      <c r="M3854" s="13"/>
      <c r="N3854" s="13"/>
    </row>
    <row r="3855" ht="15.75" hidden="1" customHeight="1">
      <c r="A3855" s="13"/>
      <c r="B3855" s="13"/>
      <c r="C3855" s="13"/>
      <c r="D3855" s="13"/>
      <c r="E3855" s="13"/>
      <c r="F3855" s="13"/>
      <c r="G3855" s="13"/>
      <c r="H3855" s="13"/>
      <c r="I3855" s="13"/>
      <c r="J3855" s="13"/>
      <c r="K3855" s="13"/>
      <c r="L3855" s="13"/>
      <c r="M3855" s="13"/>
      <c r="N3855" s="13"/>
    </row>
    <row r="3856" ht="15.75" hidden="1" customHeight="1">
      <c r="A3856" s="13"/>
      <c r="B3856" s="13"/>
      <c r="C3856" s="13"/>
      <c r="D3856" s="13"/>
      <c r="E3856" s="13"/>
      <c r="F3856" s="13"/>
      <c r="G3856" s="13"/>
      <c r="H3856" s="13"/>
      <c r="I3856" s="13"/>
      <c r="J3856" s="13"/>
      <c r="K3856" s="13"/>
      <c r="L3856" s="13"/>
      <c r="M3856" s="13"/>
      <c r="N3856" s="13"/>
    </row>
    <row r="3857" ht="15.75" hidden="1" customHeight="1">
      <c r="A3857" s="13"/>
      <c r="B3857" s="13"/>
      <c r="C3857" s="13"/>
      <c r="D3857" s="13"/>
      <c r="E3857" s="13"/>
      <c r="F3857" s="13"/>
      <c r="G3857" s="13"/>
      <c r="H3857" s="13"/>
      <c r="I3857" s="13"/>
      <c r="J3857" s="13"/>
      <c r="K3857" s="13"/>
      <c r="L3857" s="13"/>
      <c r="M3857" s="13"/>
      <c r="N3857" s="13"/>
    </row>
    <row r="3858" ht="15.75" hidden="1" customHeight="1">
      <c r="A3858" s="13"/>
      <c r="B3858" s="13"/>
      <c r="C3858" s="13"/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</row>
    <row r="3859" ht="15.75" hidden="1" customHeight="1">
      <c r="A3859" s="13"/>
      <c r="B3859" s="13"/>
      <c r="C3859" s="13"/>
      <c r="D3859" s="13"/>
      <c r="E3859" s="13"/>
      <c r="F3859" s="13"/>
      <c r="G3859" s="13"/>
      <c r="H3859" s="13"/>
      <c r="I3859" s="13"/>
      <c r="J3859" s="13"/>
      <c r="K3859" s="13"/>
      <c r="L3859" s="13"/>
      <c r="M3859" s="13"/>
      <c r="N3859" s="13"/>
    </row>
    <row r="3860" ht="15.75" hidden="1" customHeight="1">
      <c r="A3860" s="13"/>
      <c r="B3860" s="13"/>
      <c r="C3860" s="13"/>
      <c r="D3860" s="13"/>
      <c r="E3860" s="13"/>
      <c r="F3860" s="13"/>
      <c r="G3860" s="13"/>
      <c r="H3860" s="13"/>
      <c r="I3860" s="13"/>
      <c r="J3860" s="13"/>
      <c r="K3860" s="13"/>
      <c r="L3860" s="13"/>
      <c r="M3860" s="13"/>
      <c r="N3860" s="13"/>
    </row>
    <row r="3861" ht="15.75" hidden="1" customHeight="1">
      <c r="A3861" s="13"/>
      <c r="B3861" s="13"/>
      <c r="C3861" s="13"/>
      <c r="D3861" s="13"/>
      <c r="E3861" s="13"/>
      <c r="F3861" s="13"/>
      <c r="G3861" s="13"/>
      <c r="H3861" s="13"/>
      <c r="I3861" s="13"/>
      <c r="J3861" s="13"/>
      <c r="K3861" s="13"/>
      <c r="L3861" s="13"/>
      <c r="M3861" s="13"/>
      <c r="N3861" s="13"/>
    </row>
    <row r="3862" ht="15.75" hidden="1" customHeight="1">
      <c r="A3862" s="13"/>
      <c r="B3862" s="13"/>
      <c r="C3862" s="13"/>
      <c r="D3862" s="13"/>
      <c r="E3862" s="13"/>
      <c r="F3862" s="13"/>
      <c r="G3862" s="13"/>
      <c r="H3862" s="13"/>
      <c r="I3862" s="13"/>
      <c r="J3862" s="13"/>
      <c r="K3862" s="13"/>
      <c r="L3862" s="13"/>
      <c r="M3862" s="13"/>
      <c r="N3862" s="13"/>
    </row>
    <row r="3863" ht="15.75" hidden="1" customHeight="1">
      <c r="A3863" s="13"/>
      <c r="B3863" s="13"/>
      <c r="C3863" s="13"/>
      <c r="D3863" s="13"/>
      <c r="E3863" s="13"/>
      <c r="F3863" s="13"/>
      <c r="G3863" s="13"/>
      <c r="H3863" s="13"/>
      <c r="I3863" s="13"/>
      <c r="J3863" s="13"/>
      <c r="K3863" s="13"/>
      <c r="L3863" s="13"/>
      <c r="M3863" s="13"/>
      <c r="N3863" s="13"/>
    </row>
    <row r="3864" ht="15.75" hidden="1" customHeight="1">
      <c r="A3864" s="13"/>
      <c r="B3864" s="13"/>
      <c r="C3864" s="13"/>
      <c r="D3864" s="13"/>
      <c r="E3864" s="13"/>
      <c r="F3864" s="13"/>
      <c r="G3864" s="13"/>
      <c r="H3864" s="13"/>
      <c r="I3864" s="13"/>
      <c r="J3864" s="13"/>
      <c r="K3864" s="13"/>
      <c r="L3864" s="13"/>
      <c r="M3864" s="13"/>
      <c r="N3864" s="13"/>
    </row>
    <row r="3865" ht="15.75" hidden="1" customHeight="1">
      <c r="A3865" s="13"/>
      <c r="B3865" s="13"/>
      <c r="C3865" s="13"/>
      <c r="D3865" s="13"/>
      <c r="E3865" s="13"/>
      <c r="F3865" s="13"/>
      <c r="G3865" s="13"/>
      <c r="H3865" s="13"/>
      <c r="I3865" s="13"/>
      <c r="J3865" s="13"/>
      <c r="K3865" s="13"/>
      <c r="L3865" s="13"/>
      <c r="M3865" s="13"/>
      <c r="N3865" s="13"/>
    </row>
    <row r="3866" ht="15.75" hidden="1" customHeight="1">
      <c r="A3866" s="13"/>
      <c r="B3866" s="13"/>
      <c r="C3866" s="13"/>
      <c r="D3866" s="13"/>
      <c r="E3866" s="13"/>
      <c r="F3866" s="13"/>
      <c r="G3866" s="13"/>
      <c r="H3866" s="13"/>
      <c r="I3866" s="13"/>
      <c r="J3866" s="13"/>
      <c r="K3866" s="13"/>
      <c r="L3866" s="13"/>
      <c r="M3866" s="13"/>
      <c r="N3866" s="13"/>
    </row>
    <row r="3867" ht="15.75" hidden="1" customHeight="1">
      <c r="A3867" s="13"/>
      <c r="B3867" s="13"/>
      <c r="C3867" s="13"/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</row>
    <row r="3868" ht="15.75" hidden="1" customHeight="1">
      <c r="A3868" s="13"/>
      <c r="B3868" s="13"/>
      <c r="C3868" s="13"/>
      <c r="D3868" s="13"/>
      <c r="E3868" s="13"/>
      <c r="F3868" s="13"/>
      <c r="G3868" s="13"/>
      <c r="H3868" s="13"/>
      <c r="I3868" s="13"/>
      <c r="J3868" s="13"/>
      <c r="K3868" s="13"/>
      <c r="L3868" s="13"/>
      <c r="M3868" s="13"/>
      <c r="N3868" s="13"/>
    </row>
    <row r="3869" ht="15.75" hidden="1" customHeight="1">
      <c r="A3869" s="13"/>
      <c r="B3869" s="13"/>
      <c r="C3869" s="13"/>
      <c r="D3869" s="13"/>
      <c r="E3869" s="13"/>
      <c r="F3869" s="13"/>
      <c r="G3869" s="13"/>
      <c r="H3869" s="13"/>
      <c r="I3869" s="13"/>
      <c r="J3869" s="13"/>
      <c r="K3869" s="13"/>
      <c r="L3869" s="13"/>
      <c r="M3869" s="13"/>
      <c r="N3869" s="13"/>
    </row>
    <row r="3870" ht="15.75" hidden="1" customHeight="1">
      <c r="A3870" s="13"/>
      <c r="B3870" s="13"/>
      <c r="C3870" s="13"/>
      <c r="D3870" s="13"/>
      <c r="E3870" s="13"/>
      <c r="F3870" s="13"/>
      <c r="G3870" s="13"/>
      <c r="H3870" s="13"/>
      <c r="I3870" s="13"/>
      <c r="J3870" s="13"/>
      <c r="K3870" s="13"/>
      <c r="L3870" s="13"/>
      <c r="M3870" s="13"/>
      <c r="N3870" s="13"/>
    </row>
    <row r="3871" ht="15.75" hidden="1" customHeight="1">
      <c r="A3871" s="13"/>
      <c r="B3871" s="13"/>
      <c r="C3871" s="13"/>
      <c r="D3871" s="13"/>
      <c r="E3871" s="13"/>
      <c r="F3871" s="13"/>
      <c r="G3871" s="13"/>
      <c r="H3871" s="13"/>
      <c r="I3871" s="13"/>
      <c r="J3871" s="13"/>
      <c r="K3871" s="13"/>
      <c r="L3871" s="13"/>
      <c r="M3871" s="13"/>
      <c r="N3871" s="13"/>
    </row>
    <row r="3872" ht="15.75" hidden="1" customHeight="1">
      <c r="A3872" s="13"/>
      <c r="B3872" s="13"/>
      <c r="C3872" s="13"/>
      <c r="D3872" s="13"/>
      <c r="E3872" s="13"/>
      <c r="F3872" s="13"/>
      <c r="G3872" s="13"/>
      <c r="H3872" s="13"/>
      <c r="I3872" s="13"/>
      <c r="J3872" s="13"/>
      <c r="K3872" s="13"/>
      <c r="L3872" s="13"/>
      <c r="M3872" s="13"/>
      <c r="N3872" s="13"/>
    </row>
    <row r="3873" ht="15.75" hidden="1" customHeight="1">
      <c r="A3873" s="13"/>
      <c r="B3873" s="13"/>
      <c r="C3873" s="13"/>
      <c r="D3873" s="13"/>
      <c r="E3873" s="13"/>
      <c r="F3873" s="13"/>
      <c r="G3873" s="13"/>
      <c r="H3873" s="13"/>
      <c r="I3873" s="13"/>
      <c r="J3873" s="13"/>
      <c r="K3873" s="13"/>
      <c r="L3873" s="13"/>
      <c r="M3873" s="13"/>
      <c r="N3873" s="13"/>
    </row>
    <row r="3874" ht="15.75" hidden="1" customHeight="1">
      <c r="A3874" s="13"/>
      <c r="B3874" s="13"/>
      <c r="C3874" s="13"/>
      <c r="D3874" s="13"/>
      <c r="E3874" s="13"/>
      <c r="F3874" s="13"/>
      <c r="G3874" s="13"/>
      <c r="H3874" s="13"/>
      <c r="I3874" s="13"/>
      <c r="J3874" s="13"/>
      <c r="K3874" s="13"/>
      <c r="L3874" s="13"/>
      <c r="M3874" s="13"/>
      <c r="N3874" s="13"/>
    </row>
    <row r="3875" ht="15.75" hidden="1" customHeight="1">
      <c r="A3875" s="13"/>
      <c r="B3875" s="13"/>
      <c r="C3875" s="13"/>
      <c r="D3875" s="13"/>
      <c r="E3875" s="13"/>
      <c r="F3875" s="13"/>
      <c r="G3875" s="13"/>
      <c r="H3875" s="13"/>
      <c r="I3875" s="13"/>
      <c r="J3875" s="13"/>
      <c r="K3875" s="13"/>
      <c r="L3875" s="13"/>
      <c r="M3875" s="13"/>
      <c r="N3875" s="13"/>
    </row>
    <row r="3876" ht="15.75" hidden="1" customHeight="1">
      <c r="A3876" s="13"/>
      <c r="B3876" s="13"/>
      <c r="C3876" s="13"/>
      <c r="D3876" s="13"/>
      <c r="E3876" s="13"/>
      <c r="F3876" s="13"/>
      <c r="G3876" s="13"/>
      <c r="H3876" s="13"/>
      <c r="I3876" s="13"/>
      <c r="J3876" s="13"/>
      <c r="K3876" s="13"/>
      <c r="L3876" s="13"/>
      <c r="M3876" s="13"/>
      <c r="N3876" s="13"/>
    </row>
    <row r="3877" ht="15.75" hidden="1" customHeight="1">
      <c r="A3877" s="13"/>
      <c r="B3877" s="13"/>
      <c r="C3877" s="13"/>
      <c r="D3877" s="13"/>
      <c r="E3877" s="13"/>
      <c r="F3877" s="13"/>
      <c r="G3877" s="13"/>
      <c r="H3877" s="13"/>
      <c r="I3877" s="13"/>
      <c r="J3877" s="13"/>
      <c r="K3877" s="13"/>
      <c r="L3877" s="13"/>
      <c r="M3877" s="13"/>
      <c r="N3877" s="13"/>
    </row>
    <row r="3878" ht="15.75" hidden="1" customHeight="1">
      <c r="A3878" s="13"/>
      <c r="B3878" s="13"/>
      <c r="C3878" s="13"/>
      <c r="D3878" s="13"/>
      <c r="E3878" s="13"/>
      <c r="F3878" s="13"/>
      <c r="G3878" s="13"/>
      <c r="H3878" s="13"/>
      <c r="I3878" s="13"/>
      <c r="J3878" s="13"/>
      <c r="K3878" s="13"/>
      <c r="L3878" s="13"/>
      <c r="M3878" s="13"/>
      <c r="N3878" s="13"/>
    </row>
    <row r="3879" ht="15.75" hidden="1" customHeight="1">
      <c r="A3879" s="13"/>
      <c r="B3879" s="13"/>
      <c r="C3879" s="13"/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</row>
    <row r="3880" ht="15.75" hidden="1" customHeight="1">
      <c r="A3880" s="13"/>
      <c r="B3880" s="13"/>
      <c r="C3880" s="13"/>
      <c r="D3880" s="13"/>
      <c r="E3880" s="13"/>
      <c r="F3880" s="13"/>
      <c r="G3880" s="13"/>
      <c r="H3880" s="13"/>
      <c r="I3880" s="13"/>
      <c r="J3880" s="13"/>
      <c r="K3880" s="13"/>
      <c r="L3880" s="13"/>
      <c r="M3880" s="13"/>
      <c r="N3880" s="13"/>
    </row>
    <row r="3881" ht="15.75" hidden="1" customHeight="1">
      <c r="A3881" s="13"/>
      <c r="B3881" s="13"/>
      <c r="C3881" s="13"/>
      <c r="D3881" s="13"/>
      <c r="E3881" s="13"/>
      <c r="F3881" s="13"/>
      <c r="G3881" s="13"/>
      <c r="H3881" s="13"/>
      <c r="I3881" s="13"/>
      <c r="J3881" s="13"/>
      <c r="K3881" s="13"/>
      <c r="L3881" s="13"/>
      <c r="M3881" s="13"/>
      <c r="N3881" s="13"/>
    </row>
    <row r="3882" ht="15.75" hidden="1" customHeight="1">
      <c r="A3882" s="13"/>
      <c r="B3882" s="13"/>
      <c r="C3882" s="13"/>
      <c r="D3882" s="13"/>
      <c r="E3882" s="13"/>
      <c r="F3882" s="13"/>
      <c r="G3882" s="13"/>
      <c r="H3882" s="13"/>
      <c r="I3882" s="13"/>
      <c r="J3882" s="13"/>
      <c r="K3882" s="13"/>
      <c r="L3882" s="13"/>
      <c r="M3882" s="13"/>
      <c r="N3882" s="13"/>
    </row>
    <row r="3883" ht="15.75" hidden="1" customHeight="1">
      <c r="A3883" s="13"/>
      <c r="B3883" s="13"/>
      <c r="C3883" s="13"/>
      <c r="D3883" s="13"/>
      <c r="E3883" s="13"/>
      <c r="F3883" s="13"/>
      <c r="G3883" s="13"/>
      <c r="H3883" s="13"/>
      <c r="I3883" s="13"/>
      <c r="J3883" s="13"/>
      <c r="K3883" s="13"/>
      <c r="L3883" s="13"/>
      <c r="M3883" s="13"/>
      <c r="N3883" s="13"/>
    </row>
    <row r="3884" ht="15.75" hidden="1" customHeight="1">
      <c r="A3884" s="13"/>
      <c r="B3884" s="13"/>
      <c r="C3884" s="13"/>
      <c r="D3884" s="13"/>
      <c r="E3884" s="13"/>
      <c r="F3884" s="13"/>
      <c r="G3884" s="13"/>
      <c r="H3884" s="13"/>
      <c r="I3884" s="13"/>
      <c r="J3884" s="13"/>
      <c r="K3884" s="13"/>
      <c r="L3884" s="13"/>
      <c r="M3884" s="13"/>
      <c r="N3884" s="13"/>
    </row>
    <row r="3885" ht="15.75" hidden="1" customHeight="1">
      <c r="A3885" s="13"/>
      <c r="B3885" s="13"/>
      <c r="C3885" s="13"/>
      <c r="D3885" s="13"/>
      <c r="E3885" s="13"/>
      <c r="F3885" s="13"/>
      <c r="G3885" s="13"/>
      <c r="H3885" s="13"/>
      <c r="I3885" s="13"/>
      <c r="J3885" s="13"/>
      <c r="K3885" s="13"/>
      <c r="L3885" s="13"/>
      <c r="M3885" s="13"/>
      <c r="N3885" s="13"/>
    </row>
    <row r="3886" ht="15.75" hidden="1" customHeight="1">
      <c r="A3886" s="13"/>
      <c r="B3886" s="13"/>
      <c r="C3886" s="13"/>
      <c r="D3886" s="13"/>
      <c r="E3886" s="13"/>
      <c r="F3886" s="13"/>
      <c r="G3886" s="13"/>
      <c r="H3886" s="13"/>
      <c r="I3886" s="13"/>
      <c r="J3886" s="13"/>
      <c r="K3886" s="13"/>
      <c r="L3886" s="13"/>
      <c r="M3886" s="13"/>
      <c r="N3886" s="13"/>
    </row>
    <row r="3887" ht="15.75" hidden="1" customHeight="1">
      <c r="A3887" s="13"/>
      <c r="B3887" s="13"/>
      <c r="C3887" s="13"/>
      <c r="D3887" s="13"/>
      <c r="E3887" s="13"/>
      <c r="F3887" s="13"/>
      <c r="G3887" s="13"/>
      <c r="H3887" s="13"/>
      <c r="I3887" s="13"/>
      <c r="J3887" s="13"/>
      <c r="K3887" s="13"/>
      <c r="L3887" s="13"/>
      <c r="M3887" s="13"/>
      <c r="N3887" s="13"/>
    </row>
    <row r="3888" ht="15.75" hidden="1" customHeight="1">
      <c r="A3888" s="13"/>
      <c r="B3888" s="13"/>
      <c r="C3888" s="13"/>
      <c r="D3888" s="13"/>
      <c r="E3888" s="13"/>
      <c r="F3888" s="13"/>
      <c r="G3888" s="13"/>
      <c r="H3888" s="13"/>
      <c r="I3888" s="13"/>
      <c r="J3888" s="13"/>
      <c r="K3888" s="13"/>
      <c r="L3888" s="13"/>
      <c r="M3888" s="13"/>
      <c r="N3888" s="13"/>
    </row>
    <row r="3889" ht="15.75" hidden="1" customHeight="1">
      <c r="A3889" s="13"/>
      <c r="B3889" s="13"/>
      <c r="C3889" s="13"/>
      <c r="D3889" s="13"/>
      <c r="E3889" s="13"/>
      <c r="F3889" s="13"/>
      <c r="G3889" s="13"/>
      <c r="H3889" s="13"/>
      <c r="I3889" s="13"/>
      <c r="J3889" s="13"/>
      <c r="K3889" s="13"/>
      <c r="L3889" s="13"/>
      <c r="M3889" s="13"/>
      <c r="N3889" s="13"/>
    </row>
    <row r="3890" ht="15.75" hidden="1" customHeight="1">
      <c r="A3890" s="13"/>
      <c r="B3890" s="13"/>
      <c r="C3890" s="13"/>
      <c r="D3890" s="13"/>
      <c r="E3890" s="13"/>
      <c r="F3890" s="13"/>
      <c r="G3890" s="13"/>
      <c r="H3890" s="13"/>
      <c r="I3890" s="13"/>
      <c r="J3890" s="13"/>
      <c r="K3890" s="13"/>
      <c r="L3890" s="13"/>
      <c r="M3890" s="13"/>
      <c r="N3890" s="13"/>
    </row>
    <row r="3891" ht="15.75" hidden="1" customHeight="1">
      <c r="A3891" s="13"/>
      <c r="B3891" s="13"/>
      <c r="C3891" s="13"/>
      <c r="D3891" s="13"/>
      <c r="E3891" s="13"/>
      <c r="F3891" s="13"/>
      <c r="G3891" s="13"/>
      <c r="H3891" s="13"/>
      <c r="I3891" s="13"/>
      <c r="J3891" s="13"/>
      <c r="K3891" s="13"/>
      <c r="L3891" s="13"/>
      <c r="M3891" s="13"/>
      <c r="N3891" s="13"/>
    </row>
    <row r="3892" ht="15.75" hidden="1" customHeight="1">
      <c r="A3892" s="13"/>
      <c r="B3892" s="13"/>
      <c r="C3892" s="13"/>
      <c r="D3892" s="13"/>
      <c r="E3892" s="13"/>
      <c r="F3892" s="13"/>
      <c r="G3892" s="13"/>
      <c r="H3892" s="13"/>
      <c r="I3892" s="13"/>
      <c r="J3892" s="13"/>
      <c r="K3892" s="13"/>
      <c r="L3892" s="13"/>
      <c r="M3892" s="13"/>
      <c r="N3892" s="13"/>
    </row>
    <row r="3893" ht="15.75" hidden="1" customHeight="1">
      <c r="A3893" s="13"/>
      <c r="B3893" s="13"/>
      <c r="C3893" s="13"/>
      <c r="D3893" s="13"/>
      <c r="E3893" s="13"/>
      <c r="F3893" s="13"/>
      <c r="G3893" s="13"/>
      <c r="H3893" s="13"/>
      <c r="I3893" s="13"/>
      <c r="J3893" s="13"/>
      <c r="K3893" s="13"/>
      <c r="L3893" s="13"/>
      <c r="M3893" s="13"/>
      <c r="N3893" s="13"/>
    </row>
    <row r="3894" ht="15.75" hidden="1" customHeight="1">
      <c r="A3894" s="13"/>
      <c r="B3894" s="13"/>
      <c r="C3894" s="13"/>
      <c r="D3894" s="13"/>
      <c r="E3894" s="13"/>
      <c r="F3894" s="13"/>
      <c r="G3894" s="13"/>
      <c r="H3894" s="13"/>
      <c r="I3894" s="13"/>
      <c r="J3894" s="13"/>
      <c r="K3894" s="13"/>
      <c r="L3894" s="13"/>
      <c r="M3894" s="13"/>
      <c r="N3894" s="13"/>
    </row>
    <row r="3895" ht="15.75" hidden="1" customHeight="1">
      <c r="A3895" s="13"/>
      <c r="B3895" s="13"/>
      <c r="C3895" s="13"/>
      <c r="D3895" s="13"/>
      <c r="E3895" s="13"/>
      <c r="F3895" s="13"/>
      <c r="G3895" s="13"/>
      <c r="H3895" s="13"/>
      <c r="I3895" s="13"/>
      <c r="J3895" s="13"/>
      <c r="K3895" s="13"/>
      <c r="L3895" s="13"/>
      <c r="M3895" s="13"/>
      <c r="N3895" s="13"/>
    </row>
    <row r="3896" ht="15.75" hidden="1" customHeight="1">
      <c r="A3896" s="13"/>
      <c r="B3896" s="13"/>
      <c r="C3896" s="13"/>
      <c r="D3896" s="13"/>
      <c r="E3896" s="13"/>
      <c r="F3896" s="13"/>
      <c r="G3896" s="13"/>
      <c r="H3896" s="13"/>
      <c r="I3896" s="13"/>
      <c r="J3896" s="13"/>
      <c r="K3896" s="13"/>
      <c r="L3896" s="13"/>
      <c r="M3896" s="13"/>
      <c r="N3896" s="13"/>
    </row>
    <row r="3897" ht="15.75" hidden="1" customHeight="1">
      <c r="A3897" s="13"/>
      <c r="B3897" s="13"/>
      <c r="C3897" s="13"/>
      <c r="D3897" s="13"/>
      <c r="E3897" s="13"/>
      <c r="F3897" s="13"/>
      <c r="G3897" s="13"/>
      <c r="H3897" s="13"/>
      <c r="I3897" s="13"/>
      <c r="J3897" s="13"/>
      <c r="K3897" s="13"/>
      <c r="L3897" s="13"/>
      <c r="M3897" s="13"/>
      <c r="N3897" s="13"/>
    </row>
    <row r="3898" ht="15.75" hidden="1" customHeight="1">
      <c r="A3898" s="13"/>
      <c r="B3898" s="13"/>
      <c r="C3898" s="13"/>
      <c r="D3898" s="13"/>
      <c r="E3898" s="13"/>
      <c r="F3898" s="13"/>
      <c r="G3898" s="13"/>
      <c r="H3898" s="13"/>
      <c r="I3898" s="13"/>
      <c r="J3898" s="13"/>
      <c r="K3898" s="13"/>
      <c r="L3898" s="13"/>
      <c r="M3898" s="13"/>
      <c r="N3898" s="13"/>
    </row>
    <row r="3899" ht="15.75" hidden="1" customHeight="1">
      <c r="A3899" s="13"/>
      <c r="B3899" s="13"/>
      <c r="C3899" s="13"/>
      <c r="D3899" s="13"/>
      <c r="E3899" s="13"/>
      <c r="F3899" s="13"/>
      <c r="G3899" s="13"/>
      <c r="H3899" s="13"/>
      <c r="I3899" s="13"/>
      <c r="J3899" s="13"/>
      <c r="K3899" s="13"/>
      <c r="L3899" s="13"/>
      <c r="M3899" s="13"/>
      <c r="N3899" s="13"/>
    </row>
    <row r="3900" ht="15.75" hidden="1" customHeight="1">
      <c r="A3900" s="13"/>
      <c r="B3900" s="13"/>
      <c r="C3900" s="13"/>
      <c r="D3900" s="13"/>
      <c r="E3900" s="13"/>
      <c r="F3900" s="13"/>
      <c r="G3900" s="13"/>
      <c r="H3900" s="13"/>
      <c r="I3900" s="13"/>
      <c r="J3900" s="13"/>
      <c r="K3900" s="13"/>
      <c r="L3900" s="13"/>
      <c r="M3900" s="13"/>
      <c r="N3900" s="13"/>
    </row>
    <row r="3901" ht="15.75" hidden="1" customHeight="1">
      <c r="A3901" s="13"/>
      <c r="B3901" s="13"/>
      <c r="C3901" s="13"/>
      <c r="D3901" s="13"/>
      <c r="E3901" s="13"/>
      <c r="F3901" s="13"/>
      <c r="G3901" s="13"/>
      <c r="H3901" s="13"/>
      <c r="I3901" s="13"/>
      <c r="J3901" s="13"/>
      <c r="K3901" s="13"/>
      <c r="L3901" s="13"/>
      <c r="M3901" s="13"/>
      <c r="N3901" s="13"/>
    </row>
    <row r="3902" ht="15.75" hidden="1" customHeight="1">
      <c r="A3902" s="13"/>
      <c r="B3902" s="13"/>
      <c r="C3902" s="13"/>
      <c r="D3902" s="13"/>
      <c r="E3902" s="13"/>
      <c r="F3902" s="13"/>
      <c r="G3902" s="13"/>
      <c r="H3902" s="13"/>
      <c r="I3902" s="13"/>
      <c r="J3902" s="13"/>
      <c r="K3902" s="13"/>
      <c r="L3902" s="13"/>
      <c r="M3902" s="13"/>
      <c r="N3902" s="13"/>
    </row>
    <row r="3903" ht="15.75" hidden="1" customHeight="1">
      <c r="A3903" s="13"/>
      <c r="B3903" s="13"/>
      <c r="C3903" s="13"/>
      <c r="D3903" s="13"/>
      <c r="E3903" s="13"/>
      <c r="F3903" s="13"/>
      <c r="G3903" s="13"/>
      <c r="H3903" s="13"/>
      <c r="I3903" s="13"/>
      <c r="J3903" s="13"/>
      <c r="K3903" s="13"/>
      <c r="L3903" s="13"/>
      <c r="M3903" s="13"/>
      <c r="N3903" s="13"/>
    </row>
    <row r="3904" ht="15.75" hidden="1" customHeight="1">
      <c r="A3904" s="13"/>
      <c r="B3904" s="13"/>
      <c r="C3904" s="13"/>
      <c r="D3904" s="13"/>
      <c r="E3904" s="13"/>
      <c r="F3904" s="13"/>
      <c r="G3904" s="13"/>
      <c r="H3904" s="13"/>
      <c r="I3904" s="13"/>
      <c r="J3904" s="13"/>
      <c r="K3904" s="13"/>
      <c r="L3904" s="13"/>
      <c r="M3904" s="13"/>
      <c r="N3904" s="13"/>
    </row>
    <row r="3905" ht="15.75" hidden="1" customHeight="1">
      <c r="A3905" s="13"/>
      <c r="B3905" s="13"/>
      <c r="C3905" s="13"/>
      <c r="D3905" s="13"/>
      <c r="E3905" s="13"/>
      <c r="F3905" s="13"/>
      <c r="G3905" s="13"/>
      <c r="H3905" s="13"/>
      <c r="I3905" s="13"/>
      <c r="J3905" s="13"/>
      <c r="K3905" s="13"/>
      <c r="L3905" s="13"/>
      <c r="M3905" s="13"/>
      <c r="N3905" s="13"/>
    </row>
    <row r="3906" ht="15.75" hidden="1" customHeight="1">
      <c r="A3906" s="13"/>
      <c r="B3906" s="13"/>
      <c r="C3906" s="13"/>
      <c r="D3906" s="13"/>
      <c r="E3906" s="13"/>
      <c r="F3906" s="13"/>
      <c r="G3906" s="13"/>
      <c r="H3906" s="13"/>
      <c r="I3906" s="13"/>
      <c r="J3906" s="13"/>
      <c r="K3906" s="13"/>
      <c r="L3906" s="13"/>
      <c r="M3906" s="13"/>
      <c r="N3906" s="13"/>
    </row>
    <row r="3907" ht="15.75" hidden="1" customHeight="1">
      <c r="A3907" s="13"/>
      <c r="B3907" s="13"/>
      <c r="C3907" s="13"/>
      <c r="D3907" s="13"/>
      <c r="E3907" s="13"/>
      <c r="F3907" s="13"/>
      <c r="G3907" s="13"/>
      <c r="H3907" s="13"/>
      <c r="I3907" s="13"/>
      <c r="J3907" s="13"/>
      <c r="K3907" s="13"/>
      <c r="L3907" s="13"/>
      <c r="M3907" s="13"/>
      <c r="N3907" s="13"/>
    </row>
    <row r="3908" ht="15.75" hidden="1" customHeight="1">
      <c r="A3908" s="13"/>
      <c r="B3908" s="13"/>
      <c r="C3908" s="13"/>
      <c r="D3908" s="13"/>
      <c r="E3908" s="13"/>
      <c r="F3908" s="13"/>
      <c r="G3908" s="13"/>
      <c r="H3908" s="13"/>
      <c r="I3908" s="13"/>
      <c r="J3908" s="13"/>
      <c r="K3908" s="13"/>
      <c r="L3908" s="13"/>
      <c r="M3908" s="13"/>
      <c r="N3908" s="13"/>
    </row>
    <row r="3909" ht="15.75" hidden="1" customHeight="1">
      <c r="A3909" s="13"/>
      <c r="B3909" s="13"/>
      <c r="C3909" s="13"/>
      <c r="D3909" s="13"/>
      <c r="E3909" s="13"/>
      <c r="F3909" s="13"/>
      <c r="G3909" s="13"/>
      <c r="H3909" s="13"/>
      <c r="I3909" s="13"/>
      <c r="J3909" s="13"/>
      <c r="K3909" s="13"/>
      <c r="L3909" s="13"/>
      <c r="M3909" s="13"/>
      <c r="N3909" s="13"/>
    </row>
    <row r="3910" ht="15.75" hidden="1" customHeight="1">
      <c r="A3910" s="13"/>
      <c r="B3910" s="13"/>
      <c r="C3910" s="13"/>
      <c r="D3910" s="13"/>
      <c r="E3910" s="13"/>
      <c r="F3910" s="13"/>
      <c r="G3910" s="13"/>
      <c r="H3910" s="13"/>
      <c r="I3910" s="13"/>
      <c r="J3910" s="13"/>
      <c r="K3910" s="13"/>
      <c r="L3910" s="13"/>
      <c r="M3910" s="13"/>
      <c r="N3910" s="13"/>
    </row>
    <row r="3911" ht="15.75" hidden="1" customHeight="1">
      <c r="A3911" s="13"/>
      <c r="B3911" s="13"/>
      <c r="C3911" s="13"/>
      <c r="D3911" s="13"/>
      <c r="E3911" s="13"/>
      <c r="F3911" s="13"/>
      <c r="G3911" s="13"/>
      <c r="H3911" s="13"/>
      <c r="I3911" s="13"/>
      <c r="J3911" s="13"/>
      <c r="K3911" s="13"/>
      <c r="L3911" s="13"/>
      <c r="M3911" s="13"/>
      <c r="N3911" s="13"/>
    </row>
    <row r="3912" ht="15.75" hidden="1" customHeight="1">
      <c r="A3912" s="13"/>
      <c r="B3912" s="13"/>
      <c r="C3912" s="13"/>
      <c r="D3912" s="13"/>
      <c r="E3912" s="13"/>
      <c r="F3912" s="13"/>
      <c r="G3912" s="13"/>
      <c r="H3912" s="13"/>
      <c r="I3912" s="13"/>
      <c r="J3912" s="13"/>
      <c r="K3912" s="13"/>
      <c r="L3912" s="13"/>
      <c r="M3912" s="13"/>
      <c r="N3912" s="13"/>
    </row>
    <row r="3913" ht="15.75" hidden="1" customHeight="1">
      <c r="A3913" s="13"/>
      <c r="B3913" s="13"/>
      <c r="C3913" s="13"/>
      <c r="D3913" s="13"/>
      <c r="E3913" s="13"/>
      <c r="F3913" s="13"/>
      <c r="G3913" s="13"/>
      <c r="H3913" s="13"/>
      <c r="I3913" s="13"/>
      <c r="J3913" s="13"/>
      <c r="K3913" s="13"/>
      <c r="L3913" s="13"/>
      <c r="M3913" s="13"/>
      <c r="N3913" s="13"/>
    </row>
    <row r="3914" ht="15.75" hidden="1" customHeight="1">
      <c r="A3914" s="13"/>
      <c r="B3914" s="13"/>
      <c r="C3914" s="13"/>
      <c r="D3914" s="13"/>
      <c r="E3914" s="13"/>
      <c r="F3914" s="13"/>
      <c r="G3914" s="13"/>
      <c r="H3914" s="13"/>
      <c r="I3914" s="13"/>
      <c r="J3914" s="13"/>
      <c r="K3914" s="13"/>
      <c r="L3914" s="13"/>
      <c r="M3914" s="13"/>
      <c r="N3914" s="13"/>
    </row>
    <row r="3915" ht="15.75" hidden="1" customHeight="1">
      <c r="A3915" s="13"/>
      <c r="B3915" s="13"/>
      <c r="C3915" s="13"/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</row>
    <row r="3916" ht="15.75" hidden="1" customHeight="1">
      <c r="A3916" s="13"/>
      <c r="B3916" s="13"/>
      <c r="C3916" s="13"/>
      <c r="D3916" s="13"/>
      <c r="E3916" s="13"/>
      <c r="F3916" s="13"/>
      <c r="G3916" s="13"/>
      <c r="H3916" s="13"/>
      <c r="I3916" s="13"/>
      <c r="J3916" s="13"/>
      <c r="K3916" s="13"/>
      <c r="L3916" s="13"/>
      <c r="M3916" s="13"/>
      <c r="N3916" s="13"/>
    </row>
    <row r="3917" ht="15.75" hidden="1" customHeight="1">
      <c r="A3917" s="13"/>
      <c r="B3917" s="13"/>
      <c r="C3917" s="13"/>
      <c r="D3917" s="13"/>
      <c r="E3917" s="13"/>
      <c r="F3917" s="13"/>
      <c r="G3917" s="13"/>
      <c r="H3917" s="13"/>
      <c r="I3917" s="13"/>
      <c r="J3917" s="13"/>
      <c r="K3917" s="13"/>
      <c r="L3917" s="13"/>
      <c r="M3917" s="13"/>
      <c r="N3917" s="13"/>
    </row>
    <row r="3918" ht="15.75" hidden="1" customHeight="1">
      <c r="A3918" s="13"/>
      <c r="B3918" s="13"/>
      <c r="C3918" s="13"/>
      <c r="D3918" s="13"/>
      <c r="E3918" s="13"/>
      <c r="F3918" s="13"/>
      <c r="G3918" s="13"/>
      <c r="H3918" s="13"/>
      <c r="I3918" s="13"/>
      <c r="J3918" s="13"/>
      <c r="K3918" s="13"/>
      <c r="L3918" s="13"/>
      <c r="M3918" s="13"/>
      <c r="N3918" s="13"/>
    </row>
    <row r="3919" ht="15.75" hidden="1" customHeight="1">
      <c r="A3919" s="13"/>
      <c r="B3919" s="13"/>
      <c r="C3919" s="13"/>
      <c r="D3919" s="13"/>
      <c r="E3919" s="13"/>
      <c r="F3919" s="13"/>
      <c r="G3919" s="13"/>
      <c r="H3919" s="13"/>
      <c r="I3919" s="13"/>
      <c r="J3919" s="13"/>
      <c r="K3919" s="13"/>
      <c r="L3919" s="13"/>
      <c r="M3919" s="13"/>
      <c r="N3919" s="13"/>
    </row>
    <row r="3920" ht="15.75" hidden="1" customHeight="1">
      <c r="A3920" s="13"/>
      <c r="B3920" s="13"/>
      <c r="C3920" s="13"/>
      <c r="D3920" s="13"/>
      <c r="E3920" s="13"/>
      <c r="F3920" s="13"/>
      <c r="G3920" s="13"/>
      <c r="H3920" s="13"/>
      <c r="I3920" s="13"/>
      <c r="J3920" s="13"/>
      <c r="K3920" s="13"/>
      <c r="L3920" s="13"/>
      <c r="M3920" s="13"/>
      <c r="N3920" s="13"/>
    </row>
    <row r="3921" ht="15.75" hidden="1" customHeight="1">
      <c r="A3921" s="13"/>
      <c r="B3921" s="13"/>
      <c r="C3921" s="13"/>
      <c r="D3921" s="13"/>
      <c r="E3921" s="13"/>
      <c r="F3921" s="13"/>
      <c r="G3921" s="13"/>
      <c r="H3921" s="13"/>
      <c r="I3921" s="13"/>
      <c r="J3921" s="13"/>
      <c r="K3921" s="13"/>
      <c r="L3921" s="13"/>
      <c r="M3921" s="13"/>
      <c r="N3921" s="13"/>
    </row>
    <row r="3922" ht="15.75" hidden="1" customHeight="1">
      <c r="A3922" s="13"/>
      <c r="B3922" s="13"/>
      <c r="C3922" s="13"/>
      <c r="D3922" s="13"/>
      <c r="E3922" s="13"/>
      <c r="F3922" s="13"/>
      <c r="G3922" s="13"/>
      <c r="H3922" s="13"/>
      <c r="I3922" s="13"/>
      <c r="J3922" s="13"/>
      <c r="K3922" s="13"/>
      <c r="L3922" s="13"/>
      <c r="M3922" s="13"/>
      <c r="N3922" s="13"/>
    </row>
    <row r="3923" ht="15.75" hidden="1" customHeight="1">
      <c r="A3923" s="13"/>
      <c r="B3923" s="13"/>
      <c r="C3923" s="13"/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</row>
    <row r="3924" ht="15.75" hidden="1" customHeight="1">
      <c r="A3924" s="13"/>
      <c r="B3924" s="13"/>
      <c r="C3924" s="13"/>
      <c r="D3924" s="13"/>
      <c r="E3924" s="13"/>
      <c r="F3924" s="13"/>
      <c r="G3924" s="13"/>
      <c r="H3924" s="13"/>
      <c r="I3924" s="13"/>
      <c r="J3924" s="13"/>
      <c r="K3924" s="13"/>
      <c r="L3924" s="13"/>
      <c r="M3924" s="13"/>
      <c r="N3924" s="13"/>
    </row>
    <row r="3925" ht="15.75" hidden="1" customHeight="1">
      <c r="A3925" s="13"/>
      <c r="B3925" s="13"/>
      <c r="C3925" s="13"/>
      <c r="D3925" s="13"/>
      <c r="E3925" s="13"/>
      <c r="F3925" s="13"/>
      <c r="G3925" s="13"/>
      <c r="H3925" s="13"/>
      <c r="I3925" s="13"/>
      <c r="J3925" s="13"/>
      <c r="K3925" s="13"/>
      <c r="L3925" s="13"/>
      <c r="M3925" s="13"/>
      <c r="N3925" s="13"/>
    </row>
    <row r="3926" ht="15.75" hidden="1" customHeight="1">
      <c r="A3926" s="13"/>
      <c r="B3926" s="13"/>
      <c r="C3926" s="13"/>
      <c r="D3926" s="13"/>
      <c r="E3926" s="13"/>
      <c r="F3926" s="13"/>
      <c r="G3926" s="13"/>
      <c r="H3926" s="13"/>
      <c r="I3926" s="13"/>
      <c r="J3926" s="13"/>
      <c r="K3926" s="13"/>
      <c r="L3926" s="13"/>
      <c r="M3926" s="13"/>
      <c r="N3926" s="13"/>
    </row>
    <row r="3927" ht="15.75" hidden="1" customHeight="1">
      <c r="A3927" s="13"/>
      <c r="B3927" s="13"/>
      <c r="C3927" s="13"/>
      <c r="D3927" s="13"/>
      <c r="E3927" s="13"/>
      <c r="F3927" s="13"/>
      <c r="G3927" s="13"/>
      <c r="H3927" s="13"/>
      <c r="I3927" s="13"/>
      <c r="J3927" s="13"/>
      <c r="K3927" s="13"/>
      <c r="L3927" s="13"/>
      <c r="M3927" s="13"/>
      <c r="N3927" s="13"/>
    </row>
    <row r="3928" ht="15.75" hidden="1" customHeight="1">
      <c r="A3928" s="13"/>
      <c r="B3928" s="13"/>
      <c r="C3928" s="13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</row>
    <row r="3929" ht="15.75" hidden="1" customHeight="1">
      <c r="A3929" s="13"/>
      <c r="B3929" s="13"/>
      <c r="C3929" s="13"/>
      <c r="D3929" s="13"/>
      <c r="E3929" s="13"/>
      <c r="F3929" s="13"/>
      <c r="G3929" s="13"/>
      <c r="H3929" s="13"/>
      <c r="I3929" s="13"/>
      <c r="J3929" s="13"/>
      <c r="K3929" s="13"/>
      <c r="L3929" s="13"/>
      <c r="M3929" s="13"/>
      <c r="N3929" s="13"/>
    </row>
    <row r="3930" ht="15.75" hidden="1" customHeight="1">
      <c r="A3930" s="13"/>
      <c r="B3930" s="13"/>
      <c r="C3930" s="13"/>
      <c r="D3930" s="13"/>
      <c r="E3930" s="13"/>
      <c r="F3930" s="13"/>
      <c r="G3930" s="13"/>
      <c r="H3930" s="13"/>
      <c r="I3930" s="13"/>
      <c r="J3930" s="13"/>
      <c r="K3930" s="13"/>
      <c r="L3930" s="13"/>
      <c r="M3930" s="13"/>
      <c r="N3930" s="13"/>
    </row>
    <row r="3931" ht="15.75" hidden="1" customHeight="1">
      <c r="A3931" s="13"/>
      <c r="B3931" s="13"/>
      <c r="C3931" s="13"/>
      <c r="D3931" s="13"/>
      <c r="E3931" s="13"/>
      <c r="F3931" s="13"/>
      <c r="G3931" s="13"/>
      <c r="H3931" s="13"/>
      <c r="I3931" s="13"/>
      <c r="J3931" s="13"/>
      <c r="K3931" s="13"/>
      <c r="L3931" s="13"/>
      <c r="M3931" s="13"/>
      <c r="N3931" s="13"/>
    </row>
    <row r="3932" ht="15.75" hidden="1" customHeight="1">
      <c r="A3932" s="13"/>
      <c r="B3932" s="13"/>
      <c r="C3932" s="13"/>
      <c r="D3932" s="13"/>
      <c r="E3932" s="13"/>
      <c r="F3932" s="13"/>
      <c r="G3932" s="13"/>
      <c r="H3932" s="13"/>
      <c r="I3932" s="13"/>
      <c r="J3932" s="13"/>
      <c r="K3932" s="13"/>
      <c r="L3932" s="13"/>
      <c r="M3932" s="13"/>
      <c r="N3932" s="13"/>
    </row>
    <row r="3933" ht="15.75" hidden="1" customHeight="1">
      <c r="A3933" s="13"/>
      <c r="B3933" s="13"/>
      <c r="C3933" s="13"/>
      <c r="D3933" s="13"/>
      <c r="E3933" s="13"/>
      <c r="F3933" s="13"/>
      <c r="G3933" s="13"/>
      <c r="H3933" s="13"/>
      <c r="I3933" s="13"/>
      <c r="J3933" s="13"/>
      <c r="K3933" s="13"/>
      <c r="L3933" s="13"/>
      <c r="M3933" s="13"/>
      <c r="N3933" s="13"/>
    </row>
    <row r="3934" ht="15.75" hidden="1" customHeight="1">
      <c r="A3934" s="13"/>
      <c r="B3934" s="13"/>
      <c r="C3934" s="13"/>
      <c r="D3934" s="13"/>
      <c r="E3934" s="13"/>
      <c r="F3934" s="13"/>
      <c r="G3934" s="13"/>
      <c r="H3934" s="13"/>
      <c r="I3934" s="13"/>
      <c r="J3934" s="13"/>
      <c r="K3934" s="13"/>
      <c r="L3934" s="13"/>
      <c r="M3934" s="13"/>
      <c r="N3934" s="13"/>
    </row>
    <row r="3935" ht="15.75" hidden="1" customHeight="1">
      <c r="A3935" s="13"/>
      <c r="B3935" s="13"/>
      <c r="C3935" s="13"/>
      <c r="D3935" s="13"/>
      <c r="E3935" s="13"/>
      <c r="F3935" s="13"/>
      <c r="G3935" s="13"/>
      <c r="H3935" s="13"/>
      <c r="I3935" s="13"/>
      <c r="J3935" s="13"/>
      <c r="K3935" s="13"/>
      <c r="L3935" s="13"/>
      <c r="M3935" s="13"/>
      <c r="N3935" s="13"/>
    </row>
    <row r="3936" ht="15.75" hidden="1" customHeight="1">
      <c r="A3936" s="13"/>
      <c r="B3936" s="13"/>
      <c r="C3936" s="13"/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</row>
    <row r="3937" ht="15.75" hidden="1" customHeight="1">
      <c r="A3937" s="13"/>
      <c r="B3937" s="13"/>
      <c r="C3937" s="13"/>
      <c r="D3937" s="13"/>
      <c r="E3937" s="13"/>
      <c r="F3937" s="13"/>
      <c r="G3937" s="13"/>
      <c r="H3937" s="13"/>
      <c r="I3937" s="13"/>
      <c r="J3937" s="13"/>
      <c r="K3937" s="13"/>
      <c r="L3937" s="13"/>
      <c r="M3937" s="13"/>
      <c r="N3937" s="13"/>
    </row>
    <row r="3938" ht="15.75" hidden="1" customHeight="1">
      <c r="A3938" s="13"/>
      <c r="B3938" s="13"/>
      <c r="C3938" s="13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</row>
    <row r="3939" ht="15.75" hidden="1" customHeight="1">
      <c r="A3939" s="13"/>
      <c r="B3939" s="13"/>
      <c r="C3939" s="13"/>
      <c r="D3939" s="13"/>
      <c r="E3939" s="13"/>
      <c r="F3939" s="13"/>
      <c r="G3939" s="13"/>
      <c r="H3939" s="13"/>
      <c r="I3939" s="13"/>
      <c r="J3939" s="13"/>
      <c r="K3939" s="13"/>
      <c r="L3939" s="13"/>
      <c r="M3939" s="13"/>
      <c r="N3939" s="13"/>
    </row>
    <row r="3940" ht="15.75" hidden="1" customHeight="1">
      <c r="A3940" s="13"/>
      <c r="B3940" s="13"/>
      <c r="C3940" s="13"/>
      <c r="D3940" s="13"/>
      <c r="E3940" s="13"/>
      <c r="F3940" s="13"/>
      <c r="G3940" s="13"/>
      <c r="H3940" s="13"/>
      <c r="I3940" s="13"/>
      <c r="J3940" s="13"/>
      <c r="K3940" s="13"/>
      <c r="L3940" s="13"/>
      <c r="M3940" s="13"/>
      <c r="N3940" s="13"/>
    </row>
    <row r="3941" ht="15.75" hidden="1" customHeight="1">
      <c r="A3941" s="13"/>
      <c r="B3941" s="13"/>
      <c r="C3941" s="13"/>
      <c r="D3941" s="13"/>
      <c r="E3941" s="13"/>
      <c r="F3941" s="13"/>
      <c r="G3941" s="13"/>
      <c r="H3941" s="13"/>
      <c r="I3941" s="13"/>
      <c r="J3941" s="13"/>
      <c r="K3941" s="13"/>
      <c r="L3941" s="13"/>
      <c r="M3941" s="13"/>
      <c r="N3941" s="13"/>
    </row>
    <row r="3942" ht="15.75" hidden="1" customHeight="1">
      <c r="A3942" s="13"/>
      <c r="B3942" s="13"/>
      <c r="C3942" s="13"/>
      <c r="D3942" s="13"/>
      <c r="E3942" s="13"/>
      <c r="F3942" s="13"/>
      <c r="G3942" s="13"/>
      <c r="H3942" s="13"/>
      <c r="I3942" s="13"/>
      <c r="J3942" s="13"/>
      <c r="K3942" s="13"/>
      <c r="L3942" s="13"/>
      <c r="M3942" s="13"/>
      <c r="N3942" s="13"/>
    </row>
    <row r="3943" ht="15.75" hidden="1" customHeight="1">
      <c r="A3943" s="13"/>
      <c r="B3943" s="13"/>
      <c r="C3943" s="13"/>
      <c r="D3943" s="13"/>
      <c r="E3943" s="13"/>
      <c r="F3943" s="13"/>
      <c r="G3943" s="13"/>
      <c r="H3943" s="13"/>
      <c r="I3943" s="13"/>
      <c r="J3943" s="13"/>
      <c r="K3943" s="13"/>
      <c r="L3943" s="13"/>
      <c r="M3943" s="13"/>
      <c r="N3943" s="13"/>
    </row>
    <row r="3944" ht="15.75" hidden="1" customHeight="1">
      <c r="A3944" s="13"/>
      <c r="B3944" s="13"/>
      <c r="C3944" s="13"/>
      <c r="D3944" s="13"/>
      <c r="E3944" s="13"/>
      <c r="F3944" s="13"/>
      <c r="G3944" s="13"/>
      <c r="H3944" s="13"/>
      <c r="I3944" s="13"/>
      <c r="J3944" s="13"/>
      <c r="K3944" s="13"/>
      <c r="L3944" s="13"/>
      <c r="M3944" s="13"/>
      <c r="N3944" s="13"/>
    </row>
    <row r="3945" ht="15.75" hidden="1" customHeight="1">
      <c r="A3945" s="13"/>
      <c r="B3945" s="13"/>
      <c r="C3945" s="13"/>
      <c r="D3945" s="13"/>
      <c r="E3945" s="13"/>
      <c r="F3945" s="13"/>
      <c r="G3945" s="13"/>
      <c r="H3945" s="13"/>
      <c r="I3945" s="13"/>
      <c r="J3945" s="13"/>
      <c r="K3945" s="13"/>
      <c r="L3945" s="13"/>
      <c r="M3945" s="13"/>
      <c r="N3945" s="13"/>
    </row>
    <row r="3946" ht="15.75" hidden="1" customHeight="1">
      <c r="A3946" s="13"/>
      <c r="B3946" s="13"/>
      <c r="C3946" s="13"/>
      <c r="D3946" s="13"/>
      <c r="E3946" s="13"/>
      <c r="F3946" s="13"/>
      <c r="G3946" s="13"/>
      <c r="H3946" s="13"/>
      <c r="I3946" s="13"/>
      <c r="J3946" s="13"/>
      <c r="K3946" s="13"/>
      <c r="L3946" s="13"/>
      <c r="M3946" s="13"/>
      <c r="N3946" s="13"/>
    </row>
    <row r="3947" ht="15.75" hidden="1" customHeight="1">
      <c r="A3947" s="13"/>
      <c r="B3947" s="13"/>
      <c r="C3947" s="13"/>
      <c r="D3947" s="13"/>
      <c r="E3947" s="13"/>
      <c r="F3947" s="13"/>
      <c r="G3947" s="13"/>
      <c r="H3947" s="13"/>
      <c r="I3947" s="13"/>
      <c r="J3947" s="13"/>
      <c r="K3947" s="13"/>
      <c r="L3947" s="13"/>
      <c r="M3947" s="13"/>
      <c r="N3947" s="13"/>
    </row>
    <row r="3948" ht="15.75" hidden="1" customHeight="1">
      <c r="A3948" s="13"/>
      <c r="B3948" s="13"/>
      <c r="C3948" s="13"/>
      <c r="D3948" s="13"/>
      <c r="E3948" s="13"/>
      <c r="F3948" s="13"/>
      <c r="G3948" s="13"/>
      <c r="H3948" s="13"/>
      <c r="I3948" s="13"/>
      <c r="J3948" s="13"/>
      <c r="K3948" s="13"/>
      <c r="L3948" s="13"/>
      <c r="M3948" s="13"/>
      <c r="N3948" s="13"/>
    </row>
    <row r="3949" ht="15.75" hidden="1" customHeight="1">
      <c r="A3949" s="13"/>
      <c r="B3949" s="13"/>
      <c r="C3949" s="13"/>
      <c r="D3949" s="13"/>
      <c r="E3949" s="13"/>
      <c r="F3949" s="13"/>
      <c r="G3949" s="13"/>
      <c r="H3949" s="13"/>
      <c r="I3949" s="13"/>
      <c r="J3949" s="13"/>
      <c r="K3949" s="13"/>
      <c r="L3949" s="13"/>
      <c r="M3949" s="13"/>
      <c r="N3949" s="13"/>
    </row>
    <row r="3950" ht="15.75" hidden="1" customHeight="1">
      <c r="A3950" s="13"/>
      <c r="B3950" s="13"/>
      <c r="C3950" s="13"/>
      <c r="D3950" s="13"/>
      <c r="E3950" s="13"/>
      <c r="F3950" s="13"/>
      <c r="G3950" s="13"/>
      <c r="H3950" s="13"/>
      <c r="I3950" s="13"/>
      <c r="J3950" s="13"/>
      <c r="K3950" s="13"/>
      <c r="L3950" s="13"/>
      <c r="M3950" s="13"/>
      <c r="N3950" s="13"/>
    </row>
    <row r="3951" ht="15.75" hidden="1" customHeight="1">
      <c r="A3951" s="13"/>
      <c r="B3951" s="13"/>
      <c r="C3951" s="13"/>
      <c r="D3951" s="13"/>
      <c r="E3951" s="13"/>
      <c r="F3951" s="13"/>
      <c r="G3951" s="13"/>
      <c r="H3951" s="13"/>
      <c r="I3951" s="13"/>
      <c r="J3951" s="13"/>
      <c r="K3951" s="13"/>
      <c r="L3951" s="13"/>
      <c r="M3951" s="13"/>
      <c r="N3951" s="13"/>
    </row>
    <row r="3952" ht="15.75" hidden="1" customHeight="1">
      <c r="A3952" s="13"/>
      <c r="B3952" s="13"/>
      <c r="C3952" s="13"/>
      <c r="D3952" s="13"/>
      <c r="E3952" s="13"/>
      <c r="F3952" s="13"/>
      <c r="G3952" s="13"/>
      <c r="H3952" s="13"/>
      <c r="I3952" s="13"/>
      <c r="J3952" s="13"/>
      <c r="K3952" s="13"/>
      <c r="L3952" s="13"/>
      <c r="M3952" s="13"/>
      <c r="N3952" s="13"/>
    </row>
    <row r="3953" ht="15.75" hidden="1" customHeight="1">
      <c r="A3953" s="13"/>
      <c r="B3953" s="13"/>
      <c r="C3953" s="13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</row>
    <row r="3954" ht="15.75" hidden="1" customHeight="1">
      <c r="A3954" s="13"/>
      <c r="B3954" s="13"/>
      <c r="C3954" s="13"/>
      <c r="D3954" s="13"/>
      <c r="E3954" s="13"/>
      <c r="F3954" s="13"/>
      <c r="G3954" s="13"/>
      <c r="H3954" s="13"/>
      <c r="I3954" s="13"/>
      <c r="J3954" s="13"/>
      <c r="K3954" s="13"/>
      <c r="L3954" s="13"/>
      <c r="M3954" s="13"/>
      <c r="N3954" s="13"/>
    </row>
    <row r="3955" ht="15.75" hidden="1" customHeight="1">
      <c r="A3955" s="13"/>
      <c r="B3955" s="13"/>
      <c r="C3955" s="13"/>
      <c r="D3955" s="13"/>
      <c r="E3955" s="13"/>
      <c r="F3955" s="13"/>
      <c r="G3955" s="13"/>
      <c r="H3955" s="13"/>
      <c r="I3955" s="13"/>
      <c r="J3955" s="13"/>
      <c r="K3955" s="13"/>
      <c r="L3955" s="13"/>
      <c r="M3955" s="13"/>
      <c r="N3955" s="13"/>
    </row>
    <row r="3956" ht="15.75" hidden="1" customHeight="1">
      <c r="A3956" s="13"/>
      <c r="B3956" s="13"/>
      <c r="C3956" s="13"/>
      <c r="D3956" s="13"/>
      <c r="E3956" s="13"/>
      <c r="F3956" s="13"/>
      <c r="G3956" s="13"/>
      <c r="H3956" s="13"/>
      <c r="I3956" s="13"/>
      <c r="J3956" s="13"/>
      <c r="K3956" s="13"/>
      <c r="L3956" s="13"/>
      <c r="M3956" s="13"/>
      <c r="N3956" s="13"/>
    </row>
    <row r="3957" ht="15.75" hidden="1" customHeight="1">
      <c r="A3957" s="13"/>
      <c r="B3957" s="13"/>
      <c r="C3957" s="13"/>
      <c r="D3957" s="13"/>
      <c r="E3957" s="13"/>
      <c r="F3957" s="13"/>
      <c r="G3957" s="13"/>
      <c r="H3957" s="13"/>
      <c r="I3957" s="13"/>
      <c r="J3957" s="13"/>
      <c r="K3957" s="13"/>
      <c r="L3957" s="13"/>
      <c r="M3957" s="13"/>
      <c r="N3957" s="13"/>
    </row>
    <row r="3958" ht="15.75" hidden="1" customHeight="1">
      <c r="A3958" s="13"/>
      <c r="B3958" s="13"/>
      <c r="C3958" s="13"/>
      <c r="D3958" s="13"/>
      <c r="E3958" s="13"/>
      <c r="F3958" s="13"/>
      <c r="G3958" s="13"/>
      <c r="H3958" s="13"/>
      <c r="I3958" s="13"/>
      <c r="J3958" s="13"/>
      <c r="K3958" s="13"/>
      <c r="L3958" s="13"/>
      <c r="M3958" s="13"/>
      <c r="N3958" s="13"/>
    </row>
    <row r="3959" ht="15.75" hidden="1" customHeight="1">
      <c r="A3959" s="13"/>
      <c r="B3959" s="13"/>
      <c r="C3959" s="13"/>
      <c r="D3959" s="13"/>
      <c r="E3959" s="13"/>
      <c r="F3959" s="13"/>
      <c r="G3959" s="13"/>
      <c r="H3959" s="13"/>
      <c r="I3959" s="13"/>
      <c r="J3959" s="13"/>
      <c r="K3959" s="13"/>
      <c r="L3959" s="13"/>
      <c r="M3959" s="13"/>
      <c r="N3959" s="13"/>
    </row>
    <row r="3960" ht="15.75" hidden="1" customHeight="1">
      <c r="A3960" s="13"/>
      <c r="B3960" s="13"/>
      <c r="C3960" s="13"/>
      <c r="D3960" s="13"/>
      <c r="E3960" s="13"/>
      <c r="F3960" s="13"/>
      <c r="G3960" s="13"/>
      <c r="H3960" s="13"/>
      <c r="I3960" s="13"/>
      <c r="J3960" s="13"/>
      <c r="K3960" s="13"/>
      <c r="L3960" s="13"/>
      <c r="M3960" s="13"/>
      <c r="N3960" s="13"/>
    </row>
    <row r="3961" ht="15.75" hidden="1" customHeight="1">
      <c r="A3961" s="13"/>
      <c r="B3961" s="13"/>
      <c r="C3961" s="13"/>
      <c r="D3961" s="13"/>
      <c r="E3961" s="13"/>
      <c r="F3961" s="13"/>
      <c r="G3961" s="13"/>
      <c r="H3961" s="13"/>
      <c r="I3961" s="13"/>
      <c r="J3961" s="13"/>
      <c r="K3961" s="13"/>
      <c r="L3961" s="13"/>
      <c r="M3961" s="13"/>
      <c r="N3961" s="13"/>
    </row>
    <row r="3962" ht="15.75" hidden="1" customHeight="1">
      <c r="A3962" s="13"/>
      <c r="B3962" s="13"/>
      <c r="C3962" s="13"/>
      <c r="D3962" s="13"/>
      <c r="E3962" s="13"/>
      <c r="F3962" s="13"/>
      <c r="G3962" s="13"/>
      <c r="H3962" s="13"/>
      <c r="I3962" s="13"/>
      <c r="J3962" s="13"/>
      <c r="K3962" s="13"/>
      <c r="L3962" s="13"/>
      <c r="M3962" s="13"/>
      <c r="N3962" s="13"/>
    </row>
    <row r="3963" ht="15.75" hidden="1" customHeight="1">
      <c r="A3963" s="13"/>
      <c r="B3963" s="13"/>
      <c r="C3963" s="13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</row>
    <row r="3964" ht="15.75" hidden="1" customHeight="1">
      <c r="A3964" s="13"/>
      <c r="B3964" s="13"/>
      <c r="C3964" s="13"/>
      <c r="D3964" s="13"/>
      <c r="E3964" s="13"/>
      <c r="F3964" s="13"/>
      <c r="G3964" s="13"/>
      <c r="H3964" s="13"/>
      <c r="I3964" s="13"/>
      <c r="J3964" s="13"/>
      <c r="K3964" s="13"/>
      <c r="L3964" s="13"/>
      <c r="M3964" s="13"/>
      <c r="N3964" s="13"/>
    </row>
    <row r="3965" ht="15.75" hidden="1" customHeight="1">
      <c r="A3965" s="13"/>
      <c r="B3965" s="13"/>
      <c r="C3965" s="13"/>
      <c r="D3965" s="13"/>
      <c r="E3965" s="13"/>
      <c r="F3965" s="13"/>
      <c r="G3965" s="13"/>
      <c r="H3965" s="13"/>
      <c r="I3965" s="13"/>
      <c r="J3965" s="13"/>
      <c r="K3965" s="13"/>
      <c r="L3965" s="13"/>
      <c r="M3965" s="13"/>
      <c r="N3965" s="13"/>
    </row>
    <row r="3966" ht="15.75" hidden="1" customHeight="1">
      <c r="A3966" s="13"/>
      <c r="B3966" s="13"/>
      <c r="C3966" s="13"/>
      <c r="D3966" s="13"/>
      <c r="E3966" s="13"/>
      <c r="F3966" s="13"/>
      <c r="G3966" s="13"/>
      <c r="H3966" s="13"/>
      <c r="I3966" s="13"/>
      <c r="J3966" s="13"/>
      <c r="K3966" s="13"/>
      <c r="L3966" s="13"/>
      <c r="M3966" s="13"/>
      <c r="N3966" s="13"/>
    </row>
    <row r="3967" ht="15.75" hidden="1" customHeight="1">
      <c r="A3967" s="13"/>
      <c r="B3967" s="13"/>
      <c r="C3967" s="13"/>
      <c r="D3967" s="13"/>
      <c r="E3967" s="13"/>
      <c r="F3967" s="13"/>
      <c r="G3967" s="13"/>
      <c r="H3967" s="13"/>
      <c r="I3967" s="13"/>
      <c r="J3967" s="13"/>
      <c r="K3967" s="13"/>
      <c r="L3967" s="13"/>
      <c r="M3967" s="13"/>
      <c r="N3967" s="13"/>
    </row>
    <row r="3968" ht="15.75" hidden="1" customHeight="1">
      <c r="A3968" s="13"/>
      <c r="B3968" s="13"/>
      <c r="C3968" s="13"/>
      <c r="D3968" s="13"/>
      <c r="E3968" s="13"/>
      <c r="F3968" s="13"/>
      <c r="G3968" s="13"/>
      <c r="H3968" s="13"/>
      <c r="I3968" s="13"/>
      <c r="J3968" s="13"/>
      <c r="K3968" s="13"/>
      <c r="L3968" s="13"/>
      <c r="M3968" s="13"/>
      <c r="N3968" s="13"/>
    </row>
    <row r="3969" ht="15.75" hidden="1" customHeight="1">
      <c r="A3969" s="13"/>
      <c r="B3969" s="13"/>
      <c r="C3969" s="13"/>
      <c r="D3969" s="13"/>
      <c r="E3969" s="13"/>
      <c r="F3969" s="13"/>
      <c r="G3969" s="13"/>
      <c r="H3969" s="13"/>
      <c r="I3969" s="13"/>
      <c r="J3969" s="13"/>
      <c r="K3969" s="13"/>
      <c r="L3969" s="13"/>
      <c r="M3969" s="13"/>
      <c r="N3969" s="13"/>
    </row>
    <row r="3970" ht="15.75" hidden="1" customHeight="1">
      <c r="A3970" s="13"/>
      <c r="B3970" s="13"/>
      <c r="C3970" s="13"/>
      <c r="D3970" s="13"/>
      <c r="E3970" s="13"/>
      <c r="F3970" s="13"/>
      <c r="G3970" s="13"/>
      <c r="H3970" s="13"/>
      <c r="I3970" s="13"/>
      <c r="J3970" s="13"/>
      <c r="K3970" s="13"/>
      <c r="L3970" s="13"/>
      <c r="M3970" s="13"/>
      <c r="N3970" s="13"/>
    </row>
    <row r="3971" ht="15.75" hidden="1" customHeight="1">
      <c r="A3971" s="13"/>
      <c r="B3971" s="13"/>
      <c r="C3971" s="13"/>
      <c r="D3971" s="13"/>
      <c r="E3971" s="13"/>
      <c r="F3971" s="13"/>
      <c r="G3971" s="13"/>
      <c r="H3971" s="13"/>
      <c r="I3971" s="13"/>
      <c r="J3971" s="13"/>
      <c r="K3971" s="13"/>
      <c r="L3971" s="13"/>
      <c r="M3971" s="13"/>
      <c r="N3971" s="13"/>
    </row>
    <row r="3972" ht="15.75" hidden="1" customHeight="1">
      <c r="A3972" s="13"/>
      <c r="B3972" s="13"/>
      <c r="C3972" s="13"/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</row>
    <row r="3973" ht="15.75" hidden="1" customHeight="1">
      <c r="A3973" s="13"/>
      <c r="B3973" s="13"/>
      <c r="C3973" s="13"/>
      <c r="D3973" s="13"/>
      <c r="E3973" s="13"/>
      <c r="F3973" s="13"/>
      <c r="G3973" s="13"/>
      <c r="H3973" s="13"/>
      <c r="I3973" s="13"/>
      <c r="J3973" s="13"/>
      <c r="K3973" s="13"/>
      <c r="L3973" s="13"/>
      <c r="M3973" s="13"/>
      <c r="N3973" s="13"/>
    </row>
    <row r="3974" ht="15.75" hidden="1" customHeight="1">
      <c r="A3974" s="13"/>
      <c r="B3974" s="13"/>
      <c r="C3974" s="13"/>
      <c r="D3974" s="13"/>
      <c r="E3974" s="13"/>
      <c r="F3974" s="13"/>
      <c r="G3974" s="13"/>
      <c r="H3974" s="13"/>
      <c r="I3974" s="13"/>
      <c r="J3974" s="13"/>
      <c r="K3974" s="13"/>
      <c r="L3974" s="13"/>
      <c r="M3974" s="13"/>
      <c r="N3974" s="13"/>
    </row>
    <row r="3975" ht="15.75" hidden="1" customHeight="1">
      <c r="A3975" s="13"/>
      <c r="B3975" s="13"/>
      <c r="C3975" s="13"/>
      <c r="D3975" s="13"/>
      <c r="E3975" s="13"/>
      <c r="F3975" s="13"/>
      <c r="G3975" s="13"/>
      <c r="H3975" s="13"/>
      <c r="I3975" s="13"/>
      <c r="J3975" s="13"/>
      <c r="K3975" s="13"/>
      <c r="L3975" s="13"/>
      <c r="M3975" s="13"/>
      <c r="N3975" s="13"/>
    </row>
    <row r="3976" ht="15.75" hidden="1" customHeight="1">
      <c r="A3976" s="13"/>
      <c r="B3976" s="13"/>
      <c r="C3976" s="13"/>
      <c r="D3976" s="13"/>
      <c r="E3976" s="13"/>
      <c r="F3976" s="13"/>
      <c r="G3976" s="13"/>
      <c r="H3976" s="13"/>
      <c r="I3976" s="13"/>
      <c r="J3976" s="13"/>
      <c r="K3976" s="13"/>
      <c r="L3976" s="13"/>
      <c r="M3976" s="13"/>
      <c r="N3976" s="13"/>
    </row>
    <row r="3977" ht="15.75" hidden="1" customHeight="1">
      <c r="A3977" s="13"/>
      <c r="B3977" s="13"/>
      <c r="C3977" s="13"/>
      <c r="D3977" s="13"/>
      <c r="E3977" s="13"/>
      <c r="F3977" s="13"/>
      <c r="G3977" s="13"/>
      <c r="H3977" s="13"/>
      <c r="I3977" s="13"/>
      <c r="J3977" s="13"/>
      <c r="K3977" s="13"/>
      <c r="L3977" s="13"/>
      <c r="M3977" s="13"/>
      <c r="N3977" s="13"/>
    </row>
    <row r="3978" ht="15.75" hidden="1" customHeight="1">
      <c r="A3978" s="13"/>
      <c r="B3978" s="13"/>
      <c r="C3978" s="13"/>
      <c r="D3978" s="13"/>
      <c r="E3978" s="13"/>
      <c r="F3978" s="13"/>
      <c r="G3978" s="13"/>
      <c r="H3978" s="13"/>
      <c r="I3978" s="13"/>
      <c r="J3978" s="13"/>
      <c r="K3978" s="13"/>
      <c r="L3978" s="13"/>
      <c r="M3978" s="13"/>
      <c r="N3978" s="13"/>
    </row>
    <row r="3979" ht="15.75" hidden="1" customHeight="1">
      <c r="A3979" s="13"/>
      <c r="B3979" s="13"/>
      <c r="C3979" s="13"/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</row>
    <row r="3980" ht="15.75" hidden="1" customHeight="1">
      <c r="A3980" s="13"/>
      <c r="B3980" s="13"/>
      <c r="C3980" s="13"/>
      <c r="D3980" s="13"/>
      <c r="E3980" s="13"/>
      <c r="F3980" s="13"/>
      <c r="G3980" s="13"/>
      <c r="H3980" s="13"/>
      <c r="I3980" s="13"/>
      <c r="J3980" s="13"/>
      <c r="K3980" s="13"/>
      <c r="L3980" s="13"/>
      <c r="M3980" s="13"/>
      <c r="N3980" s="13"/>
    </row>
    <row r="3981" ht="15.75" hidden="1" customHeight="1">
      <c r="A3981" s="13"/>
      <c r="B3981" s="13"/>
      <c r="C3981" s="13"/>
      <c r="D3981" s="13"/>
      <c r="E3981" s="13"/>
      <c r="F3981" s="13"/>
      <c r="G3981" s="13"/>
      <c r="H3981" s="13"/>
      <c r="I3981" s="13"/>
      <c r="J3981" s="13"/>
      <c r="K3981" s="13"/>
      <c r="L3981" s="13"/>
      <c r="M3981" s="13"/>
      <c r="N3981" s="13"/>
    </row>
    <row r="3982" ht="15.75" hidden="1" customHeight="1">
      <c r="A3982" s="13"/>
      <c r="B3982" s="13"/>
      <c r="C3982" s="13"/>
      <c r="D3982" s="13"/>
      <c r="E3982" s="13"/>
      <c r="F3982" s="13"/>
      <c r="G3982" s="13"/>
      <c r="H3982" s="13"/>
      <c r="I3982" s="13"/>
      <c r="J3982" s="13"/>
      <c r="K3982" s="13"/>
      <c r="L3982" s="13"/>
      <c r="M3982" s="13"/>
      <c r="N3982" s="13"/>
    </row>
    <row r="3983" ht="15.75" hidden="1" customHeight="1">
      <c r="A3983" s="13"/>
      <c r="B3983" s="13"/>
      <c r="C3983" s="13"/>
      <c r="D3983" s="13"/>
      <c r="E3983" s="13"/>
      <c r="F3983" s="13"/>
      <c r="G3983" s="13"/>
      <c r="H3983" s="13"/>
      <c r="I3983" s="13"/>
      <c r="J3983" s="13"/>
      <c r="K3983" s="13"/>
      <c r="L3983" s="13"/>
      <c r="M3983" s="13"/>
      <c r="N3983" s="13"/>
    </row>
    <row r="3984" ht="15.75" hidden="1" customHeight="1">
      <c r="A3984" s="13"/>
      <c r="B3984" s="13"/>
      <c r="C3984" s="13"/>
      <c r="D3984" s="13"/>
      <c r="E3984" s="13"/>
      <c r="F3984" s="13"/>
      <c r="G3984" s="13"/>
      <c r="H3984" s="13"/>
      <c r="I3984" s="13"/>
      <c r="J3984" s="13"/>
      <c r="K3984" s="13"/>
      <c r="L3984" s="13"/>
      <c r="M3984" s="13"/>
      <c r="N3984" s="13"/>
    </row>
    <row r="3985" ht="15.75" hidden="1" customHeight="1">
      <c r="A3985" s="13"/>
      <c r="B3985" s="13"/>
      <c r="C3985" s="13"/>
      <c r="D3985" s="13"/>
      <c r="E3985" s="13"/>
      <c r="F3985" s="13"/>
      <c r="G3985" s="13"/>
      <c r="H3985" s="13"/>
      <c r="I3985" s="13"/>
      <c r="J3985" s="13"/>
      <c r="K3985" s="13"/>
      <c r="L3985" s="13"/>
      <c r="M3985" s="13"/>
      <c r="N3985" s="13"/>
    </row>
    <row r="3986" ht="15.75" hidden="1" customHeight="1">
      <c r="A3986" s="13"/>
      <c r="B3986" s="13"/>
      <c r="C3986" s="13"/>
      <c r="D3986" s="13"/>
      <c r="E3986" s="13"/>
      <c r="F3986" s="13"/>
      <c r="G3986" s="13"/>
      <c r="H3986" s="13"/>
      <c r="I3986" s="13"/>
      <c r="J3986" s="13"/>
      <c r="K3986" s="13"/>
      <c r="L3986" s="13"/>
      <c r="M3986" s="13"/>
      <c r="N3986" s="13"/>
    </row>
    <row r="3987" ht="15.75" hidden="1" customHeight="1">
      <c r="A3987" s="13"/>
      <c r="B3987" s="13"/>
      <c r="C3987" s="13"/>
      <c r="D3987" s="13"/>
      <c r="E3987" s="13"/>
      <c r="F3987" s="13"/>
      <c r="G3987" s="13"/>
      <c r="H3987" s="13"/>
      <c r="I3987" s="13"/>
      <c r="J3987" s="13"/>
      <c r="K3987" s="13"/>
      <c r="L3987" s="13"/>
      <c r="M3987" s="13"/>
      <c r="N3987" s="13"/>
    </row>
    <row r="3988" ht="15.75" hidden="1" customHeight="1">
      <c r="A3988" s="13"/>
      <c r="B3988" s="13"/>
      <c r="C3988" s="13"/>
      <c r="D3988" s="13"/>
      <c r="E3988" s="13"/>
      <c r="F3988" s="13"/>
      <c r="G3988" s="13"/>
      <c r="H3988" s="13"/>
      <c r="I3988" s="13"/>
      <c r="J3988" s="13"/>
      <c r="K3988" s="13"/>
      <c r="L3988" s="13"/>
      <c r="M3988" s="13"/>
      <c r="N3988" s="13"/>
    </row>
    <row r="3989" ht="15.75" hidden="1" customHeight="1">
      <c r="A3989" s="13"/>
      <c r="B3989" s="13"/>
      <c r="C3989" s="13"/>
      <c r="D3989" s="13"/>
      <c r="E3989" s="13"/>
      <c r="F3989" s="13"/>
      <c r="G3989" s="13"/>
      <c r="H3989" s="13"/>
      <c r="I3989" s="13"/>
      <c r="J3989" s="13"/>
      <c r="K3989" s="13"/>
      <c r="L3989" s="13"/>
      <c r="M3989" s="13"/>
      <c r="N3989" s="13"/>
    </row>
    <row r="3990" ht="15.75" hidden="1" customHeight="1">
      <c r="A3990" s="13"/>
      <c r="B3990" s="13"/>
      <c r="C3990" s="13"/>
      <c r="D3990" s="13"/>
      <c r="E3990" s="13"/>
      <c r="F3990" s="13"/>
      <c r="G3990" s="13"/>
      <c r="H3990" s="13"/>
      <c r="I3990" s="13"/>
      <c r="J3990" s="13"/>
      <c r="K3990" s="13"/>
      <c r="L3990" s="13"/>
      <c r="M3990" s="13"/>
      <c r="N3990" s="13"/>
    </row>
    <row r="3991" ht="15.75" hidden="1" customHeight="1">
      <c r="A3991" s="13"/>
      <c r="B3991" s="13"/>
      <c r="C3991" s="13"/>
      <c r="D3991" s="13"/>
      <c r="E3991" s="13"/>
      <c r="F3991" s="13"/>
      <c r="G3991" s="13"/>
      <c r="H3991" s="13"/>
      <c r="I3991" s="13"/>
      <c r="J3991" s="13"/>
      <c r="K3991" s="13"/>
      <c r="L3991" s="13"/>
      <c r="M3991" s="13"/>
      <c r="N3991" s="13"/>
    </row>
    <row r="3992" ht="15.75" hidden="1" customHeight="1">
      <c r="A3992" s="13"/>
      <c r="B3992" s="13"/>
      <c r="C3992" s="13"/>
      <c r="D3992" s="13"/>
      <c r="E3992" s="13"/>
      <c r="F3992" s="13"/>
      <c r="G3992" s="13"/>
      <c r="H3992" s="13"/>
      <c r="I3992" s="13"/>
      <c r="J3992" s="13"/>
      <c r="K3992" s="13"/>
      <c r="L3992" s="13"/>
      <c r="M3992" s="13"/>
      <c r="N3992" s="13"/>
    </row>
    <row r="3993" ht="15.75" hidden="1" customHeight="1">
      <c r="A3993" s="13"/>
      <c r="B3993" s="13"/>
      <c r="C3993" s="13"/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</row>
    <row r="3994" ht="15.75" hidden="1" customHeight="1">
      <c r="A3994" s="13"/>
      <c r="B3994" s="13"/>
      <c r="C3994" s="13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</row>
    <row r="3995" ht="15.75" hidden="1" customHeight="1">
      <c r="A3995" s="13"/>
      <c r="B3995" s="13"/>
      <c r="C3995" s="13"/>
      <c r="D3995" s="13"/>
      <c r="E3995" s="13"/>
      <c r="F3995" s="13"/>
      <c r="G3995" s="13"/>
      <c r="H3995" s="13"/>
      <c r="I3995" s="13"/>
      <c r="J3995" s="13"/>
      <c r="K3995" s="13"/>
      <c r="L3995" s="13"/>
      <c r="M3995" s="13"/>
      <c r="N3995" s="13"/>
    </row>
    <row r="3996" ht="15.75" hidden="1" customHeight="1">
      <c r="A3996" s="13"/>
      <c r="B3996" s="13"/>
      <c r="C3996" s="13"/>
      <c r="D3996" s="13"/>
      <c r="E3996" s="13"/>
      <c r="F3996" s="13"/>
      <c r="G3996" s="13"/>
      <c r="H3996" s="13"/>
      <c r="I3996" s="13"/>
      <c r="J3996" s="13"/>
      <c r="K3996" s="13"/>
      <c r="L3996" s="13"/>
      <c r="M3996" s="13"/>
      <c r="N3996" s="13"/>
    </row>
    <row r="3997" ht="15.75" hidden="1" customHeight="1">
      <c r="A3997" s="13"/>
      <c r="B3997" s="13"/>
      <c r="C3997" s="13"/>
      <c r="D3997" s="13"/>
      <c r="E3997" s="13"/>
      <c r="F3997" s="13"/>
      <c r="G3997" s="13"/>
      <c r="H3997" s="13"/>
      <c r="I3997" s="13"/>
      <c r="J3997" s="13"/>
      <c r="K3997" s="13"/>
      <c r="L3997" s="13"/>
      <c r="M3997" s="13"/>
      <c r="N3997" s="13"/>
    </row>
    <row r="3998" ht="15.75" hidden="1" customHeight="1">
      <c r="A3998" s="13"/>
      <c r="B3998" s="13"/>
      <c r="C3998" s="13"/>
      <c r="D3998" s="13"/>
      <c r="E3998" s="13"/>
      <c r="F3998" s="13"/>
      <c r="G3998" s="13"/>
      <c r="H3998" s="13"/>
      <c r="I3998" s="13"/>
      <c r="J3998" s="13"/>
      <c r="K3998" s="13"/>
      <c r="L3998" s="13"/>
      <c r="M3998" s="13"/>
      <c r="N3998" s="13"/>
    </row>
    <row r="3999" ht="15.75" hidden="1" customHeight="1">
      <c r="A3999" s="13"/>
      <c r="B3999" s="13"/>
      <c r="C3999" s="13"/>
      <c r="D3999" s="13"/>
      <c r="E3999" s="13"/>
      <c r="F3999" s="13"/>
      <c r="G3999" s="13"/>
      <c r="H3999" s="13"/>
      <c r="I3999" s="13"/>
      <c r="J3999" s="13"/>
      <c r="K3999" s="13"/>
      <c r="L3999" s="13"/>
      <c r="M3999" s="13"/>
      <c r="N3999" s="13"/>
    </row>
    <row r="4000" ht="15.75" hidden="1" customHeight="1">
      <c r="A4000" s="13"/>
      <c r="B4000" s="13"/>
      <c r="C4000" s="13"/>
      <c r="D4000" s="13"/>
      <c r="E4000" s="13"/>
      <c r="F4000" s="13"/>
      <c r="G4000" s="13"/>
      <c r="H4000" s="13"/>
      <c r="I4000" s="13"/>
      <c r="J4000" s="13"/>
      <c r="K4000" s="13"/>
      <c r="L4000" s="13"/>
      <c r="M4000" s="13"/>
      <c r="N4000" s="13"/>
    </row>
    <row r="4001" ht="15.75" hidden="1" customHeight="1">
      <c r="A4001" s="13"/>
      <c r="B4001" s="13"/>
      <c r="C4001" s="13"/>
      <c r="D4001" s="13"/>
      <c r="E4001" s="13"/>
      <c r="F4001" s="13"/>
      <c r="G4001" s="13"/>
      <c r="H4001" s="13"/>
      <c r="I4001" s="13"/>
      <c r="J4001" s="13"/>
      <c r="K4001" s="13"/>
      <c r="L4001" s="13"/>
      <c r="M4001" s="13"/>
      <c r="N4001" s="13"/>
    </row>
    <row r="4002" ht="15.75" hidden="1" customHeight="1">
      <c r="A4002" s="13"/>
      <c r="B4002" s="13"/>
      <c r="C4002" s="13"/>
      <c r="D4002" s="13"/>
      <c r="E4002" s="13"/>
      <c r="F4002" s="13"/>
      <c r="G4002" s="13"/>
      <c r="H4002" s="13"/>
      <c r="I4002" s="13"/>
      <c r="J4002" s="13"/>
      <c r="K4002" s="13"/>
      <c r="L4002" s="13"/>
      <c r="M4002" s="13"/>
      <c r="N4002" s="13"/>
    </row>
    <row r="4003" ht="15.75" hidden="1" customHeight="1">
      <c r="A4003" s="13"/>
      <c r="B4003" s="13"/>
      <c r="C4003" s="13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</row>
    <row r="4004" ht="15.75" hidden="1" customHeight="1">
      <c r="A4004" s="13"/>
      <c r="B4004" s="13"/>
      <c r="C4004" s="13"/>
      <c r="D4004" s="13"/>
      <c r="E4004" s="13"/>
      <c r="F4004" s="13"/>
      <c r="G4004" s="13"/>
      <c r="H4004" s="13"/>
      <c r="I4004" s="13"/>
      <c r="J4004" s="13"/>
      <c r="K4004" s="13"/>
      <c r="L4004" s="13"/>
      <c r="M4004" s="13"/>
      <c r="N4004" s="13"/>
    </row>
    <row r="4005" ht="15.75" hidden="1" customHeight="1">
      <c r="A4005" s="13"/>
      <c r="B4005" s="13"/>
      <c r="C4005" s="13"/>
      <c r="D4005" s="13"/>
      <c r="E4005" s="13"/>
      <c r="F4005" s="13"/>
      <c r="G4005" s="13"/>
      <c r="H4005" s="13"/>
      <c r="I4005" s="13"/>
      <c r="J4005" s="13"/>
      <c r="K4005" s="13"/>
      <c r="L4005" s="13"/>
      <c r="M4005" s="13"/>
      <c r="N4005" s="13"/>
    </row>
    <row r="4006" ht="15.75" hidden="1" customHeight="1">
      <c r="A4006" s="13"/>
      <c r="B4006" s="13"/>
      <c r="C4006" s="13"/>
      <c r="D4006" s="13"/>
      <c r="E4006" s="13"/>
      <c r="F4006" s="13"/>
      <c r="G4006" s="13"/>
      <c r="H4006" s="13"/>
      <c r="I4006" s="13"/>
      <c r="J4006" s="13"/>
      <c r="K4006" s="13"/>
      <c r="L4006" s="13"/>
      <c r="M4006" s="13"/>
      <c r="N4006" s="13"/>
    </row>
    <row r="4007" ht="15.75" hidden="1" customHeight="1">
      <c r="A4007" s="13"/>
      <c r="B4007" s="13"/>
      <c r="C4007" s="13"/>
      <c r="D4007" s="13"/>
      <c r="E4007" s="13"/>
      <c r="F4007" s="13"/>
      <c r="G4007" s="13"/>
      <c r="H4007" s="13"/>
      <c r="I4007" s="13"/>
      <c r="J4007" s="13"/>
      <c r="K4007" s="13"/>
      <c r="L4007" s="13"/>
      <c r="M4007" s="13"/>
      <c r="N4007" s="13"/>
    </row>
    <row r="4008" ht="15.75" hidden="1" customHeight="1">
      <c r="A4008" s="13"/>
      <c r="B4008" s="13"/>
      <c r="C4008" s="13"/>
      <c r="D4008" s="13"/>
      <c r="E4008" s="13"/>
      <c r="F4008" s="13"/>
      <c r="G4008" s="13"/>
      <c r="H4008" s="13"/>
      <c r="I4008" s="13"/>
      <c r="J4008" s="13"/>
      <c r="K4008" s="13"/>
      <c r="L4008" s="13"/>
      <c r="M4008" s="13"/>
      <c r="N4008" s="13"/>
    </row>
    <row r="4009" ht="15.75" hidden="1" customHeight="1">
      <c r="A4009" s="13"/>
      <c r="B4009" s="13"/>
      <c r="C4009" s="13"/>
      <c r="D4009" s="13"/>
      <c r="E4009" s="13"/>
      <c r="F4009" s="13"/>
      <c r="G4009" s="13"/>
      <c r="H4009" s="13"/>
      <c r="I4009" s="13"/>
      <c r="J4009" s="13"/>
      <c r="K4009" s="13"/>
      <c r="L4009" s="13"/>
      <c r="M4009" s="13"/>
      <c r="N4009" s="13"/>
    </row>
    <row r="4010" ht="15.75" hidden="1" customHeight="1">
      <c r="A4010" s="13"/>
      <c r="B4010" s="13"/>
      <c r="C4010" s="13"/>
      <c r="D4010" s="13"/>
      <c r="E4010" s="13"/>
      <c r="F4010" s="13"/>
      <c r="G4010" s="13"/>
      <c r="H4010" s="13"/>
      <c r="I4010" s="13"/>
      <c r="J4010" s="13"/>
      <c r="K4010" s="13"/>
      <c r="L4010" s="13"/>
      <c r="M4010" s="13"/>
      <c r="N4010" s="13"/>
    </row>
    <row r="4011" ht="15.75" hidden="1" customHeight="1">
      <c r="A4011" s="13"/>
      <c r="B4011" s="13"/>
      <c r="C4011" s="13"/>
      <c r="D4011" s="13"/>
      <c r="E4011" s="13"/>
      <c r="F4011" s="13"/>
      <c r="G4011" s="13"/>
      <c r="H4011" s="13"/>
      <c r="I4011" s="13"/>
      <c r="J4011" s="13"/>
      <c r="K4011" s="13"/>
      <c r="L4011" s="13"/>
      <c r="M4011" s="13"/>
      <c r="N4011" s="13"/>
    </row>
    <row r="4012" ht="15.75" hidden="1" customHeight="1">
      <c r="A4012" s="13"/>
      <c r="B4012" s="13"/>
      <c r="C4012" s="13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</row>
    <row r="4013" ht="15.75" hidden="1" customHeight="1">
      <c r="A4013" s="13"/>
      <c r="B4013" s="13"/>
      <c r="C4013" s="13"/>
      <c r="D4013" s="13"/>
      <c r="E4013" s="13"/>
      <c r="F4013" s="13"/>
      <c r="G4013" s="13"/>
      <c r="H4013" s="13"/>
      <c r="I4013" s="13"/>
      <c r="J4013" s="13"/>
      <c r="K4013" s="13"/>
      <c r="L4013" s="13"/>
      <c r="M4013" s="13"/>
      <c r="N4013" s="13"/>
    </row>
    <row r="4014" ht="15.75" hidden="1" customHeight="1">
      <c r="A4014" s="13"/>
      <c r="B4014" s="13"/>
      <c r="C4014" s="13"/>
      <c r="D4014" s="13"/>
      <c r="E4014" s="13"/>
      <c r="F4014" s="13"/>
      <c r="G4014" s="13"/>
      <c r="H4014" s="13"/>
      <c r="I4014" s="13"/>
      <c r="J4014" s="13"/>
      <c r="K4014" s="13"/>
      <c r="L4014" s="13"/>
      <c r="M4014" s="13"/>
      <c r="N4014" s="13"/>
    </row>
    <row r="4015" ht="15.75" hidden="1" customHeight="1">
      <c r="A4015" s="13"/>
      <c r="B4015" s="13"/>
      <c r="C4015" s="13"/>
      <c r="D4015" s="13"/>
      <c r="E4015" s="13"/>
      <c r="F4015" s="13"/>
      <c r="G4015" s="13"/>
      <c r="H4015" s="13"/>
      <c r="I4015" s="13"/>
      <c r="J4015" s="13"/>
      <c r="K4015" s="13"/>
      <c r="L4015" s="13"/>
      <c r="M4015" s="13"/>
      <c r="N4015" s="13"/>
    </row>
    <row r="4016" ht="15.75" hidden="1" customHeight="1">
      <c r="A4016" s="13"/>
      <c r="B4016" s="13"/>
      <c r="C4016" s="13"/>
      <c r="D4016" s="13"/>
      <c r="E4016" s="13"/>
      <c r="F4016" s="13"/>
      <c r="G4016" s="13"/>
      <c r="H4016" s="13"/>
      <c r="I4016" s="13"/>
      <c r="J4016" s="13"/>
      <c r="K4016" s="13"/>
      <c r="L4016" s="13"/>
      <c r="M4016" s="13"/>
      <c r="N4016" s="13"/>
    </row>
    <row r="4017" ht="15.75" hidden="1" customHeight="1">
      <c r="A4017" s="13"/>
      <c r="B4017" s="13"/>
      <c r="C4017" s="13"/>
      <c r="D4017" s="13"/>
      <c r="E4017" s="13"/>
      <c r="F4017" s="13"/>
      <c r="G4017" s="13"/>
      <c r="H4017" s="13"/>
      <c r="I4017" s="13"/>
      <c r="J4017" s="13"/>
      <c r="K4017" s="13"/>
      <c r="L4017" s="13"/>
      <c r="M4017" s="13"/>
      <c r="N4017" s="13"/>
    </row>
    <row r="4018" ht="15.75" hidden="1" customHeight="1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</row>
    <row r="4019" ht="15.75" hidden="1" customHeight="1">
      <c r="A4019" s="13"/>
      <c r="B4019" s="13"/>
      <c r="C4019" s="13"/>
      <c r="D4019" s="13"/>
      <c r="E4019" s="13"/>
      <c r="F4019" s="13"/>
      <c r="G4019" s="13"/>
      <c r="H4019" s="13"/>
      <c r="I4019" s="13"/>
      <c r="J4019" s="13"/>
      <c r="K4019" s="13"/>
      <c r="L4019" s="13"/>
      <c r="M4019" s="13"/>
      <c r="N4019" s="13"/>
    </row>
    <row r="4020" ht="15.75" hidden="1" customHeight="1">
      <c r="A4020" s="13"/>
      <c r="B4020" s="13"/>
      <c r="C4020" s="13"/>
      <c r="D4020" s="13"/>
      <c r="E4020" s="13"/>
      <c r="F4020" s="13"/>
      <c r="G4020" s="13"/>
      <c r="H4020" s="13"/>
      <c r="I4020" s="13"/>
      <c r="J4020" s="13"/>
      <c r="K4020" s="13"/>
      <c r="L4020" s="13"/>
      <c r="M4020" s="13"/>
      <c r="N4020" s="13"/>
    </row>
    <row r="4021" ht="15.75" hidden="1" customHeight="1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</row>
    <row r="4022" ht="15.75" hidden="1" customHeight="1">
      <c r="A4022" s="13"/>
      <c r="B4022" s="13"/>
      <c r="C4022" s="13"/>
      <c r="D4022" s="13"/>
      <c r="E4022" s="13"/>
      <c r="F4022" s="13"/>
      <c r="G4022" s="13"/>
      <c r="H4022" s="13"/>
      <c r="I4022" s="13"/>
      <c r="J4022" s="13"/>
      <c r="K4022" s="13"/>
      <c r="L4022" s="13"/>
      <c r="M4022" s="13"/>
      <c r="N4022" s="13"/>
    </row>
    <row r="4023" ht="15.75" hidden="1" customHeight="1">
      <c r="A4023" s="13"/>
      <c r="B4023" s="13"/>
      <c r="C4023" s="13"/>
      <c r="D4023" s="13"/>
      <c r="E4023" s="13"/>
      <c r="F4023" s="13"/>
      <c r="G4023" s="13"/>
      <c r="H4023" s="13"/>
      <c r="I4023" s="13"/>
      <c r="J4023" s="13"/>
      <c r="K4023" s="13"/>
      <c r="L4023" s="13"/>
      <c r="M4023" s="13"/>
      <c r="N4023" s="13"/>
    </row>
    <row r="4024" ht="15.75" hidden="1" customHeight="1">
      <c r="A4024" s="13"/>
      <c r="B4024" s="13"/>
      <c r="C4024" s="13"/>
      <c r="D4024" s="13"/>
      <c r="E4024" s="13"/>
      <c r="F4024" s="13"/>
      <c r="G4024" s="13"/>
      <c r="H4024" s="13"/>
      <c r="I4024" s="13"/>
      <c r="J4024" s="13"/>
      <c r="K4024" s="13"/>
      <c r="L4024" s="13"/>
      <c r="M4024" s="13"/>
      <c r="N4024" s="13"/>
    </row>
    <row r="4025" ht="15.75" hidden="1" customHeight="1">
      <c r="A4025" s="13"/>
      <c r="B4025" s="13"/>
      <c r="C4025" s="13"/>
      <c r="D4025" s="13"/>
      <c r="E4025" s="13"/>
      <c r="F4025" s="13"/>
      <c r="G4025" s="13"/>
      <c r="H4025" s="13"/>
      <c r="I4025" s="13"/>
      <c r="J4025" s="13"/>
      <c r="K4025" s="13"/>
      <c r="L4025" s="13"/>
      <c r="M4025" s="13"/>
      <c r="N4025" s="13"/>
    </row>
    <row r="4026" ht="15.75" hidden="1" customHeight="1">
      <c r="A4026" s="13"/>
      <c r="B4026" s="13"/>
      <c r="C4026" s="13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</row>
    <row r="4027" ht="15.75" hidden="1" customHeight="1">
      <c r="A4027" s="13"/>
      <c r="B4027" s="13"/>
      <c r="C4027" s="13"/>
      <c r="D4027" s="13"/>
      <c r="E4027" s="13"/>
      <c r="F4027" s="13"/>
      <c r="G4027" s="13"/>
      <c r="H4027" s="13"/>
      <c r="I4027" s="13"/>
      <c r="J4027" s="13"/>
      <c r="K4027" s="13"/>
      <c r="L4027" s="13"/>
      <c r="M4027" s="13"/>
      <c r="N4027" s="13"/>
    </row>
    <row r="4028" ht="15.75" hidden="1" customHeight="1">
      <c r="A4028" s="13"/>
      <c r="B4028" s="13"/>
      <c r="C4028" s="13"/>
      <c r="D4028" s="13"/>
      <c r="E4028" s="13"/>
      <c r="F4028" s="13"/>
      <c r="G4028" s="13"/>
      <c r="H4028" s="13"/>
      <c r="I4028" s="13"/>
      <c r="J4028" s="13"/>
      <c r="K4028" s="13"/>
      <c r="L4028" s="13"/>
      <c r="M4028" s="13"/>
      <c r="N4028" s="13"/>
    </row>
    <row r="4029" ht="15.75" hidden="1" customHeight="1">
      <c r="A4029" s="13"/>
      <c r="B4029" s="13"/>
      <c r="C4029" s="13"/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</row>
    <row r="4030" ht="15.75" hidden="1" customHeight="1">
      <c r="A4030" s="13"/>
      <c r="B4030" s="13"/>
      <c r="C4030" s="13"/>
      <c r="D4030" s="13"/>
      <c r="E4030" s="13"/>
      <c r="F4030" s="13"/>
      <c r="G4030" s="13"/>
      <c r="H4030" s="13"/>
      <c r="I4030" s="13"/>
      <c r="J4030" s="13"/>
      <c r="K4030" s="13"/>
      <c r="L4030" s="13"/>
      <c r="M4030" s="13"/>
      <c r="N4030" s="13"/>
    </row>
    <row r="4031" ht="15.75" hidden="1" customHeight="1">
      <c r="A4031" s="13"/>
      <c r="B4031" s="13"/>
      <c r="C4031" s="13"/>
      <c r="D4031" s="13"/>
      <c r="E4031" s="13"/>
      <c r="F4031" s="13"/>
      <c r="G4031" s="13"/>
      <c r="H4031" s="13"/>
      <c r="I4031" s="13"/>
      <c r="J4031" s="13"/>
      <c r="K4031" s="13"/>
      <c r="L4031" s="13"/>
      <c r="M4031" s="13"/>
      <c r="N4031" s="13"/>
    </row>
    <row r="4032" ht="15.75" hidden="1" customHeight="1">
      <c r="A4032" s="13"/>
      <c r="B4032" s="13"/>
      <c r="C4032" s="13"/>
      <c r="D4032" s="13"/>
      <c r="E4032" s="13"/>
      <c r="F4032" s="13"/>
      <c r="G4032" s="13"/>
      <c r="H4032" s="13"/>
      <c r="I4032" s="13"/>
      <c r="J4032" s="13"/>
      <c r="K4032" s="13"/>
      <c r="L4032" s="13"/>
      <c r="M4032" s="13"/>
      <c r="N4032" s="13"/>
    </row>
    <row r="4033" ht="15.75" hidden="1" customHeight="1">
      <c r="A4033" s="13"/>
      <c r="B4033" s="13"/>
      <c r="C4033" s="13"/>
      <c r="D4033" s="13"/>
      <c r="E4033" s="13"/>
      <c r="F4033" s="13"/>
      <c r="G4033" s="13"/>
      <c r="H4033" s="13"/>
      <c r="I4033" s="13"/>
      <c r="J4033" s="13"/>
      <c r="K4033" s="13"/>
      <c r="L4033" s="13"/>
      <c r="M4033" s="13"/>
      <c r="N4033" s="13"/>
    </row>
    <row r="4034" ht="15.75" hidden="1" customHeight="1">
      <c r="A4034" s="13"/>
      <c r="B4034" s="13"/>
      <c r="C4034" s="13"/>
      <c r="D4034" s="13"/>
      <c r="E4034" s="13"/>
      <c r="F4034" s="13"/>
      <c r="G4034" s="13"/>
      <c r="H4034" s="13"/>
      <c r="I4034" s="13"/>
      <c r="J4034" s="13"/>
      <c r="K4034" s="13"/>
      <c r="L4034" s="13"/>
      <c r="M4034" s="13"/>
      <c r="N4034" s="13"/>
    </row>
    <row r="4035" ht="15.75" hidden="1" customHeight="1">
      <c r="A4035" s="13"/>
      <c r="B4035" s="13"/>
      <c r="C4035" s="13"/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</row>
    <row r="4036" ht="15.75" hidden="1" customHeight="1">
      <c r="A4036" s="13"/>
      <c r="B4036" s="13"/>
      <c r="C4036" s="13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</row>
    <row r="4037" ht="15.75" hidden="1" customHeight="1">
      <c r="A4037" s="13"/>
      <c r="B4037" s="13"/>
      <c r="C4037" s="13"/>
      <c r="D4037" s="13"/>
      <c r="E4037" s="13"/>
      <c r="F4037" s="13"/>
      <c r="G4037" s="13"/>
      <c r="H4037" s="13"/>
      <c r="I4037" s="13"/>
      <c r="J4037" s="13"/>
      <c r="K4037" s="13"/>
      <c r="L4037" s="13"/>
      <c r="M4037" s="13"/>
      <c r="N4037" s="13"/>
    </row>
    <row r="4038" ht="15.75" hidden="1" customHeight="1">
      <c r="A4038" s="13"/>
      <c r="B4038" s="13"/>
      <c r="C4038" s="13"/>
      <c r="D4038" s="13"/>
      <c r="E4038" s="13"/>
      <c r="F4038" s="13"/>
      <c r="G4038" s="13"/>
      <c r="H4038" s="13"/>
      <c r="I4038" s="13"/>
      <c r="J4038" s="13"/>
      <c r="K4038" s="13"/>
      <c r="L4038" s="13"/>
      <c r="M4038" s="13"/>
      <c r="N4038" s="13"/>
    </row>
    <row r="4039" ht="15.75" hidden="1" customHeight="1">
      <c r="A4039" s="13"/>
      <c r="B4039" s="13"/>
      <c r="C4039" s="13"/>
      <c r="D4039" s="13"/>
      <c r="E4039" s="13"/>
      <c r="F4039" s="13"/>
      <c r="G4039" s="13"/>
      <c r="H4039" s="13"/>
      <c r="I4039" s="13"/>
      <c r="J4039" s="13"/>
      <c r="K4039" s="13"/>
      <c r="L4039" s="13"/>
      <c r="M4039" s="13"/>
      <c r="N4039" s="13"/>
    </row>
    <row r="4040" ht="15.75" hidden="1" customHeight="1">
      <c r="A4040" s="13"/>
      <c r="B4040" s="13"/>
      <c r="C4040" s="13"/>
      <c r="D4040" s="13"/>
      <c r="E4040" s="13"/>
      <c r="F4040" s="13"/>
      <c r="G4040" s="13"/>
      <c r="H4040" s="13"/>
      <c r="I4040" s="13"/>
      <c r="J4040" s="13"/>
      <c r="K4040" s="13"/>
      <c r="L4040" s="13"/>
      <c r="M4040" s="13"/>
      <c r="N4040" s="13"/>
    </row>
    <row r="4041" ht="15.75" hidden="1" customHeight="1">
      <c r="A4041" s="13"/>
      <c r="B4041" s="13"/>
      <c r="C4041" s="13"/>
      <c r="D4041" s="13"/>
      <c r="E4041" s="13"/>
      <c r="F4041" s="13"/>
      <c r="G4041" s="13"/>
      <c r="H4041" s="13"/>
      <c r="I4041" s="13"/>
      <c r="J4041" s="13"/>
      <c r="K4041" s="13"/>
      <c r="L4041" s="13"/>
      <c r="M4041" s="13"/>
      <c r="N4041" s="13"/>
    </row>
    <row r="4042" ht="15.75" hidden="1" customHeight="1">
      <c r="A4042" s="13"/>
      <c r="B4042" s="13"/>
      <c r="C4042" s="13"/>
      <c r="D4042" s="13"/>
      <c r="E4042" s="13"/>
      <c r="F4042" s="13"/>
      <c r="G4042" s="13"/>
      <c r="H4042" s="13"/>
      <c r="I4042" s="13"/>
      <c r="J4042" s="13"/>
      <c r="K4042" s="13"/>
      <c r="L4042" s="13"/>
      <c r="M4042" s="13"/>
      <c r="N4042" s="13"/>
    </row>
    <row r="4043" ht="15.75" hidden="1" customHeight="1">
      <c r="A4043" s="13"/>
      <c r="B4043" s="13"/>
      <c r="C4043" s="13"/>
      <c r="D4043" s="13"/>
      <c r="E4043" s="13"/>
      <c r="F4043" s="13"/>
      <c r="G4043" s="13"/>
      <c r="H4043" s="13"/>
      <c r="I4043" s="13"/>
      <c r="J4043" s="13"/>
      <c r="K4043" s="13"/>
      <c r="L4043" s="13"/>
      <c r="M4043" s="13"/>
      <c r="N4043" s="13"/>
    </row>
    <row r="4044" ht="15.75" hidden="1" customHeight="1">
      <c r="A4044" s="13"/>
      <c r="B4044" s="13"/>
      <c r="C4044" s="13"/>
      <c r="D4044" s="13"/>
      <c r="E4044" s="13"/>
      <c r="F4044" s="13"/>
      <c r="G4044" s="13"/>
      <c r="H4044" s="13"/>
      <c r="I4044" s="13"/>
      <c r="J4044" s="13"/>
      <c r="K4044" s="13"/>
      <c r="L4044" s="13"/>
      <c r="M4044" s="13"/>
      <c r="N4044" s="13"/>
    </row>
    <row r="4045" ht="15.75" hidden="1" customHeight="1">
      <c r="A4045" s="13"/>
      <c r="B4045" s="13"/>
      <c r="C4045" s="13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</row>
    <row r="4046" ht="15.75" hidden="1" customHeight="1">
      <c r="A4046" s="13"/>
      <c r="B4046" s="13"/>
      <c r="C4046" s="13"/>
      <c r="D4046" s="13"/>
      <c r="E4046" s="13"/>
      <c r="F4046" s="13"/>
      <c r="G4046" s="13"/>
      <c r="H4046" s="13"/>
      <c r="I4046" s="13"/>
      <c r="J4046" s="13"/>
      <c r="K4046" s="13"/>
      <c r="L4046" s="13"/>
      <c r="M4046" s="13"/>
      <c r="N4046" s="13"/>
    </row>
    <row r="4047" ht="15.75" hidden="1" customHeight="1">
      <c r="A4047" s="13"/>
      <c r="B4047" s="13"/>
      <c r="C4047" s="13"/>
      <c r="D4047" s="13"/>
      <c r="E4047" s="13"/>
      <c r="F4047" s="13"/>
      <c r="G4047" s="13"/>
      <c r="H4047" s="13"/>
      <c r="I4047" s="13"/>
      <c r="J4047" s="13"/>
      <c r="K4047" s="13"/>
      <c r="L4047" s="13"/>
      <c r="M4047" s="13"/>
      <c r="N4047" s="13"/>
    </row>
    <row r="4048" ht="15.75" hidden="1" customHeight="1">
      <c r="A4048" s="13"/>
      <c r="B4048" s="13"/>
      <c r="C4048" s="13"/>
      <c r="D4048" s="13"/>
      <c r="E4048" s="13"/>
      <c r="F4048" s="13"/>
      <c r="G4048" s="13"/>
      <c r="H4048" s="13"/>
      <c r="I4048" s="13"/>
      <c r="J4048" s="13"/>
      <c r="K4048" s="13"/>
      <c r="L4048" s="13"/>
      <c r="M4048" s="13"/>
      <c r="N4048" s="13"/>
    </row>
    <row r="4049" ht="15.75" hidden="1" customHeight="1">
      <c r="A4049" s="13"/>
      <c r="B4049" s="13"/>
      <c r="C4049" s="13"/>
      <c r="D4049" s="13"/>
      <c r="E4049" s="13"/>
      <c r="F4049" s="13"/>
      <c r="G4049" s="13"/>
      <c r="H4049" s="13"/>
      <c r="I4049" s="13"/>
      <c r="J4049" s="13"/>
      <c r="K4049" s="13"/>
      <c r="L4049" s="13"/>
      <c r="M4049" s="13"/>
      <c r="N4049" s="13"/>
    </row>
    <row r="4050" ht="15.75" hidden="1" customHeight="1">
      <c r="A4050" s="13"/>
      <c r="B4050" s="13"/>
      <c r="C4050" s="13"/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</row>
    <row r="4051" ht="15.75" hidden="1" customHeight="1">
      <c r="A4051" s="13"/>
      <c r="B4051" s="13"/>
      <c r="C4051" s="13"/>
      <c r="D4051" s="13"/>
      <c r="E4051" s="13"/>
      <c r="F4051" s="13"/>
      <c r="G4051" s="13"/>
      <c r="H4051" s="13"/>
      <c r="I4051" s="13"/>
      <c r="J4051" s="13"/>
      <c r="K4051" s="13"/>
      <c r="L4051" s="13"/>
      <c r="M4051" s="13"/>
      <c r="N4051" s="13"/>
    </row>
    <row r="4052" ht="15.75" hidden="1" customHeight="1">
      <c r="A4052" s="13"/>
      <c r="B4052" s="13"/>
      <c r="C4052" s="13"/>
      <c r="D4052" s="13"/>
      <c r="E4052" s="13"/>
      <c r="F4052" s="13"/>
      <c r="G4052" s="13"/>
      <c r="H4052" s="13"/>
      <c r="I4052" s="13"/>
      <c r="J4052" s="13"/>
      <c r="K4052" s="13"/>
      <c r="L4052" s="13"/>
      <c r="M4052" s="13"/>
      <c r="N4052" s="13"/>
    </row>
    <row r="4053" ht="15.75" hidden="1" customHeight="1">
      <c r="A4053" s="13"/>
      <c r="B4053" s="13"/>
      <c r="C4053" s="13"/>
      <c r="D4053" s="13"/>
      <c r="E4053" s="13"/>
      <c r="F4053" s="13"/>
      <c r="G4053" s="13"/>
      <c r="H4053" s="13"/>
      <c r="I4053" s="13"/>
      <c r="J4053" s="13"/>
      <c r="K4053" s="13"/>
      <c r="L4053" s="13"/>
      <c r="M4053" s="13"/>
      <c r="N4053" s="13"/>
    </row>
    <row r="4054" ht="15.75" hidden="1" customHeight="1">
      <c r="A4054" s="13"/>
      <c r="B4054" s="13"/>
      <c r="C4054" s="13"/>
      <c r="D4054" s="13"/>
      <c r="E4054" s="13"/>
      <c r="F4054" s="13"/>
      <c r="G4054" s="13"/>
      <c r="H4054" s="13"/>
      <c r="I4054" s="13"/>
      <c r="J4054" s="13"/>
      <c r="K4054" s="13"/>
      <c r="L4054" s="13"/>
      <c r="M4054" s="13"/>
      <c r="N4054" s="13"/>
    </row>
    <row r="4055" ht="15.75" hidden="1" customHeight="1">
      <c r="A4055" s="13"/>
      <c r="B4055" s="13"/>
      <c r="C4055" s="13"/>
      <c r="D4055" s="13"/>
      <c r="E4055" s="13"/>
      <c r="F4055" s="13"/>
      <c r="G4055" s="13"/>
      <c r="H4055" s="13"/>
      <c r="I4055" s="13"/>
      <c r="J4055" s="13"/>
      <c r="K4055" s="13"/>
      <c r="L4055" s="13"/>
      <c r="M4055" s="13"/>
      <c r="N4055" s="13"/>
    </row>
    <row r="4056" ht="15.75" hidden="1" customHeight="1">
      <c r="A4056" s="13"/>
      <c r="B4056" s="13"/>
      <c r="C4056" s="13"/>
      <c r="D4056" s="13"/>
      <c r="E4056" s="13"/>
      <c r="F4056" s="13"/>
      <c r="G4056" s="13"/>
      <c r="H4056" s="13"/>
      <c r="I4056" s="13"/>
      <c r="J4056" s="13"/>
      <c r="K4056" s="13"/>
      <c r="L4056" s="13"/>
      <c r="M4056" s="13"/>
      <c r="N4056" s="13"/>
    </row>
    <row r="4057" ht="15.75" hidden="1" customHeight="1">
      <c r="A4057" s="13"/>
      <c r="B4057" s="13"/>
      <c r="C4057" s="13"/>
      <c r="D4057" s="13"/>
      <c r="E4057" s="13"/>
      <c r="F4057" s="13"/>
      <c r="G4057" s="13"/>
      <c r="H4057" s="13"/>
      <c r="I4057" s="13"/>
      <c r="J4057" s="13"/>
      <c r="K4057" s="13"/>
      <c r="L4057" s="13"/>
      <c r="M4057" s="13"/>
      <c r="N4057" s="13"/>
    </row>
    <row r="4058" ht="15.75" hidden="1" customHeight="1">
      <c r="A4058" s="13"/>
      <c r="B4058" s="13"/>
      <c r="C4058" s="13"/>
      <c r="D4058" s="13"/>
      <c r="E4058" s="13"/>
      <c r="F4058" s="13"/>
      <c r="G4058" s="13"/>
      <c r="H4058" s="13"/>
      <c r="I4058" s="13"/>
      <c r="J4058" s="13"/>
      <c r="K4058" s="13"/>
      <c r="L4058" s="13"/>
      <c r="M4058" s="13"/>
      <c r="N4058" s="13"/>
    </row>
    <row r="4059" ht="15.75" hidden="1" customHeight="1">
      <c r="A4059" s="13"/>
      <c r="B4059" s="13"/>
      <c r="C4059" s="13"/>
      <c r="D4059" s="13"/>
      <c r="E4059" s="13"/>
      <c r="F4059" s="13"/>
      <c r="G4059" s="13"/>
      <c r="H4059" s="13"/>
      <c r="I4059" s="13"/>
      <c r="J4059" s="13"/>
      <c r="K4059" s="13"/>
      <c r="L4059" s="13"/>
      <c r="M4059" s="13"/>
      <c r="N4059" s="13"/>
    </row>
    <row r="4060" ht="15.75" hidden="1" customHeight="1">
      <c r="A4060" s="13"/>
      <c r="B4060" s="13"/>
      <c r="C4060" s="13"/>
      <c r="D4060" s="13"/>
      <c r="E4060" s="13"/>
      <c r="F4060" s="13"/>
      <c r="G4060" s="13"/>
      <c r="H4060" s="13"/>
      <c r="I4060" s="13"/>
      <c r="J4060" s="13"/>
      <c r="K4060" s="13"/>
      <c r="L4060" s="13"/>
      <c r="M4060" s="13"/>
      <c r="N4060" s="13"/>
    </row>
    <row r="4061" ht="15.75" hidden="1" customHeight="1">
      <c r="A4061" s="13"/>
      <c r="B4061" s="13"/>
      <c r="C4061" s="13"/>
      <c r="D4061" s="13"/>
      <c r="E4061" s="13"/>
      <c r="F4061" s="13"/>
      <c r="G4061" s="13"/>
      <c r="H4061" s="13"/>
      <c r="I4061" s="13"/>
      <c r="J4061" s="13"/>
      <c r="K4061" s="13"/>
      <c r="L4061" s="13"/>
      <c r="M4061" s="13"/>
      <c r="N4061" s="13"/>
    </row>
    <row r="4062" ht="15.75" hidden="1" customHeight="1">
      <c r="A4062" s="13"/>
      <c r="B4062" s="13"/>
      <c r="C4062" s="13"/>
      <c r="D4062" s="13"/>
      <c r="E4062" s="13"/>
      <c r="F4062" s="13"/>
      <c r="G4062" s="13"/>
      <c r="H4062" s="13"/>
      <c r="I4062" s="13"/>
      <c r="J4062" s="13"/>
      <c r="K4062" s="13"/>
      <c r="L4062" s="13"/>
      <c r="M4062" s="13"/>
      <c r="N4062" s="13"/>
    </row>
    <row r="4063" ht="15.75" hidden="1" customHeight="1">
      <c r="A4063" s="13"/>
      <c r="B4063" s="13"/>
      <c r="C4063" s="13"/>
      <c r="D4063" s="13"/>
      <c r="E4063" s="13"/>
      <c r="F4063" s="13"/>
      <c r="G4063" s="13"/>
      <c r="H4063" s="13"/>
      <c r="I4063" s="13"/>
      <c r="J4063" s="13"/>
      <c r="K4063" s="13"/>
      <c r="L4063" s="13"/>
      <c r="M4063" s="13"/>
      <c r="N4063" s="13"/>
    </row>
    <row r="4064" ht="15.75" hidden="1" customHeight="1">
      <c r="A4064" s="13"/>
      <c r="B4064" s="13"/>
      <c r="C4064" s="13"/>
      <c r="D4064" s="13"/>
      <c r="E4064" s="13"/>
      <c r="F4064" s="13"/>
      <c r="G4064" s="13"/>
      <c r="H4064" s="13"/>
      <c r="I4064" s="13"/>
      <c r="J4064" s="13"/>
      <c r="K4064" s="13"/>
      <c r="L4064" s="13"/>
      <c r="M4064" s="13"/>
      <c r="N4064" s="13"/>
    </row>
    <row r="4065" ht="15.75" hidden="1" customHeight="1">
      <c r="A4065" s="13"/>
      <c r="B4065" s="13"/>
      <c r="C4065" s="13"/>
      <c r="D4065" s="13"/>
      <c r="E4065" s="13"/>
      <c r="F4065" s="13"/>
      <c r="G4065" s="13"/>
      <c r="H4065" s="13"/>
      <c r="I4065" s="13"/>
      <c r="J4065" s="13"/>
      <c r="K4065" s="13"/>
      <c r="L4065" s="13"/>
      <c r="M4065" s="13"/>
      <c r="N4065" s="13"/>
    </row>
    <row r="4066" ht="15.75" hidden="1" customHeight="1">
      <c r="A4066" s="13"/>
      <c r="B4066" s="13"/>
      <c r="C4066" s="13"/>
      <c r="D4066" s="13"/>
      <c r="E4066" s="13"/>
      <c r="F4066" s="13"/>
      <c r="G4066" s="13"/>
      <c r="H4066" s="13"/>
      <c r="I4066" s="13"/>
      <c r="J4066" s="13"/>
      <c r="K4066" s="13"/>
      <c r="L4066" s="13"/>
      <c r="M4066" s="13"/>
      <c r="N4066" s="13"/>
    </row>
    <row r="4067" ht="15.75" hidden="1" customHeight="1">
      <c r="A4067" s="13"/>
      <c r="B4067" s="13"/>
      <c r="C4067" s="13"/>
      <c r="D4067" s="13"/>
      <c r="E4067" s="13"/>
      <c r="F4067" s="13"/>
      <c r="G4067" s="13"/>
      <c r="H4067" s="13"/>
      <c r="I4067" s="13"/>
      <c r="J4067" s="13"/>
      <c r="K4067" s="13"/>
      <c r="L4067" s="13"/>
      <c r="M4067" s="13"/>
      <c r="N4067" s="13"/>
    </row>
    <row r="4068" ht="15.75" hidden="1" customHeight="1">
      <c r="A4068" s="13"/>
      <c r="B4068" s="13"/>
      <c r="C4068" s="13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</row>
    <row r="4069" ht="15.75" hidden="1" customHeight="1">
      <c r="A4069" s="13"/>
      <c r="B4069" s="13"/>
      <c r="C4069" s="13"/>
      <c r="D4069" s="13"/>
      <c r="E4069" s="13"/>
      <c r="F4069" s="13"/>
      <c r="G4069" s="13"/>
      <c r="H4069" s="13"/>
      <c r="I4069" s="13"/>
      <c r="J4069" s="13"/>
      <c r="K4069" s="13"/>
      <c r="L4069" s="13"/>
      <c r="M4069" s="13"/>
      <c r="N4069" s="13"/>
    </row>
    <row r="4070" ht="15.75" hidden="1" customHeight="1">
      <c r="A4070" s="13"/>
      <c r="B4070" s="13"/>
      <c r="C4070" s="13"/>
      <c r="D4070" s="13"/>
      <c r="E4070" s="13"/>
      <c r="F4070" s="13"/>
      <c r="G4070" s="13"/>
      <c r="H4070" s="13"/>
      <c r="I4070" s="13"/>
      <c r="J4070" s="13"/>
      <c r="K4070" s="13"/>
      <c r="L4070" s="13"/>
      <c r="M4070" s="13"/>
      <c r="N4070" s="13"/>
    </row>
    <row r="4071" ht="15.75" hidden="1" customHeight="1">
      <c r="A4071" s="13"/>
      <c r="B4071" s="13"/>
      <c r="C4071" s="13"/>
      <c r="D4071" s="13"/>
      <c r="E4071" s="13"/>
      <c r="F4071" s="13"/>
      <c r="G4071" s="13"/>
      <c r="H4071" s="13"/>
      <c r="I4071" s="13"/>
      <c r="J4071" s="13"/>
      <c r="K4071" s="13"/>
      <c r="L4071" s="13"/>
      <c r="M4071" s="13"/>
      <c r="N4071" s="13"/>
    </row>
    <row r="4072" ht="15.75" hidden="1" customHeight="1">
      <c r="A4072" s="13"/>
      <c r="B4072" s="13"/>
      <c r="C4072" s="13"/>
      <c r="D4072" s="13"/>
      <c r="E4072" s="13"/>
      <c r="F4072" s="13"/>
      <c r="G4072" s="13"/>
      <c r="H4072" s="13"/>
      <c r="I4072" s="13"/>
      <c r="J4072" s="13"/>
      <c r="K4072" s="13"/>
      <c r="L4072" s="13"/>
      <c r="M4072" s="13"/>
      <c r="N4072" s="13"/>
    </row>
    <row r="4073" ht="15.75" hidden="1" customHeight="1">
      <c r="A4073" s="13"/>
      <c r="B4073" s="13"/>
      <c r="C4073" s="13"/>
      <c r="D4073" s="13"/>
      <c r="E4073" s="13"/>
      <c r="F4073" s="13"/>
      <c r="G4073" s="13"/>
      <c r="H4073" s="13"/>
      <c r="I4073" s="13"/>
      <c r="J4073" s="13"/>
      <c r="K4073" s="13"/>
      <c r="L4073" s="13"/>
      <c r="M4073" s="13"/>
      <c r="N4073" s="13"/>
    </row>
    <row r="4074" ht="15.75" hidden="1" customHeight="1">
      <c r="A4074" s="13"/>
      <c r="B4074" s="13"/>
      <c r="C4074" s="13"/>
      <c r="D4074" s="13"/>
      <c r="E4074" s="13"/>
      <c r="F4074" s="13"/>
      <c r="G4074" s="13"/>
      <c r="H4074" s="13"/>
      <c r="I4074" s="13"/>
      <c r="J4074" s="13"/>
      <c r="K4074" s="13"/>
      <c r="L4074" s="13"/>
      <c r="M4074" s="13"/>
      <c r="N4074" s="13"/>
    </row>
    <row r="4075" ht="15.75" hidden="1" customHeight="1">
      <c r="A4075" s="13"/>
      <c r="B4075" s="13"/>
      <c r="C4075" s="13"/>
      <c r="D4075" s="13"/>
      <c r="E4075" s="13"/>
      <c r="F4075" s="13"/>
      <c r="G4075" s="13"/>
      <c r="H4075" s="13"/>
      <c r="I4075" s="13"/>
      <c r="J4075" s="13"/>
      <c r="K4075" s="13"/>
      <c r="L4075" s="13"/>
      <c r="M4075" s="13"/>
      <c r="N4075" s="13"/>
    </row>
    <row r="4076" ht="15.75" hidden="1" customHeight="1">
      <c r="A4076" s="13"/>
      <c r="B4076" s="13"/>
      <c r="C4076" s="13"/>
      <c r="D4076" s="13"/>
      <c r="E4076" s="13"/>
      <c r="F4076" s="13"/>
      <c r="G4076" s="13"/>
      <c r="H4076" s="13"/>
      <c r="I4076" s="13"/>
      <c r="J4076" s="13"/>
      <c r="K4076" s="13"/>
      <c r="L4076" s="13"/>
      <c r="M4076" s="13"/>
      <c r="N4076" s="13"/>
    </row>
    <row r="4077" ht="15.75" hidden="1" customHeight="1">
      <c r="A4077" s="13"/>
      <c r="B4077" s="13"/>
      <c r="C4077" s="13"/>
      <c r="D4077" s="13"/>
      <c r="E4077" s="13"/>
      <c r="F4077" s="13"/>
      <c r="G4077" s="13"/>
      <c r="H4077" s="13"/>
      <c r="I4077" s="13"/>
      <c r="J4077" s="13"/>
      <c r="K4077" s="13"/>
      <c r="L4077" s="13"/>
      <c r="M4077" s="13"/>
      <c r="N4077" s="13"/>
    </row>
    <row r="4078" ht="15.75" hidden="1" customHeight="1">
      <c r="A4078" s="13"/>
      <c r="B4078" s="13"/>
      <c r="C4078" s="13"/>
      <c r="D4078" s="13"/>
      <c r="E4078" s="13"/>
      <c r="F4078" s="13"/>
      <c r="G4078" s="13"/>
      <c r="H4078" s="13"/>
      <c r="I4078" s="13"/>
      <c r="J4078" s="13"/>
      <c r="K4078" s="13"/>
      <c r="L4078" s="13"/>
      <c r="M4078" s="13"/>
      <c r="N4078" s="13"/>
    </row>
    <row r="4079" ht="15.75" hidden="1" customHeight="1">
      <c r="A4079" s="13"/>
      <c r="B4079" s="13"/>
      <c r="C4079" s="13"/>
      <c r="D4079" s="13"/>
      <c r="E4079" s="13"/>
      <c r="F4079" s="13"/>
      <c r="G4079" s="13"/>
      <c r="H4079" s="13"/>
      <c r="I4079" s="13"/>
      <c r="J4079" s="13"/>
      <c r="K4079" s="13"/>
      <c r="L4079" s="13"/>
      <c r="M4079" s="13"/>
      <c r="N4079" s="13"/>
    </row>
    <row r="4080" ht="15.75" hidden="1" customHeight="1">
      <c r="A4080" s="13"/>
      <c r="B4080" s="13"/>
      <c r="C4080" s="13"/>
      <c r="D4080" s="13"/>
      <c r="E4080" s="13"/>
      <c r="F4080" s="13"/>
      <c r="G4080" s="13"/>
      <c r="H4080" s="13"/>
      <c r="I4080" s="13"/>
      <c r="J4080" s="13"/>
      <c r="K4080" s="13"/>
      <c r="L4080" s="13"/>
      <c r="M4080" s="13"/>
      <c r="N4080" s="13"/>
    </row>
    <row r="4081" ht="15.75" hidden="1" customHeight="1">
      <c r="A4081" s="13"/>
      <c r="B4081" s="13"/>
      <c r="C4081" s="13"/>
      <c r="D4081" s="13"/>
      <c r="E4081" s="13"/>
      <c r="F4081" s="13"/>
      <c r="G4081" s="13"/>
      <c r="H4081" s="13"/>
      <c r="I4081" s="13"/>
      <c r="J4081" s="13"/>
      <c r="K4081" s="13"/>
      <c r="L4081" s="13"/>
      <c r="M4081" s="13"/>
      <c r="N4081" s="13"/>
    </row>
    <row r="4082" ht="15.75" hidden="1" customHeight="1">
      <c r="A4082" s="13"/>
      <c r="B4082" s="13"/>
      <c r="C4082" s="13"/>
      <c r="D4082" s="13"/>
      <c r="E4082" s="13"/>
      <c r="F4082" s="13"/>
      <c r="G4082" s="13"/>
      <c r="H4082" s="13"/>
      <c r="I4082" s="13"/>
      <c r="J4082" s="13"/>
      <c r="K4082" s="13"/>
      <c r="L4082" s="13"/>
      <c r="M4082" s="13"/>
      <c r="N4082" s="13"/>
    </row>
    <row r="4083" ht="15.75" hidden="1" customHeight="1">
      <c r="A4083" s="13"/>
      <c r="B4083" s="13"/>
      <c r="C4083" s="13"/>
      <c r="D4083" s="13"/>
      <c r="E4083" s="13"/>
      <c r="F4083" s="13"/>
      <c r="G4083" s="13"/>
      <c r="H4083" s="13"/>
      <c r="I4083" s="13"/>
      <c r="J4083" s="13"/>
      <c r="K4083" s="13"/>
      <c r="L4083" s="13"/>
      <c r="M4083" s="13"/>
      <c r="N4083" s="13"/>
    </row>
    <row r="4084" ht="15.75" hidden="1" customHeight="1">
      <c r="A4084" s="13"/>
      <c r="B4084" s="13"/>
      <c r="C4084" s="13"/>
      <c r="D4084" s="13"/>
      <c r="E4084" s="13"/>
      <c r="F4084" s="13"/>
      <c r="G4084" s="13"/>
      <c r="H4084" s="13"/>
      <c r="I4084" s="13"/>
      <c r="J4084" s="13"/>
      <c r="K4084" s="13"/>
      <c r="L4084" s="13"/>
      <c r="M4084" s="13"/>
      <c r="N4084" s="13"/>
    </row>
    <row r="4085" ht="15.75" hidden="1" customHeight="1">
      <c r="A4085" s="13"/>
      <c r="B4085" s="13"/>
      <c r="C4085" s="13"/>
      <c r="D4085" s="13"/>
      <c r="E4085" s="13"/>
      <c r="F4085" s="13"/>
      <c r="G4085" s="13"/>
      <c r="H4085" s="13"/>
      <c r="I4085" s="13"/>
      <c r="J4085" s="13"/>
      <c r="K4085" s="13"/>
      <c r="L4085" s="13"/>
      <c r="M4085" s="13"/>
      <c r="N4085" s="13"/>
    </row>
    <row r="4086" ht="15.75" hidden="1" customHeight="1">
      <c r="A4086" s="13"/>
      <c r="B4086" s="13"/>
      <c r="C4086" s="13"/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</row>
    <row r="4087" ht="15.75" hidden="1" customHeight="1">
      <c r="A4087" s="13"/>
      <c r="B4087" s="13"/>
      <c r="C4087" s="13"/>
      <c r="D4087" s="13"/>
      <c r="E4087" s="13"/>
      <c r="F4087" s="13"/>
      <c r="G4087" s="13"/>
      <c r="H4087" s="13"/>
      <c r="I4087" s="13"/>
      <c r="J4087" s="13"/>
      <c r="K4087" s="13"/>
      <c r="L4087" s="13"/>
      <c r="M4087" s="13"/>
      <c r="N4087" s="13"/>
    </row>
    <row r="4088" ht="15.75" hidden="1" customHeight="1">
      <c r="A4088" s="13"/>
      <c r="B4088" s="13"/>
      <c r="C4088" s="13"/>
      <c r="D4088" s="13"/>
      <c r="E4088" s="13"/>
      <c r="F4088" s="13"/>
      <c r="G4088" s="13"/>
      <c r="H4088" s="13"/>
      <c r="I4088" s="13"/>
      <c r="J4088" s="13"/>
      <c r="K4088" s="13"/>
      <c r="L4088" s="13"/>
      <c r="M4088" s="13"/>
      <c r="N4088" s="13"/>
    </row>
    <row r="4089" ht="15.75" hidden="1" customHeight="1">
      <c r="A4089" s="13"/>
      <c r="B4089" s="13"/>
      <c r="C4089" s="13"/>
      <c r="D4089" s="13"/>
      <c r="E4089" s="13"/>
      <c r="F4089" s="13"/>
      <c r="G4089" s="13"/>
      <c r="H4089" s="13"/>
      <c r="I4089" s="13"/>
      <c r="J4089" s="13"/>
      <c r="K4089" s="13"/>
      <c r="L4089" s="13"/>
      <c r="M4089" s="13"/>
      <c r="N4089" s="13"/>
    </row>
    <row r="4090" ht="15.75" hidden="1" customHeight="1">
      <c r="A4090" s="13"/>
      <c r="B4090" s="13"/>
      <c r="C4090" s="13"/>
      <c r="D4090" s="13"/>
      <c r="E4090" s="13"/>
      <c r="F4090" s="13"/>
      <c r="G4090" s="13"/>
      <c r="H4090" s="13"/>
      <c r="I4090" s="13"/>
      <c r="J4090" s="13"/>
      <c r="K4090" s="13"/>
      <c r="L4090" s="13"/>
      <c r="M4090" s="13"/>
      <c r="N4090" s="13"/>
    </row>
    <row r="4091" ht="15.75" hidden="1" customHeight="1">
      <c r="A4091" s="13"/>
      <c r="B4091" s="13"/>
      <c r="C4091" s="13"/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</row>
    <row r="4092" ht="15.75" hidden="1" customHeight="1">
      <c r="A4092" s="13"/>
      <c r="B4092" s="13"/>
      <c r="C4092" s="13"/>
      <c r="D4092" s="13"/>
      <c r="E4092" s="13"/>
      <c r="F4092" s="13"/>
      <c r="G4092" s="13"/>
      <c r="H4092" s="13"/>
      <c r="I4092" s="13"/>
      <c r="J4092" s="13"/>
      <c r="K4092" s="13"/>
      <c r="L4092" s="13"/>
      <c r="M4092" s="13"/>
      <c r="N4092" s="13"/>
    </row>
    <row r="4093" ht="15.75" hidden="1" customHeight="1">
      <c r="A4093" s="13"/>
      <c r="B4093" s="13"/>
      <c r="C4093" s="13"/>
      <c r="D4093" s="13"/>
      <c r="E4093" s="13"/>
      <c r="F4093" s="13"/>
      <c r="G4093" s="13"/>
      <c r="H4093" s="13"/>
      <c r="I4093" s="13"/>
      <c r="J4093" s="13"/>
      <c r="K4093" s="13"/>
      <c r="L4093" s="13"/>
      <c r="M4093" s="13"/>
      <c r="N4093" s="13"/>
    </row>
    <row r="4094" ht="15.75" hidden="1" customHeight="1">
      <c r="A4094" s="13"/>
      <c r="B4094" s="13"/>
      <c r="C4094" s="13"/>
      <c r="D4094" s="13"/>
      <c r="E4094" s="13"/>
      <c r="F4094" s="13"/>
      <c r="G4094" s="13"/>
      <c r="H4094" s="13"/>
      <c r="I4094" s="13"/>
      <c r="J4094" s="13"/>
      <c r="K4094" s="13"/>
      <c r="L4094" s="13"/>
      <c r="M4094" s="13"/>
      <c r="N4094" s="13"/>
    </row>
    <row r="4095" ht="15.75" hidden="1" customHeight="1">
      <c r="A4095" s="13"/>
      <c r="B4095" s="13"/>
      <c r="C4095" s="13"/>
      <c r="D4095" s="13"/>
      <c r="E4095" s="13"/>
      <c r="F4095" s="13"/>
      <c r="G4095" s="13"/>
      <c r="H4095" s="13"/>
      <c r="I4095" s="13"/>
      <c r="J4095" s="13"/>
      <c r="K4095" s="13"/>
      <c r="L4095" s="13"/>
      <c r="M4095" s="13"/>
      <c r="N4095" s="13"/>
    </row>
    <row r="4096" ht="15.75" hidden="1" customHeight="1">
      <c r="A4096" s="13"/>
      <c r="B4096" s="13"/>
      <c r="C4096" s="13"/>
      <c r="D4096" s="13"/>
      <c r="E4096" s="13"/>
      <c r="F4096" s="13"/>
      <c r="G4096" s="13"/>
      <c r="H4096" s="13"/>
      <c r="I4096" s="13"/>
      <c r="J4096" s="13"/>
      <c r="K4096" s="13"/>
      <c r="L4096" s="13"/>
      <c r="M4096" s="13"/>
      <c r="N4096" s="13"/>
    </row>
    <row r="4097" ht="15.75" hidden="1" customHeight="1">
      <c r="A4097" s="13"/>
      <c r="B4097" s="13"/>
      <c r="C4097" s="13"/>
      <c r="D4097" s="13"/>
      <c r="E4097" s="13"/>
      <c r="F4097" s="13"/>
      <c r="G4097" s="13"/>
      <c r="H4097" s="13"/>
      <c r="I4097" s="13"/>
      <c r="J4097" s="13"/>
      <c r="K4097" s="13"/>
      <c r="L4097" s="13"/>
      <c r="M4097" s="13"/>
      <c r="N4097" s="13"/>
    </row>
    <row r="4098" ht="15.75" hidden="1" customHeight="1">
      <c r="A4098" s="13"/>
      <c r="B4098" s="13"/>
      <c r="C4098" s="13"/>
      <c r="D4098" s="13"/>
      <c r="E4098" s="13"/>
      <c r="F4098" s="13"/>
      <c r="G4098" s="13"/>
      <c r="H4098" s="13"/>
      <c r="I4098" s="13"/>
      <c r="J4098" s="13"/>
      <c r="K4098" s="13"/>
      <c r="L4098" s="13"/>
      <c r="M4098" s="13"/>
      <c r="N4098" s="13"/>
    </row>
    <row r="4099" ht="15.75" hidden="1" customHeight="1">
      <c r="A4099" s="13"/>
      <c r="B4099" s="13"/>
      <c r="C4099" s="13"/>
      <c r="D4099" s="13"/>
      <c r="E4099" s="13"/>
      <c r="F4099" s="13"/>
      <c r="G4099" s="13"/>
      <c r="H4099" s="13"/>
      <c r="I4099" s="13"/>
      <c r="J4099" s="13"/>
      <c r="K4099" s="13"/>
      <c r="L4099" s="13"/>
      <c r="M4099" s="13"/>
      <c r="N4099" s="13"/>
    </row>
    <row r="4100" ht="15.75" hidden="1" customHeight="1">
      <c r="A4100" s="13"/>
      <c r="B4100" s="13"/>
      <c r="C4100" s="13"/>
      <c r="D4100" s="13"/>
      <c r="E4100" s="13"/>
      <c r="F4100" s="13"/>
      <c r="G4100" s="13"/>
      <c r="H4100" s="13"/>
      <c r="I4100" s="13"/>
      <c r="J4100" s="13"/>
      <c r="K4100" s="13"/>
      <c r="L4100" s="13"/>
      <c r="M4100" s="13"/>
      <c r="N4100" s="13"/>
    </row>
    <row r="4101" ht="15.75" hidden="1" customHeight="1">
      <c r="A4101" s="13"/>
      <c r="B4101" s="13"/>
      <c r="C4101" s="13"/>
      <c r="D4101" s="13"/>
      <c r="E4101" s="13"/>
      <c r="F4101" s="13"/>
      <c r="G4101" s="13"/>
      <c r="H4101" s="13"/>
      <c r="I4101" s="13"/>
      <c r="J4101" s="13"/>
      <c r="K4101" s="13"/>
      <c r="L4101" s="13"/>
      <c r="M4101" s="13"/>
      <c r="N4101" s="13"/>
    </row>
    <row r="4102" ht="15.75" hidden="1" customHeight="1">
      <c r="A4102" s="13"/>
      <c r="B4102" s="13"/>
      <c r="C4102" s="13"/>
      <c r="D4102" s="13"/>
      <c r="E4102" s="13"/>
      <c r="F4102" s="13"/>
      <c r="G4102" s="13"/>
      <c r="H4102" s="13"/>
      <c r="I4102" s="13"/>
      <c r="J4102" s="13"/>
      <c r="K4102" s="13"/>
      <c r="L4102" s="13"/>
      <c r="M4102" s="13"/>
      <c r="N4102" s="13"/>
    </row>
    <row r="4103" ht="15.75" hidden="1" customHeight="1">
      <c r="A4103" s="13"/>
      <c r="B4103" s="13"/>
      <c r="C4103" s="13"/>
      <c r="D4103" s="13"/>
      <c r="E4103" s="13"/>
      <c r="F4103" s="13"/>
      <c r="G4103" s="13"/>
      <c r="H4103" s="13"/>
      <c r="I4103" s="13"/>
      <c r="J4103" s="13"/>
      <c r="K4103" s="13"/>
      <c r="L4103" s="13"/>
      <c r="M4103" s="13"/>
      <c r="N4103" s="13"/>
    </row>
    <row r="4104" ht="15.75" hidden="1" customHeight="1">
      <c r="A4104" s="13"/>
      <c r="B4104" s="13"/>
      <c r="C4104" s="13"/>
      <c r="D4104" s="13"/>
      <c r="E4104" s="13"/>
      <c r="F4104" s="13"/>
      <c r="G4104" s="13"/>
      <c r="H4104" s="13"/>
      <c r="I4104" s="13"/>
      <c r="J4104" s="13"/>
      <c r="K4104" s="13"/>
      <c r="L4104" s="13"/>
      <c r="M4104" s="13"/>
      <c r="N4104" s="13"/>
    </row>
    <row r="4105" ht="15.75" hidden="1" customHeight="1">
      <c r="A4105" s="13"/>
      <c r="B4105" s="13"/>
      <c r="C4105" s="13"/>
      <c r="D4105" s="13"/>
      <c r="E4105" s="13"/>
      <c r="F4105" s="13"/>
      <c r="G4105" s="13"/>
      <c r="H4105" s="13"/>
      <c r="I4105" s="13"/>
      <c r="J4105" s="13"/>
      <c r="K4105" s="13"/>
      <c r="L4105" s="13"/>
      <c r="M4105" s="13"/>
      <c r="N4105" s="13"/>
    </row>
    <row r="4106" ht="15.75" hidden="1" customHeight="1">
      <c r="A4106" s="13"/>
      <c r="B4106" s="13"/>
      <c r="C4106" s="13"/>
      <c r="D4106" s="13"/>
      <c r="E4106" s="13"/>
      <c r="F4106" s="13"/>
      <c r="G4106" s="13"/>
      <c r="H4106" s="13"/>
      <c r="I4106" s="13"/>
      <c r="J4106" s="13"/>
      <c r="K4106" s="13"/>
      <c r="L4106" s="13"/>
      <c r="M4106" s="13"/>
      <c r="N4106" s="13"/>
    </row>
    <row r="4107" ht="15.75" hidden="1" customHeight="1">
      <c r="A4107" s="13"/>
      <c r="B4107" s="13"/>
      <c r="C4107" s="13"/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</row>
    <row r="4108" ht="15.75" hidden="1" customHeight="1">
      <c r="A4108" s="13"/>
      <c r="B4108" s="13"/>
      <c r="C4108" s="13"/>
      <c r="D4108" s="13"/>
      <c r="E4108" s="13"/>
      <c r="F4108" s="13"/>
      <c r="G4108" s="13"/>
      <c r="H4108" s="13"/>
      <c r="I4108" s="13"/>
      <c r="J4108" s="13"/>
      <c r="K4108" s="13"/>
      <c r="L4108" s="13"/>
      <c r="M4108" s="13"/>
      <c r="N4108" s="13"/>
    </row>
    <row r="4109" ht="15.75" hidden="1" customHeight="1">
      <c r="A4109" s="13"/>
      <c r="B4109" s="13"/>
      <c r="C4109" s="13"/>
      <c r="D4109" s="13"/>
      <c r="E4109" s="13"/>
      <c r="F4109" s="13"/>
      <c r="G4109" s="13"/>
      <c r="H4109" s="13"/>
      <c r="I4109" s="13"/>
      <c r="J4109" s="13"/>
      <c r="K4109" s="13"/>
      <c r="L4109" s="13"/>
      <c r="M4109" s="13"/>
      <c r="N4109" s="13"/>
    </row>
    <row r="4110" ht="15.75" hidden="1" customHeight="1">
      <c r="A4110" s="13"/>
      <c r="B4110" s="13"/>
      <c r="C4110" s="13"/>
      <c r="D4110" s="13"/>
      <c r="E4110" s="13"/>
      <c r="F4110" s="13"/>
      <c r="G4110" s="13"/>
      <c r="H4110" s="13"/>
      <c r="I4110" s="13"/>
      <c r="J4110" s="13"/>
      <c r="K4110" s="13"/>
      <c r="L4110" s="13"/>
      <c r="M4110" s="13"/>
      <c r="N4110" s="13"/>
    </row>
    <row r="4111" ht="15.75" hidden="1" customHeight="1">
      <c r="A4111" s="13"/>
      <c r="B4111" s="13"/>
      <c r="C4111" s="13"/>
      <c r="D4111" s="13"/>
      <c r="E4111" s="13"/>
      <c r="F4111" s="13"/>
      <c r="G4111" s="13"/>
      <c r="H4111" s="13"/>
      <c r="I4111" s="13"/>
      <c r="J4111" s="13"/>
      <c r="K4111" s="13"/>
      <c r="L4111" s="13"/>
      <c r="M4111" s="13"/>
      <c r="N4111" s="13"/>
    </row>
    <row r="4112" ht="15.75" hidden="1" customHeight="1">
      <c r="A4112" s="13"/>
      <c r="B4112" s="13"/>
      <c r="C4112" s="13"/>
      <c r="D4112" s="13"/>
      <c r="E4112" s="13"/>
      <c r="F4112" s="13"/>
      <c r="G4112" s="13"/>
      <c r="H4112" s="13"/>
      <c r="I4112" s="13"/>
      <c r="J4112" s="13"/>
      <c r="K4112" s="13"/>
      <c r="L4112" s="13"/>
      <c r="M4112" s="13"/>
      <c r="N4112" s="13"/>
    </row>
    <row r="4113" ht="15.75" hidden="1" customHeight="1">
      <c r="A4113" s="13"/>
      <c r="B4113" s="13"/>
      <c r="C4113" s="13"/>
      <c r="D4113" s="13"/>
      <c r="E4113" s="13"/>
      <c r="F4113" s="13"/>
      <c r="G4113" s="13"/>
      <c r="H4113" s="13"/>
      <c r="I4113" s="13"/>
      <c r="J4113" s="13"/>
      <c r="K4113" s="13"/>
      <c r="L4113" s="13"/>
      <c r="M4113" s="13"/>
      <c r="N4113" s="13"/>
    </row>
    <row r="4114" ht="15.75" hidden="1" customHeight="1">
      <c r="A4114" s="13"/>
      <c r="B4114" s="13"/>
      <c r="C4114" s="13"/>
      <c r="D4114" s="13"/>
      <c r="E4114" s="13"/>
      <c r="F4114" s="13"/>
      <c r="G4114" s="13"/>
      <c r="H4114" s="13"/>
      <c r="I4114" s="13"/>
      <c r="J4114" s="13"/>
      <c r="K4114" s="13"/>
      <c r="L4114" s="13"/>
      <c r="M4114" s="13"/>
      <c r="N4114" s="13"/>
    </row>
    <row r="4115" ht="15.75" hidden="1" customHeight="1">
      <c r="A4115" s="13"/>
      <c r="B4115" s="13"/>
      <c r="C4115" s="13"/>
      <c r="D4115" s="13"/>
      <c r="E4115" s="13"/>
      <c r="F4115" s="13"/>
      <c r="G4115" s="13"/>
      <c r="H4115" s="13"/>
      <c r="I4115" s="13"/>
      <c r="J4115" s="13"/>
      <c r="K4115" s="13"/>
      <c r="L4115" s="13"/>
      <c r="M4115" s="13"/>
      <c r="N4115" s="13"/>
    </row>
    <row r="4116" ht="15.75" hidden="1" customHeight="1">
      <c r="A4116" s="13"/>
      <c r="B4116" s="13"/>
      <c r="C4116" s="13"/>
      <c r="D4116" s="13"/>
      <c r="E4116" s="13"/>
      <c r="F4116" s="13"/>
      <c r="G4116" s="13"/>
      <c r="H4116" s="13"/>
      <c r="I4116" s="13"/>
      <c r="J4116" s="13"/>
      <c r="K4116" s="13"/>
      <c r="L4116" s="13"/>
      <c r="M4116" s="13"/>
      <c r="N4116" s="13"/>
    </row>
    <row r="4117" ht="15.75" hidden="1" customHeight="1">
      <c r="A4117" s="13"/>
      <c r="B4117" s="13"/>
      <c r="C4117" s="13"/>
      <c r="D4117" s="13"/>
      <c r="E4117" s="13"/>
      <c r="F4117" s="13"/>
      <c r="G4117" s="13"/>
      <c r="H4117" s="13"/>
      <c r="I4117" s="13"/>
      <c r="J4117" s="13"/>
      <c r="K4117" s="13"/>
      <c r="L4117" s="13"/>
      <c r="M4117" s="13"/>
      <c r="N4117" s="13"/>
    </row>
    <row r="4118" ht="15.75" hidden="1" customHeight="1">
      <c r="A4118" s="13"/>
      <c r="B4118" s="13"/>
      <c r="C4118" s="13"/>
      <c r="D4118" s="13"/>
      <c r="E4118" s="13"/>
      <c r="F4118" s="13"/>
      <c r="G4118" s="13"/>
      <c r="H4118" s="13"/>
      <c r="I4118" s="13"/>
      <c r="J4118" s="13"/>
      <c r="K4118" s="13"/>
      <c r="L4118" s="13"/>
      <c r="M4118" s="13"/>
      <c r="N4118" s="13"/>
    </row>
    <row r="4119" ht="15.75" hidden="1" customHeight="1">
      <c r="A4119" s="13"/>
      <c r="B4119" s="13"/>
      <c r="C4119" s="13"/>
      <c r="D4119" s="13"/>
      <c r="E4119" s="13"/>
      <c r="F4119" s="13"/>
      <c r="G4119" s="13"/>
      <c r="H4119" s="13"/>
      <c r="I4119" s="13"/>
      <c r="J4119" s="13"/>
      <c r="K4119" s="13"/>
      <c r="L4119" s="13"/>
      <c r="M4119" s="13"/>
      <c r="N4119" s="13"/>
    </row>
    <row r="4120" ht="15.75" hidden="1" customHeight="1">
      <c r="A4120" s="13"/>
      <c r="B4120" s="13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3"/>
      <c r="N4120" s="13"/>
    </row>
    <row r="4121" ht="15.75" hidden="1" customHeight="1">
      <c r="A4121" s="13"/>
      <c r="B4121" s="13"/>
      <c r="C4121" s="13"/>
      <c r="D4121" s="13"/>
      <c r="E4121" s="13"/>
      <c r="F4121" s="13"/>
      <c r="G4121" s="13"/>
      <c r="H4121" s="13"/>
      <c r="I4121" s="13"/>
      <c r="J4121" s="13"/>
      <c r="K4121" s="13"/>
      <c r="L4121" s="13"/>
      <c r="M4121" s="13"/>
      <c r="N4121" s="13"/>
    </row>
    <row r="4122" ht="15.75" hidden="1" customHeight="1">
      <c r="A4122" s="13"/>
      <c r="B4122" s="13"/>
      <c r="C4122" s="13"/>
      <c r="D4122" s="13"/>
      <c r="E4122" s="13"/>
      <c r="F4122" s="13"/>
      <c r="G4122" s="13"/>
      <c r="H4122" s="13"/>
      <c r="I4122" s="13"/>
      <c r="J4122" s="13"/>
      <c r="K4122" s="13"/>
      <c r="L4122" s="13"/>
      <c r="M4122" s="13"/>
      <c r="N4122" s="13"/>
    </row>
    <row r="4123" ht="15.75" hidden="1" customHeight="1">
      <c r="A4123" s="13"/>
      <c r="B4123" s="13"/>
      <c r="C4123" s="13"/>
      <c r="D4123" s="13"/>
      <c r="E4123" s="13"/>
      <c r="F4123" s="13"/>
      <c r="G4123" s="13"/>
      <c r="H4123" s="13"/>
      <c r="I4123" s="13"/>
      <c r="J4123" s="13"/>
      <c r="K4123" s="13"/>
      <c r="L4123" s="13"/>
      <c r="M4123" s="13"/>
      <c r="N4123" s="13"/>
    </row>
    <row r="4124" ht="15.75" hidden="1" customHeight="1">
      <c r="A4124" s="13"/>
      <c r="B4124" s="13"/>
      <c r="C4124" s="13"/>
      <c r="D4124" s="13"/>
      <c r="E4124" s="13"/>
      <c r="F4124" s="13"/>
      <c r="G4124" s="13"/>
      <c r="H4124" s="13"/>
      <c r="I4124" s="13"/>
      <c r="J4124" s="13"/>
      <c r="K4124" s="13"/>
      <c r="L4124" s="13"/>
      <c r="M4124" s="13"/>
      <c r="N4124" s="13"/>
    </row>
    <row r="4125" ht="15.75" hidden="1" customHeight="1">
      <c r="A4125" s="13"/>
      <c r="B4125" s="13"/>
      <c r="C4125" s="13"/>
      <c r="D4125" s="13"/>
      <c r="E4125" s="13"/>
      <c r="F4125" s="13"/>
      <c r="G4125" s="13"/>
      <c r="H4125" s="13"/>
      <c r="I4125" s="13"/>
      <c r="J4125" s="13"/>
      <c r="K4125" s="13"/>
      <c r="L4125" s="13"/>
      <c r="M4125" s="13"/>
      <c r="N4125" s="13"/>
    </row>
    <row r="4126" ht="15.75" hidden="1" customHeight="1">
      <c r="A4126" s="13"/>
      <c r="B4126" s="13"/>
      <c r="C4126" s="13"/>
      <c r="D4126" s="13"/>
      <c r="E4126" s="13"/>
      <c r="F4126" s="13"/>
      <c r="G4126" s="13"/>
      <c r="H4126" s="13"/>
      <c r="I4126" s="13"/>
      <c r="J4126" s="13"/>
      <c r="K4126" s="13"/>
      <c r="L4126" s="13"/>
      <c r="M4126" s="13"/>
      <c r="N4126" s="13"/>
    </row>
    <row r="4127" ht="15.75" hidden="1" customHeight="1">
      <c r="A4127" s="13"/>
      <c r="B4127" s="13"/>
      <c r="C4127" s="13"/>
      <c r="D4127" s="13"/>
      <c r="E4127" s="13"/>
      <c r="F4127" s="13"/>
      <c r="G4127" s="13"/>
      <c r="H4127" s="13"/>
      <c r="I4127" s="13"/>
      <c r="J4127" s="13"/>
      <c r="K4127" s="13"/>
      <c r="L4127" s="13"/>
      <c r="M4127" s="13"/>
      <c r="N4127" s="13"/>
    </row>
    <row r="4128" ht="15.75" hidden="1" customHeight="1">
      <c r="A4128" s="13"/>
      <c r="B4128" s="13"/>
      <c r="C4128" s="13"/>
      <c r="D4128" s="13"/>
      <c r="E4128" s="13"/>
      <c r="F4128" s="13"/>
      <c r="G4128" s="13"/>
      <c r="H4128" s="13"/>
      <c r="I4128" s="13"/>
      <c r="J4128" s="13"/>
      <c r="K4128" s="13"/>
      <c r="L4128" s="13"/>
      <c r="M4128" s="13"/>
      <c r="N4128" s="13"/>
    </row>
    <row r="4129" ht="15.75" hidden="1" customHeight="1">
      <c r="A4129" s="13"/>
      <c r="B4129" s="13"/>
      <c r="C4129" s="13"/>
      <c r="D4129" s="13"/>
      <c r="E4129" s="13"/>
      <c r="F4129" s="13"/>
      <c r="G4129" s="13"/>
      <c r="H4129" s="13"/>
      <c r="I4129" s="13"/>
      <c r="J4129" s="13"/>
      <c r="K4129" s="13"/>
      <c r="L4129" s="13"/>
      <c r="M4129" s="13"/>
      <c r="N4129" s="13"/>
    </row>
    <row r="4130" ht="15.75" hidden="1" customHeight="1">
      <c r="A4130" s="13"/>
      <c r="B4130" s="13"/>
      <c r="C4130" s="13"/>
      <c r="D4130" s="13"/>
      <c r="E4130" s="13"/>
      <c r="F4130" s="13"/>
      <c r="G4130" s="13"/>
      <c r="H4130" s="13"/>
      <c r="I4130" s="13"/>
      <c r="J4130" s="13"/>
      <c r="K4130" s="13"/>
      <c r="L4130" s="13"/>
      <c r="M4130" s="13"/>
      <c r="N4130" s="13"/>
    </row>
    <row r="4131" ht="15.75" hidden="1" customHeight="1">
      <c r="A4131" s="13"/>
      <c r="B4131" s="13"/>
      <c r="C4131" s="13"/>
      <c r="D4131" s="13"/>
      <c r="E4131" s="13"/>
      <c r="F4131" s="13"/>
      <c r="G4131" s="13"/>
      <c r="H4131" s="13"/>
      <c r="I4131" s="13"/>
      <c r="J4131" s="13"/>
      <c r="K4131" s="13"/>
      <c r="L4131" s="13"/>
      <c r="M4131" s="13"/>
      <c r="N4131" s="13"/>
    </row>
    <row r="4132" ht="15.75" hidden="1" customHeight="1">
      <c r="A4132" s="13"/>
      <c r="B4132" s="13"/>
      <c r="C4132" s="13"/>
      <c r="D4132" s="13"/>
      <c r="E4132" s="13"/>
      <c r="F4132" s="13"/>
      <c r="G4132" s="13"/>
      <c r="H4132" s="13"/>
      <c r="I4132" s="13"/>
      <c r="J4132" s="13"/>
      <c r="K4132" s="13"/>
      <c r="L4132" s="13"/>
      <c r="M4132" s="13"/>
      <c r="N4132" s="13"/>
    </row>
    <row r="4133" ht="15.75" hidden="1" customHeight="1">
      <c r="A4133" s="13"/>
      <c r="B4133" s="13"/>
      <c r="C4133" s="13"/>
      <c r="D4133" s="13"/>
      <c r="E4133" s="13"/>
      <c r="F4133" s="13"/>
      <c r="G4133" s="13"/>
      <c r="H4133" s="13"/>
      <c r="I4133" s="13"/>
      <c r="J4133" s="13"/>
      <c r="K4133" s="13"/>
      <c r="L4133" s="13"/>
      <c r="M4133" s="13"/>
      <c r="N4133" s="13"/>
    </row>
    <row r="4134" ht="15.75" hidden="1" customHeight="1">
      <c r="A4134" s="13"/>
      <c r="B4134" s="13"/>
      <c r="C4134" s="13"/>
      <c r="D4134" s="13"/>
      <c r="E4134" s="13"/>
      <c r="F4134" s="13"/>
      <c r="G4134" s="13"/>
      <c r="H4134" s="13"/>
      <c r="I4134" s="13"/>
      <c r="J4134" s="13"/>
      <c r="K4134" s="13"/>
      <c r="L4134" s="13"/>
      <c r="M4134" s="13"/>
      <c r="N4134" s="13"/>
    </row>
    <row r="4135" ht="15.75" hidden="1" customHeight="1">
      <c r="A4135" s="13"/>
      <c r="B4135" s="13"/>
      <c r="C4135" s="13"/>
      <c r="D4135" s="13"/>
      <c r="E4135" s="13"/>
      <c r="F4135" s="13"/>
      <c r="G4135" s="13"/>
      <c r="H4135" s="13"/>
      <c r="I4135" s="13"/>
      <c r="J4135" s="13"/>
      <c r="K4135" s="13"/>
      <c r="L4135" s="13"/>
      <c r="M4135" s="13"/>
      <c r="N4135" s="13"/>
    </row>
    <row r="4136" ht="15.75" hidden="1" customHeight="1">
      <c r="A4136" s="13"/>
      <c r="B4136" s="13"/>
      <c r="C4136" s="13"/>
      <c r="D4136" s="13"/>
      <c r="E4136" s="13"/>
      <c r="F4136" s="13"/>
      <c r="G4136" s="13"/>
      <c r="H4136" s="13"/>
      <c r="I4136" s="13"/>
      <c r="J4136" s="13"/>
      <c r="K4136" s="13"/>
      <c r="L4136" s="13"/>
      <c r="M4136" s="13"/>
      <c r="N4136" s="13"/>
    </row>
    <row r="4137" ht="15.75" hidden="1" customHeight="1">
      <c r="A4137" s="13"/>
      <c r="B4137" s="13"/>
      <c r="C4137" s="13"/>
      <c r="D4137" s="13"/>
      <c r="E4137" s="13"/>
      <c r="F4137" s="13"/>
      <c r="G4137" s="13"/>
      <c r="H4137" s="13"/>
      <c r="I4137" s="13"/>
      <c r="J4137" s="13"/>
      <c r="K4137" s="13"/>
      <c r="L4137" s="13"/>
      <c r="M4137" s="13"/>
      <c r="N4137" s="13"/>
    </row>
    <row r="4138" ht="15.75" hidden="1" customHeight="1">
      <c r="A4138" s="13"/>
      <c r="B4138" s="13"/>
      <c r="C4138" s="13"/>
      <c r="D4138" s="13"/>
      <c r="E4138" s="13"/>
      <c r="F4138" s="13"/>
      <c r="G4138" s="13"/>
      <c r="H4138" s="13"/>
      <c r="I4138" s="13"/>
      <c r="J4138" s="13"/>
      <c r="K4138" s="13"/>
      <c r="L4138" s="13"/>
      <c r="M4138" s="13"/>
      <c r="N4138" s="13"/>
    </row>
    <row r="4139" ht="15.75" hidden="1" customHeight="1">
      <c r="A4139" s="13"/>
      <c r="B4139" s="13"/>
      <c r="C4139" s="13"/>
      <c r="D4139" s="13"/>
      <c r="E4139" s="13"/>
      <c r="F4139" s="13"/>
      <c r="G4139" s="13"/>
      <c r="H4139" s="13"/>
      <c r="I4139" s="13"/>
      <c r="J4139" s="13"/>
      <c r="K4139" s="13"/>
      <c r="L4139" s="13"/>
      <c r="M4139" s="13"/>
      <c r="N4139" s="13"/>
    </row>
    <row r="4140" ht="15.75" hidden="1" customHeight="1">
      <c r="A4140" s="13"/>
      <c r="B4140" s="13"/>
      <c r="C4140" s="13"/>
      <c r="D4140" s="13"/>
      <c r="E4140" s="13"/>
      <c r="F4140" s="13"/>
      <c r="G4140" s="13"/>
      <c r="H4140" s="13"/>
      <c r="I4140" s="13"/>
      <c r="J4140" s="13"/>
      <c r="K4140" s="13"/>
      <c r="L4140" s="13"/>
      <c r="M4140" s="13"/>
      <c r="N4140" s="13"/>
    </row>
    <row r="4141" ht="15.75" hidden="1" customHeight="1">
      <c r="A4141" s="13"/>
      <c r="B4141" s="13"/>
      <c r="C4141" s="13"/>
      <c r="D4141" s="13"/>
      <c r="E4141" s="13"/>
      <c r="F4141" s="13"/>
      <c r="G4141" s="13"/>
      <c r="H4141" s="13"/>
      <c r="I4141" s="13"/>
      <c r="J4141" s="13"/>
      <c r="K4141" s="13"/>
      <c r="L4141" s="13"/>
      <c r="M4141" s="13"/>
      <c r="N4141" s="13"/>
    </row>
    <row r="4142" ht="15.75" hidden="1" customHeight="1">
      <c r="A4142" s="13"/>
      <c r="B4142" s="13"/>
      <c r="C4142" s="13"/>
      <c r="D4142" s="13"/>
      <c r="E4142" s="13"/>
      <c r="F4142" s="13"/>
      <c r="G4142" s="13"/>
      <c r="H4142" s="13"/>
      <c r="I4142" s="13"/>
      <c r="J4142" s="13"/>
      <c r="K4142" s="13"/>
      <c r="L4142" s="13"/>
      <c r="M4142" s="13"/>
      <c r="N4142" s="13"/>
    </row>
    <row r="4143" ht="15.75" hidden="1" customHeight="1">
      <c r="A4143" s="13"/>
      <c r="B4143" s="13"/>
      <c r="C4143" s="13"/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</row>
    <row r="4144" ht="15.75" hidden="1" customHeight="1">
      <c r="A4144" s="13"/>
      <c r="B4144" s="13"/>
      <c r="C4144" s="13"/>
      <c r="D4144" s="13"/>
      <c r="E4144" s="13"/>
      <c r="F4144" s="13"/>
      <c r="G4144" s="13"/>
      <c r="H4144" s="13"/>
      <c r="I4144" s="13"/>
      <c r="J4144" s="13"/>
      <c r="K4144" s="13"/>
      <c r="L4144" s="13"/>
      <c r="M4144" s="13"/>
      <c r="N4144" s="13"/>
    </row>
    <row r="4145" ht="15.75" hidden="1" customHeight="1">
      <c r="A4145" s="13"/>
      <c r="B4145" s="13"/>
      <c r="C4145" s="13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</row>
    <row r="4146" ht="15.75" hidden="1" customHeight="1">
      <c r="A4146" s="13"/>
      <c r="B4146" s="13"/>
      <c r="C4146" s="13"/>
      <c r="D4146" s="13"/>
      <c r="E4146" s="13"/>
      <c r="F4146" s="13"/>
      <c r="G4146" s="13"/>
      <c r="H4146" s="13"/>
      <c r="I4146" s="13"/>
      <c r="J4146" s="13"/>
      <c r="K4146" s="13"/>
      <c r="L4146" s="13"/>
      <c r="M4146" s="13"/>
      <c r="N4146" s="13"/>
    </row>
    <row r="4147" ht="15.75" hidden="1" customHeight="1">
      <c r="A4147" s="13"/>
      <c r="B4147" s="13"/>
      <c r="C4147" s="13"/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</row>
    <row r="4148" ht="15.75" hidden="1" customHeight="1">
      <c r="A4148" s="13"/>
      <c r="B4148" s="13"/>
      <c r="C4148" s="13"/>
      <c r="D4148" s="13"/>
      <c r="E4148" s="13"/>
      <c r="F4148" s="13"/>
      <c r="G4148" s="13"/>
      <c r="H4148" s="13"/>
      <c r="I4148" s="13"/>
      <c r="J4148" s="13"/>
      <c r="K4148" s="13"/>
      <c r="L4148" s="13"/>
      <c r="M4148" s="13"/>
      <c r="N4148" s="13"/>
    </row>
    <row r="4149" ht="15.75" hidden="1" customHeight="1">
      <c r="A4149" s="13"/>
      <c r="B4149" s="13"/>
      <c r="C4149" s="13"/>
      <c r="D4149" s="13"/>
      <c r="E4149" s="13"/>
      <c r="F4149" s="13"/>
      <c r="G4149" s="13"/>
      <c r="H4149" s="13"/>
      <c r="I4149" s="13"/>
      <c r="J4149" s="13"/>
      <c r="K4149" s="13"/>
      <c r="L4149" s="13"/>
      <c r="M4149" s="13"/>
      <c r="N4149" s="13"/>
    </row>
    <row r="4150" ht="15.75" hidden="1" customHeight="1">
      <c r="A4150" s="13"/>
      <c r="B4150" s="13"/>
      <c r="C4150" s="13"/>
      <c r="D4150" s="13"/>
      <c r="E4150" s="13"/>
      <c r="F4150" s="13"/>
      <c r="G4150" s="13"/>
      <c r="H4150" s="13"/>
      <c r="I4150" s="13"/>
      <c r="J4150" s="13"/>
      <c r="K4150" s="13"/>
      <c r="L4150" s="13"/>
      <c r="M4150" s="13"/>
      <c r="N4150" s="13"/>
    </row>
    <row r="4151" ht="15.75" hidden="1" customHeight="1">
      <c r="A4151" s="13"/>
      <c r="B4151" s="13"/>
      <c r="C4151" s="13"/>
      <c r="D4151" s="13"/>
      <c r="E4151" s="13"/>
      <c r="F4151" s="13"/>
      <c r="G4151" s="13"/>
      <c r="H4151" s="13"/>
      <c r="I4151" s="13"/>
      <c r="J4151" s="13"/>
      <c r="K4151" s="13"/>
      <c r="L4151" s="13"/>
      <c r="M4151" s="13"/>
      <c r="N4151" s="13"/>
    </row>
    <row r="4152" ht="15.75" hidden="1" customHeight="1">
      <c r="A4152" s="13"/>
      <c r="B4152" s="13"/>
      <c r="C4152" s="13"/>
      <c r="D4152" s="13"/>
      <c r="E4152" s="13"/>
      <c r="F4152" s="13"/>
      <c r="G4152" s="13"/>
      <c r="H4152" s="13"/>
      <c r="I4152" s="13"/>
      <c r="J4152" s="13"/>
      <c r="K4152" s="13"/>
      <c r="L4152" s="13"/>
      <c r="M4152" s="13"/>
      <c r="N4152" s="13"/>
    </row>
    <row r="4153" ht="15.75" hidden="1" customHeight="1">
      <c r="A4153" s="13"/>
      <c r="B4153" s="13"/>
      <c r="C4153" s="13"/>
      <c r="D4153" s="13"/>
      <c r="E4153" s="13"/>
      <c r="F4153" s="13"/>
      <c r="G4153" s="13"/>
      <c r="H4153" s="13"/>
      <c r="I4153" s="13"/>
      <c r="J4153" s="13"/>
      <c r="K4153" s="13"/>
      <c r="L4153" s="13"/>
      <c r="M4153" s="13"/>
      <c r="N4153" s="13"/>
    </row>
    <row r="4154" ht="15.75" hidden="1" customHeight="1">
      <c r="A4154" s="13"/>
      <c r="B4154" s="13"/>
      <c r="C4154" s="13"/>
      <c r="D4154" s="13"/>
      <c r="E4154" s="13"/>
      <c r="F4154" s="13"/>
      <c r="G4154" s="13"/>
      <c r="H4154" s="13"/>
      <c r="I4154" s="13"/>
      <c r="J4154" s="13"/>
      <c r="K4154" s="13"/>
      <c r="L4154" s="13"/>
      <c r="M4154" s="13"/>
      <c r="N4154" s="13"/>
    </row>
    <row r="4155" ht="15.75" hidden="1" customHeight="1">
      <c r="A4155" s="13"/>
      <c r="B4155" s="13"/>
      <c r="C4155" s="13"/>
      <c r="D4155" s="13"/>
      <c r="E4155" s="13"/>
      <c r="F4155" s="13"/>
      <c r="G4155" s="13"/>
      <c r="H4155" s="13"/>
      <c r="I4155" s="13"/>
      <c r="J4155" s="13"/>
      <c r="K4155" s="13"/>
      <c r="L4155" s="13"/>
      <c r="M4155" s="13"/>
      <c r="N4155" s="13"/>
    </row>
    <row r="4156" ht="15.75" hidden="1" customHeight="1">
      <c r="A4156" s="13"/>
      <c r="B4156" s="13"/>
      <c r="C4156" s="13"/>
      <c r="D4156" s="13"/>
      <c r="E4156" s="13"/>
      <c r="F4156" s="13"/>
      <c r="G4156" s="13"/>
      <c r="H4156" s="13"/>
      <c r="I4156" s="13"/>
      <c r="J4156" s="13"/>
      <c r="K4156" s="13"/>
      <c r="L4156" s="13"/>
      <c r="M4156" s="13"/>
      <c r="N4156" s="13"/>
    </row>
    <row r="4157" ht="15.75" hidden="1" customHeight="1">
      <c r="A4157" s="13"/>
      <c r="B4157" s="13"/>
      <c r="C4157" s="13"/>
      <c r="D4157" s="13"/>
      <c r="E4157" s="13"/>
      <c r="F4157" s="13"/>
      <c r="G4157" s="13"/>
      <c r="H4157" s="13"/>
      <c r="I4157" s="13"/>
      <c r="J4157" s="13"/>
      <c r="K4157" s="13"/>
      <c r="L4157" s="13"/>
      <c r="M4157" s="13"/>
      <c r="N4157" s="13"/>
    </row>
    <row r="4158" ht="15.75" hidden="1" customHeight="1">
      <c r="A4158" s="13"/>
      <c r="B4158" s="13"/>
      <c r="C4158" s="13"/>
      <c r="D4158" s="13"/>
      <c r="E4158" s="13"/>
      <c r="F4158" s="13"/>
      <c r="G4158" s="13"/>
      <c r="H4158" s="13"/>
      <c r="I4158" s="13"/>
      <c r="J4158" s="13"/>
      <c r="K4158" s="13"/>
      <c r="L4158" s="13"/>
      <c r="M4158" s="13"/>
      <c r="N4158" s="13"/>
    </row>
    <row r="4159" ht="15.75" hidden="1" customHeight="1">
      <c r="A4159" s="13"/>
      <c r="B4159" s="13"/>
      <c r="C4159" s="13"/>
      <c r="D4159" s="13"/>
      <c r="E4159" s="13"/>
      <c r="F4159" s="13"/>
      <c r="G4159" s="13"/>
      <c r="H4159" s="13"/>
      <c r="I4159" s="13"/>
      <c r="J4159" s="13"/>
      <c r="K4159" s="13"/>
      <c r="L4159" s="13"/>
      <c r="M4159" s="13"/>
      <c r="N4159" s="13"/>
    </row>
    <row r="4160" ht="15.75" hidden="1" customHeight="1">
      <c r="A4160" s="13"/>
      <c r="B4160" s="13"/>
      <c r="C4160" s="13"/>
      <c r="D4160" s="13"/>
      <c r="E4160" s="13"/>
      <c r="F4160" s="13"/>
      <c r="G4160" s="13"/>
      <c r="H4160" s="13"/>
      <c r="I4160" s="13"/>
      <c r="J4160" s="13"/>
      <c r="K4160" s="13"/>
      <c r="L4160" s="13"/>
      <c r="M4160" s="13"/>
      <c r="N4160" s="13"/>
    </row>
    <row r="4161" ht="15.75" hidden="1" customHeight="1">
      <c r="A4161" s="13"/>
      <c r="B4161" s="13"/>
      <c r="C4161" s="13"/>
      <c r="D4161" s="13"/>
      <c r="E4161" s="13"/>
      <c r="F4161" s="13"/>
      <c r="G4161" s="13"/>
      <c r="H4161" s="13"/>
      <c r="I4161" s="13"/>
      <c r="J4161" s="13"/>
      <c r="K4161" s="13"/>
      <c r="L4161" s="13"/>
      <c r="M4161" s="13"/>
      <c r="N4161" s="13"/>
    </row>
    <row r="4162" ht="15.75" hidden="1" customHeight="1">
      <c r="A4162" s="13"/>
      <c r="B4162" s="13"/>
      <c r="C4162" s="13"/>
      <c r="D4162" s="13"/>
      <c r="E4162" s="13"/>
      <c r="F4162" s="13"/>
      <c r="G4162" s="13"/>
      <c r="H4162" s="13"/>
      <c r="I4162" s="13"/>
      <c r="J4162" s="13"/>
      <c r="K4162" s="13"/>
      <c r="L4162" s="13"/>
      <c r="M4162" s="13"/>
      <c r="N4162" s="13"/>
    </row>
    <row r="4163" ht="15.75" hidden="1" customHeight="1">
      <c r="A4163" s="13"/>
      <c r="B4163" s="13"/>
      <c r="C4163" s="13"/>
      <c r="D4163" s="13"/>
      <c r="E4163" s="13"/>
      <c r="F4163" s="13"/>
      <c r="G4163" s="13"/>
      <c r="H4163" s="13"/>
      <c r="I4163" s="13"/>
      <c r="J4163" s="13"/>
      <c r="K4163" s="13"/>
      <c r="L4163" s="13"/>
      <c r="M4163" s="13"/>
      <c r="N4163" s="13"/>
    </row>
    <row r="4164" ht="15.75" hidden="1" customHeight="1">
      <c r="A4164" s="13"/>
      <c r="B4164" s="13"/>
      <c r="C4164" s="13"/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</row>
    <row r="4165" ht="15.75" hidden="1" customHeight="1">
      <c r="A4165" s="13"/>
      <c r="B4165" s="13"/>
      <c r="C4165" s="13"/>
      <c r="D4165" s="13"/>
      <c r="E4165" s="13"/>
      <c r="F4165" s="13"/>
      <c r="G4165" s="13"/>
      <c r="H4165" s="13"/>
      <c r="I4165" s="13"/>
      <c r="J4165" s="13"/>
      <c r="K4165" s="13"/>
      <c r="L4165" s="13"/>
      <c r="M4165" s="13"/>
      <c r="N4165" s="13"/>
    </row>
    <row r="4166" ht="15.75" hidden="1" customHeight="1">
      <c r="A4166" s="13"/>
      <c r="B4166" s="13"/>
      <c r="C4166" s="13"/>
      <c r="D4166" s="13"/>
      <c r="E4166" s="13"/>
      <c r="F4166" s="13"/>
      <c r="G4166" s="13"/>
      <c r="H4166" s="13"/>
      <c r="I4166" s="13"/>
      <c r="J4166" s="13"/>
      <c r="K4166" s="13"/>
      <c r="L4166" s="13"/>
      <c r="M4166" s="13"/>
      <c r="N4166" s="13"/>
    </row>
    <row r="4167" ht="15.75" hidden="1" customHeight="1">
      <c r="A4167" s="13"/>
      <c r="B4167" s="13"/>
      <c r="C4167" s="13"/>
      <c r="D4167" s="13"/>
      <c r="E4167" s="13"/>
      <c r="F4167" s="13"/>
      <c r="G4167" s="13"/>
      <c r="H4167" s="13"/>
      <c r="I4167" s="13"/>
      <c r="J4167" s="13"/>
      <c r="K4167" s="13"/>
      <c r="L4167" s="13"/>
      <c r="M4167" s="13"/>
      <c r="N4167" s="13"/>
    </row>
    <row r="4168" ht="15.75" hidden="1" customHeight="1">
      <c r="A4168" s="13"/>
      <c r="B4168" s="13"/>
      <c r="C4168" s="13"/>
      <c r="D4168" s="13"/>
      <c r="E4168" s="13"/>
      <c r="F4168" s="13"/>
      <c r="G4168" s="13"/>
      <c r="H4168" s="13"/>
      <c r="I4168" s="13"/>
      <c r="J4168" s="13"/>
      <c r="K4168" s="13"/>
      <c r="L4168" s="13"/>
      <c r="M4168" s="13"/>
      <c r="N4168" s="13"/>
    </row>
    <row r="4169" ht="15.75" hidden="1" customHeight="1">
      <c r="A4169" s="13"/>
      <c r="B4169" s="13"/>
      <c r="C4169" s="13"/>
      <c r="D4169" s="13"/>
      <c r="E4169" s="13"/>
      <c r="F4169" s="13"/>
      <c r="G4169" s="13"/>
      <c r="H4169" s="13"/>
      <c r="I4169" s="13"/>
      <c r="J4169" s="13"/>
      <c r="K4169" s="13"/>
      <c r="L4169" s="13"/>
      <c r="M4169" s="13"/>
      <c r="N4169" s="13"/>
    </row>
    <row r="4170" ht="15.75" hidden="1" customHeight="1">
      <c r="A4170" s="13"/>
      <c r="B4170" s="13"/>
      <c r="C4170" s="13"/>
      <c r="D4170" s="13"/>
      <c r="E4170" s="13"/>
      <c r="F4170" s="13"/>
      <c r="G4170" s="13"/>
      <c r="H4170" s="13"/>
      <c r="I4170" s="13"/>
      <c r="J4170" s="13"/>
      <c r="K4170" s="13"/>
      <c r="L4170" s="13"/>
      <c r="M4170" s="13"/>
      <c r="N4170" s="13"/>
    </row>
    <row r="4171" ht="15.75" hidden="1" customHeight="1">
      <c r="A4171" s="13"/>
      <c r="B4171" s="13"/>
      <c r="C4171" s="13"/>
      <c r="D4171" s="13"/>
      <c r="E4171" s="13"/>
      <c r="F4171" s="13"/>
      <c r="G4171" s="13"/>
      <c r="H4171" s="13"/>
      <c r="I4171" s="13"/>
      <c r="J4171" s="13"/>
      <c r="K4171" s="13"/>
      <c r="L4171" s="13"/>
      <c r="M4171" s="13"/>
      <c r="N4171" s="13"/>
    </row>
    <row r="4172" ht="15.75" hidden="1" customHeight="1">
      <c r="A4172" s="13"/>
      <c r="B4172" s="13"/>
      <c r="C4172" s="13"/>
      <c r="D4172" s="13"/>
      <c r="E4172" s="13"/>
      <c r="F4172" s="13"/>
      <c r="G4172" s="13"/>
      <c r="H4172" s="13"/>
      <c r="I4172" s="13"/>
      <c r="J4172" s="13"/>
      <c r="K4172" s="13"/>
      <c r="L4172" s="13"/>
      <c r="M4172" s="13"/>
      <c r="N4172" s="13"/>
    </row>
    <row r="4173" ht="15.75" hidden="1" customHeight="1">
      <c r="A4173" s="13"/>
      <c r="B4173" s="13"/>
      <c r="C4173" s="13"/>
      <c r="D4173" s="13"/>
      <c r="E4173" s="13"/>
      <c r="F4173" s="13"/>
      <c r="G4173" s="13"/>
      <c r="H4173" s="13"/>
      <c r="I4173" s="13"/>
      <c r="J4173" s="13"/>
      <c r="K4173" s="13"/>
      <c r="L4173" s="13"/>
      <c r="M4173" s="13"/>
      <c r="N4173" s="13"/>
    </row>
    <row r="4174" ht="15.75" hidden="1" customHeight="1">
      <c r="A4174" s="13"/>
      <c r="B4174" s="13"/>
      <c r="C4174" s="13"/>
      <c r="D4174" s="13"/>
      <c r="E4174" s="13"/>
      <c r="F4174" s="13"/>
      <c r="G4174" s="13"/>
      <c r="H4174" s="13"/>
      <c r="I4174" s="13"/>
      <c r="J4174" s="13"/>
      <c r="K4174" s="13"/>
      <c r="L4174" s="13"/>
      <c r="M4174" s="13"/>
      <c r="N4174" s="13"/>
    </row>
    <row r="4175" ht="15.75" hidden="1" customHeight="1">
      <c r="A4175" s="13"/>
      <c r="B4175" s="13"/>
      <c r="C4175" s="13"/>
      <c r="D4175" s="13"/>
      <c r="E4175" s="13"/>
      <c r="F4175" s="13"/>
      <c r="G4175" s="13"/>
      <c r="H4175" s="13"/>
      <c r="I4175" s="13"/>
      <c r="J4175" s="13"/>
      <c r="K4175" s="13"/>
      <c r="L4175" s="13"/>
      <c r="M4175" s="13"/>
      <c r="N4175" s="13"/>
    </row>
    <row r="4176" ht="15.75" hidden="1" customHeight="1">
      <c r="A4176" s="13"/>
      <c r="B4176" s="13"/>
      <c r="C4176" s="13"/>
      <c r="D4176" s="13"/>
      <c r="E4176" s="13"/>
      <c r="F4176" s="13"/>
      <c r="G4176" s="13"/>
      <c r="H4176" s="13"/>
      <c r="I4176" s="13"/>
      <c r="J4176" s="13"/>
      <c r="K4176" s="13"/>
      <c r="L4176" s="13"/>
      <c r="M4176" s="13"/>
      <c r="N4176" s="13"/>
    </row>
    <row r="4177" ht="15.75" hidden="1" customHeight="1">
      <c r="A4177" s="13"/>
      <c r="B4177" s="13"/>
      <c r="C4177" s="13"/>
      <c r="D4177" s="13"/>
      <c r="E4177" s="13"/>
      <c r="F4177" s="13"/>
      <c r="G4177" s="13"/>
      <c r="H4177" s="13"/>
      <c r="I4177" s="13"/>
      <c r="J4177" s="13"/>
      <c r="K4177" s="13"/>
      <c r="L4177" s="13"/>
      <c r="M4177" s="13"/>
      <c r="N4177" s="13"/>
    </row>
    <row r="4178" ht="15.75" hidden="1" customHeight="1">
      <c r="A4178" s="13"/>
      <c r="B4178" s="13"/>
      <c r="C4178" s="13"/>
      <c r="D4178" s="13"/>
      <c r="E4178" s="13"/>
      <c r="F4178" s="13"/>
      <c r="G4178" s="13"/>
      <c r="H4178" s="13"/>
      <c r="I4178" s="13"/>
      <c r="J4178" s="13"/>
      <c r="K4178" s="13"/>
      <c r="L4178" s="13"/>
      <c r="M4178" s="13"/>
      <c r="N4178" s="13"/>
    </row>
    <row r="4179" ht="15.75" hidden="1" customHeight="1">
      <c r="A4179" s="13"/>
      <c r="B4179" s="13"/>
      <c r="C4179" s="13"/>
      <c r="D4179" s="13"/>
      <c r="E4179" s="13"/>
      <c r="F4179" s="13"/>
      <c r="G4179" s="13"/>
      <c r="H4179" s="13"/>
      <c r="I4179" s="13"/>
      <c r="J4179" s="13"/>
      <c r="K4179" s="13"/>
      <c r="L4179" s="13"/>
      <c r="M4179" s="13"/>
      <c r="N4179" s="13"/>
    </row>
    <row r="4180" ht="15.75" hidden="1" customHeight="1">
      <c r="A4180" s="13"/>
      <c r="B4180" s="13"/>
      <c r="C4180" s="13"/>
      <c r="D4180" s="13"/>
      <c r="E4180" s="13"/>
      <c r="F4180" s="13"/>
      <c r="G4180" s="13"/>
      <c r="H4180" s="13"/>
      <c r="I4180" s="13"/>
      <c r="J4180" s="13"/>
      <c r="K4180" s="13"/>
      <c r="L4180" s="13"/>
      <c r="M4180" s="13"/>
      <c r="N4180" s="13"/>
    </row>
    <row r="4181" ht="15.75" hidden="1" customHeight="1">
      <c r="A4181" s="13"/>
      <c r="B4181" s="13"/>
      <c r="C4181" s="13"/>
      <c r="D4181" s="13"/>
      <c r="E4181" s="13"/>
      <c r="F4181" s="13"/>
      <c r="G4181" s="13"/>
      <c r="H4181" s="13"/>
      <c r="I4181" s="13"/>
      <c r="J4181" s="13"/>
      <c r="K4181" s="13"/>
      <c r="L4181" s="13"/>
      <c r="M4181" s="13"/>
      <c r="N4181" s="13"/>
    </row>
    <row r="4182" ht="15.75" hidden="1" customHeight="1">
      <c r="A4182" s="13"/>
      <c r="B4182" s="13"/>
      <c r="C4182" s="13"/>
      <c r="D4182" s="13"/>
      <c r="E4182" s="13"/>
      <c r="F4182" s="13"/>
      <c r="G4182" s="13"/>
      <c r="H4182" s="13"/>
      <c r="I4182" s="13"/>
      <c r="J4182" s="13"/>
      <c r="K4182" s="13"/>
      <c r="L4182" s="13"/>
      <c r="M4182" s="13"/>
      <c r="N4182" s="13"/>
    </row>
    <row r="4183" ht="15.75" hidden="1" customHeight="1">
      <c r="A4183" s="13"/>
      <c r="B4183" s="13"/>
      <c r="C4183" s="13"/>
      <c r="D4183" s="13"/>
      <c r="E4183" s="13"/>
      <c r="F4183" s="13"/>
      <c r="G4183" s="13"/>
      <c r="H4183" s="13"/>
      <c r="I4183" s="13"/>
      <c r="J4183" s="13"/>
      <c r="K4183" s="13"/>
      <c r="L4183" s="13"/>
      <c r="M4183" s="13"/>
      <c r="N4183" s="13"/>
    </row>
    <row r="4184" ht="15.75" hidden="1" customHeight="1">
      <c r="A4184" s="13"/>
      <c r="B4184" s="13"/>
      <c r="C4184" s="13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</row>
    <row r="4185" ht="15.75" hidden="1" customHeight="1">
      <c r="A4185" s="13"/>
      <c r="B4185" s="13"/>
      <c r="C4185" s="13"/>
      <c r="D4185" s="13"/>
      <c r="E4185" s="13"/>
      <c r="F4185" s="13"/>
      <c r="G4185" s="13"/>
      <c r="H4185" s="13"/>
      <c r="I4185" s="13"/>
      <c r="J4185" s="13"/>
      <c r="K4185" s="13"/>
      <c r="L4185" s="13"/>
      <c r="M4185" s="13"/>
      <c r="N4185" s="13"/>
    </row>
    <row r="4186" ht="15.75" hidden="1" customHeight="1">
      <c r="A4186" s="13"/>
      <c r="B4186" s="13"/>
      <c r="C4186" s="13"/>
      <c r="D4186" s="13"/>
      <c r="E4186" s="13"/>
      <c r="F4186" s="13"/>
      <c r="G4186" s="13"/>
      <c r="H4186" s="13"/>
      <c r="I4186" s="13"/>
      <c r="J4186" s="13"/>
      <c r="K4186" s="13"/>
      <c r="L4186" s="13"/>
      <c r="M4186" s="13"/>
      <c r="N4186" s="13"/>
    </row>
    <row r="4187" ht="15.75" hidden="1" customHeight="1">
      <c r="A4187" s="13"/>
      <c r="B4187" s="13"/>
      <c r="C4187" s="13"/>
      <c r="D4187" s="13"/>
      <c r="E4187" s="13"/>
      <c r="F4187" s="13"/>
      <c r="G4187" s="13"/>
      <c r="H4187" s="13"/>
      <c r="I4187" s="13"/>
      <c r="J4187" s="13"/>
      <c r="K4187" s="13"/>
      <c r="L4187" s="13"/>
      <c r="M4187" s="13"/>
      <c r="N4187" s="13"/>
    </row>
    <row r="4188" ht="15.75" hidden="1" customHeight="1">
      <c r="A4188" s="13"/>
      <c r="B4188" s="13"/>
      <c r="C4188" s="13"/>
      <c r="D4188" s="13"/>
      <c r="E4188" s="13"/>
      <c r="F4188" s="13"/>
      <c r="G4188" s="13"/>
      <c r="H4188" s="13"/>
      <c r="I4188" s="13"/>
      <c r="J4188" s="13"/>
      <c r="K4188" s="13"/>
      <c r="L4188" s="13"/>
      <c r="M4188" s="13"/>
      <c r="N4188" s="13"/>
    </row>
    <row r="4189" ht="15.75" hidden="1" customHeight="1">
      <c r="A4189" s="13"/>
      <c r="B4189" s="13"/>
      <c r="C4189" s="13"/>
      <c r="D4189" s="13"/>
      <c r="E4189" s="13"/>
      <c r="F4189" s="13"/>
      <c r="G4189" s="13"/>
      <c r="H4189" s="13"/>
      <c r="I4189" s="13"/>
      <c r="J4189" s="13"/>
      <c r="K4189" s="13"/>
      <c r="L4189" s="13"/>
      <c r="M4189" s="13"/>
      <c r="N4189" s="13"/>
    </row>
    <row r="4190" ht="15.75" hidden="1" customHeight="1">
      <c r="A4190" s="13"/>
      <c r="B4190" s="13"/>
      <c r="C4190" s="13"/>
      <c r="D4190" s="13"/>
      <c r="E4190" s="13"/>
      <c r="F4190" s="13"/>
      <c r="G4190" s="13"/>
      <c r="H4190" s="13"/>
      <c r="I4190" s="13"/>
      <c r="J4190" s="13"/>
      <c r="K4190" s="13"/>
      <c r="L4190" s="13"/>
      <c r="M4190" s="13"/>
      <c r="N4190" s="13"/>
    </row>
    <row r="4191" ht="15.75" hidden="1" customHeight="1">
      <c r="A4191" s="13"/>
      <c r="B4191" s="13"/>
      <c r="C4191" s="13"/>
      <c r="D4191" s="13"/>
      <c r="E4191" s="13"/>
      <c r="F4191" s="13"/>
      <c r="G4191" s="13"/>
      <c r="H4191" s="13"/>
      <c r="I4191" s="13"/>
      <c r="J4191" s="13"/>
      <c r="K4191" s="13"/>
      <c r="L4191" s="13"/>
      <c r="M4191" s="13"/>
      <c r="N4191" s="13"/>
    </row>
    <row r="4192" ht="15.75" hidden="1" customHeight="1">
      <c r="A4192" s="13"/>
      <c r="B4192" s="13"/>
      <c r="C4192" s="13"/>
      <c r="D4192" s="13"/>
      <c r="E4192" s="13"/>
      <c r="F4192" s="13"/>
      <c r="G4192" s="13"/>
      <c r="H4192" s="13"/>
      <c r="I4192" s="13"/>
      <c r="J4192" s="13"/>
      <c r="K4192" s="13"/>
      <c r="L4192" s="13"/>
      <c r="M4192" s="13"/>
      <c r="N4192" s="13"/>
    </row>
    <row r="4193" ht="15.75" hidden="1" customHeight="1">
      <c r="A4193" s="13"/>
      <c r="B4193" s="13"/>
      <c r="C4193" s="13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</row>
    <row r="4194" ht="15.75" hidden="1" customHeight="1">
      <c r="A4194" s="13"/>
      <c r="B4194" s="13"/>
      <c r="C4194" s="13"/>
      <c r="D4194" s="13"/>
      <c r="E4194" s="13"/>
      <c r="F4194" s="13"/>
      <c r="G4194" s="13"/>
      <c r="H4194" s="13"/>
      <c r="I4194" s="13"/>
      <c r="J4194" s="13"/>
      <c r="K4194" s="13"/>
      <c r="L4194" s="13"/>
      <c r="M4194" s="13"/>
      <c r="N4194" s="13"/>
    </row>
    <row r="4195" ht="15.75" hidden="1" customHeight="1">
      <c r="A4195" s="13"/>
      <c r="B4195" s="13"/>
      <c r="C4195" s="13"/>
      <c r="D4195" s="13"/>
      <c r="E4195" s="13"/>
      <c r="F4195" s="13"/>
      <c r="G4195" s="13"/>
      <c r="H4195" s="13"/>
      <c r="I4195" s="13"/>
      <c r="J4195" s="13"/>
      <c r="K4195" s="13"/>
      <c r="L4195" s="13"/>
      <c r="M4195" s="13"/>
      <c r="N4195" s="13"/>
    </row>
    <row r="4196" ht="15.75" hidden="1" customHeight="1">
      <c r="A4196" s="13"/>
      <c r="B4196" s="13"/>
      <c r="C4196" s="13"/>
      <c r="D4196" s="13"/>
      <c r="E4196" s="13"/>
      <c r="F4196" s="13"/>
      <c r="G4196" s="13"/>
      <c r="H4196" s="13"/>
      <c r="I4196" s="13"/>
      <c r="J4196" s="13"/>
      <c r="K4196" s="13"/>
      <c r="L4196" s="13"/>
      <c r="M4196" s="13"/>
      <c r="N4196" s="13"/>
    </row>
    <row r="4197" ht="15.75" hidden="1" customHeight="1">
      <c r="A4197" s="13"/>
      <c r="B4197" s="13"/>
      <c r="C4197" s="13"/>
      <c r="D4197" s="13"/>
      <c r="E4197" s="13"/>
      <c r="F4197" s="13"/>
      <c r="G4197" s="13"/>
      <c r="H4197" s="13"/>
      <c r="I4197" s="13"/>
      <c r="J4197" s="13"/>
      <c r="K4197" s="13"/>
      <c r="L4197" s="13"/>
      <c r="M4197" s="13"/>
      <c r="N4197" s="13"/>
    </row>
    <row r="4198" ht="15.75" hidden="1" customHeight="1">
      <c r="A4198" s="13"/>
      <c r="B4198" s="13"/>
      <c r="C4198" s="13"/>
      <c r="D4198" s="13"/>
      <c r="E4198" s="13"/>
      <c r="F4198" s="13"/>
      <c r="G4198" s="13"/>
      <c r="H4198" s="13"/>
      <c r="I4198" s="13"/>
      <c r="J4198" s="13"/>
      <c r="K4198" s="13"/>
      <c r="L4198" s="13"/>
      <c r="M4198" s="13"/>
      <c r="N4198" s="13"/>
    </row>
    <row r="4199" ht="15.75" hidden="1" customHeight="1">
      <c r="A4199" s="13"/>
      <c r="B4199" s="13"/>
      <c r="C4199" s="13"/>
      <c r="D4199" s="13"/>
      <c r="E4199" s="13"/>
      <c r="F4199" s="13"/>
      <c r="G4199" s="13"/>
      <c r="H4199" s="13"/>
      <c r="I4199" s="13"/>
      <c r="J4199" s="13"/>
      <c r="K4199" s="13"/>
      <c r="L4199" s="13"/>
      <c r="M4199" s="13"/>
      <c r="N4199" s="13"/>
    </row>
    <row r="4200" ht="15.75" hidden="1" customHeight="1">
      <c r="A4200" s="13"/>
      <c r="B4200" s="13"/>
      <c r="C4200" s="13"/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</row>
    <row r="4201" ht="15.75" hidden="1" customHeight="1">
      <c r="A4201" s="13"/>
      <c r="B4201" s="13"/>
      <c r="C4201" s="13"/>
      <c r="D4201" s="13"/>
      <c r="E4201" s="13"/>
      <c r="F4201" s="13"/>
      <c r="G4201" s="13"/>
      <c r="H4201" s="13"/>
      <c r="I4201" s="13"/>
      <c r="J4201" s="13"/>
      <c r="K4201" s="13"/>
      <c r="L4201" s="13"/>
      <c r="M4201" s="13"/>
      <c r="N4201" s="13"/>
    </row>
    <row r="4202" ht="15.75" hidden="1" customHeight="1">
      <c r="A4202" s="13"/>
      <c r="B4202" s="13"/>
      <c r="C4202" s="13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</row>
    <row r="4203" ht="15.75" hidden="1" customHeight="1">
      <c r="A4203" s="13"/>
      <c r="B4203" s="13"/>
      <c r="C4203" s="13"/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</row>
    <row r="4204" ht="15.75" hidden="1" customHeight="1">
      <c r="A4204" s="13"/>
      <c r="B4204" s="13"/>
      <c r="C4204" s="13"/>
      <c r="D4204" s="13"/>
      <c r="E4204" s="13"/>
      <c r="F4204" s="13"/>
      <c r="G4204" s="13"/>
      <c r="H4204" s="13"/>
      <c r="I4204" s="13"/>
      <c r="J4204" s="13"/>
      <c r="K4204" s="13"/>
      <c r="L4204" s="13"/>
      <c r="M4204" s="13"/>
      <c r="N4204" s="13"/>
    </row>
    <row r="4205" ht="15.75" hidden="1" customHeight="1">
      <c r="A4205" s="13"/>
      <c r="B4205" s="13"/>
      <c r="C4205" s="13"/>
      <c r="D4205" s="13"/>
      <c r="E4205" s="13"/>
      <c r="F4205" s="13"/>
      <c r="G4205" s="13"/>
      <c r="H4205" s="13"/>
      <c r="I4205" s="13"/>
      <c r="J4205" s="13"/>
      <c r="K4205" s="13"/>
      <c r="L4205" s="13"/>
      <c r="M4205" s="13"/>
      <c r="N4205" s="13"/>
    </row>
    <row r="4206" ht="15.75" hidden="1" customHeight="1">
      <c r="A4206" s="13"/>
      <c r="B4206" s="13"/>
      <c r="C4206" s="13"/>
      <c r="D4206" s="13"/>
      <c r="E4206" s="13"/>
      <c r="F4206" s="13"/>
      <c r="G4206" s="13"/>
      <c r="H4206" s="13"/>
      <c r="I4206" s="13"/>
      <c r="J4206" s="13"/>
      <c r="K4206" s="13"/>
      <c r="L4206" s="13"/>
      <c r="M4206" s="13"/>
      <c r="N4206" s="13"/>
    </row>
    <row r="4207" ht="15.75" hidden="1" customHeight="1">
      <c r="A4207" s="13"/>
      <c r="B4207" s="13"/>
      <c r="C4207" s="13"/>
      <c r="D4207" s="13"/>
      <c r="E4207" s="13"/>
      <c r="F4207" s="13"/>
      <c r="G4207" s="13"/>
      <c r="H4207" s="13"/>
      <c r="I4207" s="13"/>
      <c r="J4207" s="13"/>
      <c r="K4207" s="13"/>
      <c r="L4207" s="13"/>
      <c r="M4207" s="13"/>
      <c r="N4207" s="13"/>
    </row>
    <row r="4208" ht="15.75" hidden="1" customHeight="1">
      <c r="A4208" s="13"/>
      <c r="B4208" s="13"/>
      <c r="C4208" s="13"/>
      <c r="D4208" s="13"/>
      <c r="E4208" s="13"/>
      <c r="F4208" s="13"/>
      <c r="G4208" s="13"/>
      <c r="H4208" s="13"/>
      <c r="I4208" s="13"/>
      <c r="J4208" s="13"/>
      <c r="K4208" s="13"/>
      <c r="L4208" s="13"/>
      <c r="M4208" s="13"/>
      <c r="N4208" s="13"/>
    </row>
    <row r="4209" ht="15.75" hidden="1" customHeight="1">
      <c r="A4209" s="13"/>
      <c r="B4209" s="13"/>
      <c r="C4209" s="13"/>
      <c r="D4209" s="13"/>
      <c r="E4209" s="13"/>
      <c r="F4209" s="13"/>
      <c r="G4209" s="13"/>
      <c r="H4209" s="13"/>
      <c r="I4209" s="13"/>
      <c r="J4209" s="13"/>
      <c r="K4209" s="13"/>
      <c r="L4209" s="13"/>
      <c r="M4209" s="13"/>
      <c r="N4209" s="13"/>
    </row>
    <row r="4210" ht="15.75" hidden="1" customHeight="1">
      <c r="A4210" s="13"/>
      <c r="B4210" s="13"/>
      <c r="C4210" s="13"/>
      <c r="D4210" s="13"/>
      <c r="E4210" s="13"/>
      <c r="F4210" s="13"/>
      <c r="G4210" s="13"/>
      <c r="H4210" s="13"/>
      <c r="I4210" s="13"/>
      <c r="J4210" s="13"/>
      <c r="K4210" s="13"/>
      <c r="L4210" s="13"/>
      <c r="M4210" s="13"/>
      <c r="N4210" s="13"/>
    </row>
    <row r="4211" ht="15.75" hidden="1" customHeight="1">
      <c r="A4211" s="13"/>
      <c r="B4211" s="13"/>
      <c r="C4211" s="13"/>
      <c r="D4211" s="13"/>
      <c r="E4211" s="13"/>
      <c r="F4211" s="13"/>
      <c r="G4211" s="13"/>
      <c r="H4211" s="13"/>
      <c r="I4211" s="13"/>
      <c r="J4211" s="13"/>
      <c r="K4211" s="13"/>
      <c r="L4211" s="13"/>
      <c r="M4211" s="13"/>
      <c r="N4211" s="13"/>
    </row>
    <row r="4212" ht="15.75" hidden="1" customHeight="1">
      <c r="A4212" s="13"/>
      <c r="B4212" s="13"/>
      <c r="C4212" s="13"/>
      <c r="D4212" s="13"/>
      <c r="E4212" s="13"/>
      <c r="F4212" s="13"/>
      <c r="G4212" s="13"/>
      <c r="H4212" s="13"/>
      <c r="I4212" s="13"/>
      <c r="J4212" s="13"/>
      <c r="K4212" s="13"/>
      <c r="L4212" s="13"/>
      <c r="M4212" s="13"/>
      <c r="N4212" s="13"/>
    </row>
    <row r="4213" ht="15.75" hidden="1" customHeight="1">
      <c r="A4213" s="13"/>
      <c r="B4213" s="13"/>
      <c r="C4213" s="13"/>
      <c r="D4213" s="13"/>
      <c r="E4213" s="13"/>
      <c r="F4213" s="13"/>
      <c r="G4213" s="13"/>
      <c r="H4213" s="13"/>
      <c r="I4213" s="13"/>
      <c r="J4213" s="13"/>
      <c r="K4213" s="13"/>
      <c r="L4213" s="13"/>
      <c r="M4213" s="13"/>
      <c r="N4213" s="13"/>
    </row>
    <row r="4214" ht="15.75" hidden="1" customHeight="1">
      <c r="A4214" s="13"/>
      <c r="B4214" s="13"/>
      <c r="C4214" s="13"/>
      <c r="D4214" s="13"/>
      <c r="E4214" s="13"/>
      <c r="F4214" s="13"/>
      <c r="G4214" s="13"/>
      <c r="H4214" s="13"/>
      <c r="I4214" s="13"/>
      <c r="J4214" s="13"/>
      <c r="K4214" s="13"/>
      <c r="L4214" s="13"/>
      <c r="M4214" s="13"/>
      <c r="N4214" s="13"/>
    </row>
    <row r="4215" ht="15.75" hidden="1" customHeight="1">
      <c r="A4215" s="13"/>
      <c r="B4215" s="13"/>
      <c r="C4215" s="13"/>
      <c r="D4215" s="13"/>
      <c r="E4215" s="13"/>
      <c r="F4215" s="13"/>
      <c r="G4215" s="13"/>
      <c r="H4215" s="13"/>
      <c r="I4215" s="13"/>
      <c r="J4215" s="13"/>
      <c r="K4215" s="13"/>
      <c r="L4215" s="13"/>
      <c r="M4215" s="13"/>
      <c r="N4215" s="13"/>
    </row>
    <row r="4216" ht="15.75" hidden="1" customHeight="1">
      <c r="A4216" s="13"/>
      <c r="B4216" s="13"/>
      <c r="C4216" s="13"/>
      <c r="D4216" s="13"/>
      <c r="E4216" s="13"/>
      <c r="F4216" s="13"/>
      <c r="G4216" s="13"/>
      <c r="H4216" s="13"/>
      <c r="I4216" s="13"/>
      <c r="J4216" s="13"/>
      <c r="K4216" s="13"/>
      <c r="L4216" s="13"/>
      <c r="M4216" s="13"/>
      <c r="N4216" s="13"/>
    </row>
    <row r="4217" ht="15.75" hidden="1" customHeight="1">
      <c r="A4217" s="13"/>
      <c r="B4217" s="13"/>
      <c r="C4217" s="13"/>
      <c r="D4217" s="13"/>
      <c r="E4217" s="13"/>
      <c r="F4217" s="13"/>
      <c r="G4217" s="13"/>
      <c r="H4217" s="13"/>
      <c r="I4217" s="13"/>
      <c r="J4217" s="13"/>
      <c r="K4217" s="13"/>
      <c r="L4217" s="13"/>
      <c r="M4217" s="13"/>
      <c r="N4217" s="13"/>
    </row>
    <row r="4218" ht="15.75" hidden="1" customHeight="1">
      <c r="A4218" s="13"/>
      <c r="B4218" s="13"/>
      <c r="C4218" s="13"/>
      <c r="D4218" s="13"/>
      <c r="E4218" s="13"/>
      <c r="F4218" s="13"/>
      <c r="G4218" s="13"/>
      <c r="H4218" s="13"/>
      <c r="I4218" s="13"/>
      <c r="J4218" s="13"/>
      <c r="K4218" s="13"/>
      <c r="L4218" s="13"/>
      <c r="M4218" s="13"/>
      <c r="N4218" s="13"/>
    </row>
    <row r="4219" ht="15.75" hidden="1" customHeight="1">
      <c r="A4219" s="13"/>
      <c r="B4219" s="13"/>
      <c r="C4219" s="13"/>
      <c r="D4219" s="13"/>
      <c r="E4219" s="13"/>
      <c r="F4219" s="13"/>
      <c r="G4219" s="13"/>
      <c r="H4219" s="13"/>
      <c r="I4219" s="13"/>
      <c r="J4219" s="13"/>
      <c r="K4219" s="13"/>
      <c r="L4219" s="13"/>
      <c r="M4219" s="13"/>
      <c r="N4219" s="13"/>
    </row>
    <row r="4220" ht="15.75" hidden="1" customHeight="1">
      <c r="A4220" s="13"/>
      <c r="B4220" s="13"/>
      <c r="C4220" s="13"/>
      <c r="D4220" s="13"/>
      <c r="E4220" s="13"/>
      <c r="F4220" s="13"/>
      <c r="G4220" s="13"/>
      <c r="H4220" s="13"/>
      <c r="I4220" s="13"/>
      <c r="J4220" s="13"/>
      <c r="K4220" s="13"/>
      <c r="L4220" s="13"/>
      <c r="M4220" s="13"/>
      <c r="N4220" s="13"/>
    </row>
    <row r="4221" ht="15.75" hidden="1" customHeight="1">
      <c r="A4221" s="13"/>
      <c r="B4221" s="13"/>
      <c r="C4221" s="13"/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</row>
    <row r="4222" ht="15.75" hidden="1" customHeight="1">
      <c r="A4222" s="13"/>
      <c r="B4222" s="13"/>
      <c r="C4222" s="13"/>
      <c r="D4222" s="13"/>
      <c r="E4222" s="13"/>
      <c r="F4222" s="13"/>
      <c r="G4222" s="13"/>
      <c r="H4222" s="13"/>
      <c r="I4222" s="13"/>
      <c r="J4222" s="13"/>
      <c r="K4222" s="13"/>
      <c r="L4222" s="13"/>
      <c r="M4222" s="13"/>
      <c r="N4222" s="13"/>
    </row>
    <row r="4223" ht="15.75" hidden="1" customHeight="1">
      <c r="A4223" s="13"/>
      <c r="B4223" s="13"/>
      <c r="C4223" s="13"/>
      <c r="D4223" s="13"/>
      <c r="E4223" s="13"/>
      <c r="F4223" s="13"/>
      <c r="G4223" s="13"/>
      <c r="H4223" s="13"/>
      <c r="I4223" s="13"/>
      <c r="J4223" s="13"/>
      <c r="K4223" s="13"/>
      <c r="L4223" s="13"/>
      <c r="M4223" s="13"/>
      <c r="N4223" s="13"/>
    </row>
    <row r="4224" ht="15.75" hidden="1" customHeight="1">
      <c r="A4224" s="13"/>
      <c r="B4224" s="13"/>
      <c r="C4224" s="13"/>
      <c r="D4224" s="13"/>
      <c r="E4224" s="13"/>
      <c r="F4224" s="13"/>
      <c r="G4224" s="13"/>
      <c r="H4224" s="13"/>
      <c r="I4224" s="13"/>
      <c r="J4224" s="13"/>
      <c r="K4224" s="13"/>
      <c r="L4224" s="13"/>
      <c r="M4224" s="13"/>
      <c r="N4224" s="13"/>
    </row>
    <row r="4225" ht="15.75" hidden="1" customHeight="1">
      <c r="A4225" s="13"/>
      <c r="B4225" s="13"/>
      <c r="C4225" s="13"/>
      <c r="D4225" s="13"/>
      <c r="E4225" s="13"/>
      <c r="F4225" s="13"/>
      <c r="G4225" s="13"/>
      <c r="H4225" s="13"/>
      <c r="I4225" s="13"/>
      <c r="J4225" s="13"/>
      <c r="K4225" s="13"/>
      <c r="L4225" s="13"/>
      <c r="M4225" s="13"/>
      <c r="N4225" s="13"/>
    </row>
    <row r="4226" ht="15.75" hidden="1" customHeight="1">
      <c r="A4226" s="13"/>
      <c r="B4226" s="13"/>
      <c r="C4226" s="13"/>
      <c r="D4226" s="13"/>
      <c r="E4226" s="13"/>
      <c r="F4226" s="13"/>
      <c r="G4226" s="13"/>
      <c r="H4226" s="13"/>
      <c r="I4226" s="13"/>
      <c r="J4226" s="13"/>
      <c r="K4226" s="13"/>
      <c r="L4226" s="13"/>
      <c r="M4226" s="13"/>
      <c r="N4226" s="13"/>
    </row>
    <row r="4227" ht="15.75" hidden="1" customHeight="1">
      <c r="A4227" s="13"/>
      <c r="B4227" s="13"/>
      <c r="C4227" s="13"/>
      <c r="D4227" s="13"/>
      <c r="E4227" s="13"/>
      <c r="F4227" s="13"/>
      <c r="G4227" s="13"/>
      <c r="H4227" s="13"/>
      <c r="I4227" s="13"/>
      <c r="J4227" s="13"/>
      <c r="K4227" s="13"/>
      <c r="L4227" s="13"/>
      <c r="M4227" s="13"/>
      <c r="N4227" s="13"/>
    </row>
    <row r="4228" ht="15.75" hidden="1" customHeight="1">
      <c r="A4228" s="13"/>
      <c r="B4228" s="13"/>
      <c r="C4228" s="13"/>
      <c r="D4228" s="13"/>
      <c r="E4228" s="13"/>
      <c r="F4228" s="13"/>
      <c r="G4228" s="13"/>
      <c r="H4228" s="13"/>
      <c r="I4228" s="13"/>
      <c r="J4228" s="13"/>
      <c r="K4228" s="13"/>
      <c r="L4228" s="13"/>
      <c r="M4228" s="13"/>
      <c r="N4228" s="13"/>
    </row>
    <row r="4229" ht="15.75" hidden="1" customHeight="1">
      <c r="A4229" s="13"/>
      <c r="B4229" s="13"/>
      <c r="C4229" s="13"/>
      <c r="D4229" s="13"/>
      <c r="E4229" s="13"/>
      <c r="F4229" s="13"/>
      <c r="G4229" s="13"/>
      <c r="H4229" s="13"/>
      <c r="I4229" s="13"/>
      <c r="J4229" s="13"/>
      <c r="K4229" s="13"/>
      <c r="L4229" s="13"/>
      <c r="M4229" s="13"/>
      <c r="N4229" s="13"/>
    </row>
    <row r="4230" ht="15.75" hidden="1" customHeight="1">
      <c r="A4230" s="13"/>
      <c r="B4230" s="13"/>
      <c r="C4230" s="13"/>
      <c r="D4230" s="13"/>
      <c r="E4230" s="13"/>
      <c r="F4230" s="13"/>
      <c r="G4230" s="13"/>
      <c r="H4230" s="13"/>
      <c r="I4230" s="13"/>
      <c r="J4230" s="13"/>
      <c r="K4230" s="13"/>
      <c r="L4230" s="13"/>
      <c r="M4230" s="13"/>
      <c r="N4230" s="13"/>
    </row>
    <row r="4231" ht="15.75" hidden="1" customHeight="1">
      <c r="A4231" s="13"/>
      <c r="B4231" s="13"/>
      <c r="C4231" s="13"/>
      <c r="D4231" s="13"/>
      <c r="E4231" s="13"/>
      <c r="F4231" s="13"/>
      <c r="G4231" s="13"/>
      <c r="H4231" s="13"/>
      <c r="I4231" s="13"/>
      <c r="J4231" s="13"/>
      <c r="K4231" s="13"/>
      <c r="L4231" s="13"/>
      <c r="M4231" s="13"/>
      <c r="N4231" s="13"/>
    </row>
    <row r="4232" ht="15.75" hidden="1" customHeight="1">
      <c r="A4232" s="13"/>
      <c r="B4232" s="13"/>
      <c r="C4232" s="13"/>
      <c r="D4232" s="13"/>
      <c r="E4232" s="13"/>
      <c r="F4232" s="13"/>
      <c r="G4232" s="13"/>
      <c r="H4232" s="13"/>
      <c r="I4232" s="13"/>
      <c r="J4232" s="13"/>
      <c r="K4232" s="13"/>
      <c r="L4232" s="13"/>
      <c r="M4232" s="13"/>
      <c r="N4232" s="13"/>
    </row>
    <row r="4233" ht="15.75" hidden="1" customHeight="1">
      <c r="A4233" s="13"/>
      <c r="B4233" s="13"/>
      <c r="C4233" s="13"/>
      <c r="D4233" s="13"/>
      <c r="E4233" s="13"/>
      <c r="F4233" s="13"/>
      <c r="G4233" s="13"/>
      <c r="H4233" s="13"/>
      <c r="I4233" s="13"/>
      <c r="J4233" s="13"/>
      <c r="K4233" s="13"/>
      <c r="L4233" s="13"/>
      <c r="M4233" s="13"/>
      <c r="N4233" s="13"/>
    </row>
    <row r="4234" ht="15.75" hidden="1" customHeight="1">
      <c r="A4234" s="13"/>
      <c r="B4234" s="13"/>
      <c r="C4234" s="13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</row>
    <row r="4235" ht="15.75" hidden="1" customHeight="1">
      <c r="A4235" s="13"/>
      <c r="B4235" s="13"/>
      <c r="C4235" s="13"/>
      <c r="D4235" s="13"/>
      <c r="E4235" s="13"/>
      <c r="F4235" s="13"/>
      <c r="G4235" s="13"/>
      <c r="H4235" s="13"/>
      <c r="I4235" s="13"/>
      <c r="J4235" s="13"/>
      <c r="K4235" s="13"/>
      <c r="L4235" s="13"/>
      <c r="M4235" s="13"/>
      <c r="N4235" s="13"/>
    </row>
    <row r="4236" ht="15.75" hidden="1" customHeight="1">
      <c r="A4236" s="13"/>
      <c r="B4236" s="13"/>
      <c r="C4236" s="13"/>
      <c r="D4236" s="13"/>
      <c r="E4236" s="13"/>
      <c r="F4236" s="13"/>
      <c r="G4236" s="13"/>
      <c r="H4236" s="13"/>
      <c r="I4236" s="13"/>
      <c r="J4236" s="13"/>
      <c r="K4236" s="13"/>
      <c r="L4236" s="13"/>
      <c r="M4236" s="13"/>
      <c r="N4236" s="13"/>
    </row>
    <row r="4237" ht="15.75" hidden="1" customHeight="1">
      <c r="A4237" s="13"/>
      <c r="B4237" s="13"/>
      <c r="C4237" s="13"/>
      <c r="D4237" s="13"/>
      <c r="E4237" s="13"/>
      <c r="F4237" s="13"/>
      <c r="G4237" s="13"/>
      <c r="H4237" s="13"/>
      <c r="I4237" s="13"/>
      <c r="J4237" s="13"/>
      <c r="K4237" s="13"/>
      <c r="L4237" s="13"/>
      <c r="M4237" s="13"/>
      <c r="N4237" s="13"/>
    </row>
    <row r="4238" ht="15.75" hidden="1" customHeight="1">
      <c r="A4238" s="13"/>
      <c r="B4238" s="13"/>
      <c r="C4238" s="13"/>
      <c r="D4238" s="13"/>
      <c r="E4238" s="13"/>
      <c r="F4238" s="13"/>
      <c r="G4238" s="13"/>
      <c r="H4238" s="13"/>
      <c r="I4238" s="13"/>
      <c r="J4238" s="13"/>
      <c r="K4238" s="13"/>
      <c r="L4238" s="13"/>
      <c r="M4238" s="13"/>
      <c r="N4238" s="13"/>
    </row>
    <row r="4239" ht="15.75" hidden="1" customHeight="1">
      <c r="A4239" s="13"/>
      <c r="B4239" s="13"/>
      <c r="C4239" s="13"/>
      <c r="D4239" s="13"/>
      <c r="E4239" s="13"/>
      <c r="F4239" s="13"/>
      <c r="G4239" s="13"/>
      <c r="H4239" s="13"/>
      <c r="I4239" s="13"/>
      <c r="J4239" s="13"/>
      <c r="K4239" s="13"/>
      <c r="L4239" s="13"/>
      <c r="M4239" s="13"/>
      <c r="N4239" s="13"/>
    </row>
    <row r="4240" ht="15.75" hidden="1" customHeight="1">
      <c r="A4240" s="13"/>
      <c r="B4240" s="13"/>
      <c r="C4240" s="13"/>
      <c r="D4240" s="13"/>
      <c r="E4240" s="13"/>
      <c r="F4240" s="13"/>
      <c r="G4240" s="13"/>
      <c r="H4240" s="13"/>
      <c r="I4240" s="13"/>
      <c r="J4240" s="13"/>
      <c r="K4240" s="13"/>
      <c r="L4240" s="13"/>
      <c r="M4240" s="13"/>
      <c r="N4240" s="13"/>
    </row>
    <row r="4241" ht="15.75" hidden="1" customHeight="1">
      <c r="A4241" s="13"/>
      <c r="B4241" s="13"/>
      <c r="C4241" s="13"/>
      <c r="D4241" s="13"/>
      <c r="E4241" s="13"/>
      <c r="F4241" s="13"/>
      <c r="G4241" s="13"/>
      <c r="H4241" s="13"/>
      <c r="I4241" s="13"/>
      <c r="J4241" s="13"/>
      <c r="K4241" s="13"/>
      <c r="L4241" s="13"/>
      <c r="M4241" s="13"/>
      <c r="N4241" s="13"/>
    </row>
    <row r="4242" ht="15.75" hidden="1" customHeight="1">
      <c r="A4242" s="13"/>
      <c r="B4242" s="13"/>
      <c r="C4242" s="13"/>
      <c r="D4242" s="13"/>
      <c r="E4242" s="13"/>
      <c r="F4242" s="13"/>
      <c r="G4242" s="13"/>
      <c r="H4242" s="13"/>
      <c r="I4242" s="13"/>
      <c r="J4242" s="13"/>
      <c r="K4242" s="13"/>
      <c r="L4242" s="13"/>
      <c r="M4242" s="13"/>
      <c r="N4242" s="13"/>
    </row>
    <row r="4243" ht="15.75" hidden="1" customHeight="1">
      <c r="A4243" s="13"/>
      <c r="B4243" s="13"/>
      <c r="C4243" s="13"/>
      <c r="D4243" s="13"/>
      <c r="E4243" s="13"/>
      <c r="F4243" s="13"/>
      <c r="G4243" s="13"/>
      <c r="H4243" s="13"/>
      <c r="I4243" s="13"/>
      <c r="J4243" s="13"/>
      <c r="K4243" s="13"/>
      <c r="L4243" s="13"/>
      <c r="M4243" s="13"/>
      <c r="N4243" s="13"/>
    </row>
    <row r="4244" ht="15.75" hidden="1" customHeight="1">
      <c r="A4244" s="13"/>
      <c r="B4244" s="13"/>
      <c r="C4244" s="13"/>
      <c r="D4244" s="13"/>
      <c r="E4244" s="13"/>
      <c r="F4244" s="13"/>
      <c r="G4244" s="13"/>
      <c r="H4244" s="13"/>
      <c r="I4244" s="13"/>
      <c r="J4244" s="13"/>
      <c r="K4244" s="13"/>
      <c r="L4244" s="13"/>
      <c r="M4244" s="13"/>
      <c r="N4244" s="13"/>
    </row>
    <row r="4245" ht="15.75" hidden="1" customHeight="1">
      <c r="A4245" s="13"/>
      <c r="B4245" s="13"/>
      <c r="C4245" s="13"/>
      <c r="D4245" s="13"/>
      <c r="E4245" s="13"/>
      <c r="F4245" s="13"/>
      <c r="G4245" s="13"/>
      <c r="H4245" s="13"/>
      <c r="I4245" s="13"/>
      <c r="J4245" s="13"/>
      <c r="K4245" s="13"/>
      <c r="L4245" s="13"/>
      <c r="M4245" s="13"/>
      <c r="N4245" s="13"/>
    </row>
    <row r="4246" ht="15.75" hidden="1" customHeight="1">
      <c r="A4246" s="13"/>
      <c r="B4246" s="13"/>
      <c r="C4246" s="13"/>
      <c r="D4246" s="13"/>
      <c r="E4246" s="13"/>
      <c r="F4246" s="13"/>
      <c r="G4246" s="13"/>
      <c r="H4246" s="13"/>
      <c r="I4246" s="13"/>
      <c r="J4246" s="13"/>
      <c r="K4246" s="13"/>
      <c r="L4246" s="13"/>
      <c r="M4246" s="13"/>
      <c r="N4246" s="13"/>
    </row>
    <row r="4247" ht="15.75" hidden="1" customHeight="1">
      <c r="A4247" s="13"/>
      <c r="B4247" s="13"/>
      <c r="C4247" s="13"/>
      <c r="D4247" s="13"/>
      <c r="E4247" s="13"/>
      <c r="F4247" s="13"/>
      <c r="G4247" s="13"/>
      <c r="H4247" s="13"/>
      <c r="I4247" s="13"/>
      <c r="J4247" s="13"/>
      <c r="K4247" s="13"/>
      <c r="L4247" s="13"/>
      <c r="M4247" s="13"/>
      <c r="N4247" s="13"/>
    </row>
    <row r="4248" ht="15.75" hidden="1" customHeight="1">
      <c r="A4248" s="13"/>
      <c r="B4248" s="13"/>
      <c r="C4248" s="13"/>
      <c r="D4248" s="13"/>
      <c r="E4248" s="13"/>
      <c r="F4248" s="13"/>
      <c r="G4248" s="13"/>
      <c r="H4248" s="13"/>
      <c r="I4248" s="13"/>
      <c r="J4248" s="13"/>
      <c r="K4248" s="13"/>
      <c r="L4248" s="13"/>
      <c r="M4248" s="13"/>
      <c r="N4248" s="13"/>
    </row>
    <row r="4249" ht="15.75" hidden="1" customHeight="1">
      <c r="A4249" s="13"/>
      <c r="B4249" s="13"/>
      <c r="C4249" s="13"/>
      <c r="D4249" s="13"/>
      <c r="E4249" s="13"/>
      <c r="F4249" s="13"/>
      <c r="G4249" s="13"/>
      <c r="H4249" s="13"/>
      <c r="I4249" s="13"/>
      <c r="J4249" s="13"/>
      <c r="K4249" s="13"/>
      <c r="L4249" s="13"/>
      <c r="M4249" s="13"/>
      <c r="N4249" s="13"/>
    </row>
    <row r="4250" ht="15.75" hidden="1" customHeight="1">
      <c r="A4250" s="13"/>
      <c r="B4250" s="13"/>
      <c r="C4250" s="13"/>
      <c r="D4250" s="13"/>
      <c r="E4250" s="13"/>
      <c r="F4250" s="13"/>
      <c r="G4250" s="13"/>
      <c r="H4250" s="13"/>
      <c r="I4250" s="13"/>
      <c r="J4250" s="13"/>
      <c r="K4250" s="13"/>
      <c r="L4250" s="13"/>
      <c r="M4250" s="13"/>
      <c r="N4250" s="13"/>
    </row>
    <row r="4251" ht="15.75" hidden="1" customHeight="1">
      <c r="A4251" s="13"/>
      <c r="B4251" s="13"/>
      <c r="C4251" s="13"/>
      <c r="D4251" s="13"/>
      <c r="E4251" s="13"/>
      <c r="F4251" s="13"/>
      <c r="G4251" s="13"/>
      <c r="H4251" s="13"/>
      <c r="I4251" s="13"/>
      <c r="J4251" s="13"/>
      <c r="K4251" s="13"/>
      <c r="L4251" s="13"/>
      <c r="M4251" s="13"/>
      <c r="N4251" s="13"/>
    </row>
    <row r="4252" ht="15.75" hidden="1" customHeight="1">
      <c r="A4252" s="13"/>
      <c r="B4252" s="13"/>
      <c r="C4252" s="13"/>
      <c r="D4252" s="13"/>
      <c r="E4252" s="13"/>
      <c r="F4252" s="13"/>
      <c r="G4252" s="13"/>
      <c r="H4252" s="13"/>
      <c r="I4252" s="13"/>
      <c r="J4252" s="13"/>
      <c r="K4252" s="13"/>
      <c r="L4252" s="13"/>
      <c r="M4252" s="13"/>
      <c r="N4252" s="13"/>
    </row>
    <row r="4253" ht="15.75" hidden="1" customHeight="1">
      <c r="A4253" s="13"/>
      <c r="B4253" s="13"/>
      <c r="C4253" s="13"/>
      <c r="D4253" s="13"/>
      <c r="E4253" s="13"/>
      <c r="F4253" s="13"/>
      <c r="G4253" s="13"/>
      <c r="H4253" s="13"/>
      <c r="I4253" s="13"/>
      <c r="J4253" s="13"/>
      <c r="K4253" s="13"/>
      <c r="L4253" s="13"/>
      <c r="M4253" s="13"/>
      <c r="N4253" s="13"/>
    </row>
    <row r="4254" ht="15.75" hidden="1" customHeight="1">
      <c r="A4254" s="13"/>
      <c r="B4254" s="13"/>
      <c r="C4254" s="13"/>
      <c r="D4254" s="13"/>
      <c r="E4254" s="13"/>
      <c r="F4254" s="13"/>
      <c r="G4254" s="13"/>
      <c r="H4254" s="13"/>
      <c r="I4254" s="13"/>
      <c r="J4254" s="13"/>
      <c r="K4254" s="13"/>
      <c r="L4254" s="13"/>
      <c r="M4254" s="13"/>
      <c r="N4254" s="13"/>
    </row>
    <row r="4255" ht="15.75" hidden="1" customHeight="1">
      <c r="A4255" s="13"/>
      <c r="B4255" s="13"/>
      <c r="C4255" s="13"/>
      <c r="D4255" s="13"/>
      <c r="E4255" s="13"/>
      <c r="F4255" s="13"/>
      <c r="G4255" s="13"/>
      <c r="H4255" s="13"/>
      <c r="I4255" s="13"/>
      <c r="J4255" s="13"/>
      <c r="K4255" s="13"/>
      <c r="L4255" s="13"/>
      <c r="M4255" s="13"/>
      <c r="N4255" s="13"/>
    </row>
    <row r="4256" ht="15.75" hidden="1" customHeight="1">
      <c r="A4256" s="13"/>
      <c r="B4256" s="13"/>
      <c r="C4256" s="13"/>
      <c r="D4256" s="13"/>
      <c r="E4256" s="13"/>
      <c r="F4256" s="13"/>
      <c r="G4256" s="13"/>
      <c r="H4256" s="13"/>
      <c r="I4256" s="13"/>
      <c r="J4256" s="13"/>
      <c r="K4256" s="13"/>
      <c r="L4256" s="13"/>
      <c r="M4256" s="13"/>
      <c r="N4256" s="13"/>
    </row>
    <row r="4257" ht="15.75" hidden="1" customHeight="1">
      <c r="A4257" s="13"/>
      <c r="B4257" s="13"/>
      <c r="C4257" s="13"/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</row>
    <row r="4258" ht="15.75" hidden="1" customHeight="1">
      <c r="A4258" s="13"/>
      <c r="B4258" s="13"/>
      <c r="C4258" s="13"/>
      <c r="D4258" s="13"/>
      <c r="E4258" s="13"/>
      <c r="F4258" s="13"/>
      <c r="G4258" s="13"/>
      <c r="H4258" s="13"/>
      <c r="I4258" s="13"/>
      <c r="J4258" s="13"/>
      <c r="K4258" s="13"/>
      <c r="L4258" s="13"/>
      <c r="M4258" s="13"/>
      <c r="N4258" s="13"/>
    </row>
    <row r="4259" ht="15.75" hidden="1" customHeight="1">
      <c r="A4259" s="13"/>
      <c r="B4259" s="13"/>
      <c r="C4259" s="13"/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</row>
    <row r="4260" ht="15.75" hidden="1" customHeight="1">
      <c r="A4260" s="13"/>
      <c r="B4260" s="13"/>
      <c r="C4260" s="13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</row>
    <row r="4261" ht="15.75" hidden="1" customHeight="1">
      <c r="A4261" s="13"/>
      <c r="B4261" s="13"/>
      <c r="C4261" s="13"/>
      <c r="D4261" s="13"/>
      <c r="E4261" s="13"/>
      <c r="F4261" s="13"/>
      <c r="G4261" s="13"/>
      <c r="H4261" s="13"/>
      <c r="I4261" s="13"/>
      <c r="J4261" s="13"/>
      <c r="K4261" s="13"/>
      <c r="L4261" s="13"/>
      <c r="M4261" s="13"/>
      <c r="N4261" s="13"/>
    </row>
    <row r="4262" ht="15.75" hidden="1" customHeight="1">
      <c r="A4262" s="13"/>
      <c r="B4262" s="13"/>
      <c r="C4262" s="13"/>
      <c r="D4262" s="13"/>
      <c r="E4262" s="13"/>
      <c r="F4262" s="13"/>
      <c r="G4262" s="13"/>
      <c r="H4262" s="13"/>
      <c r="I4262" s="13"/>
      <c r="J4262" s="13"/>
      <c r="K4262" s="13"/>
      <c r="L4262" s="13"/>
      <c r="M4262" s="13"/>
      <c r="N4262" s="13"/>
    </row>
    <row r="4263" ht="15.75" hidden="1" customHeight="1">
      <c r="A4263" s="13"/>
      <c r="B4263" s="13"/>
      <c r="C4263" s="13"/>
      <c r="D4263" s="13"/>
      <c r="E4263" s="13"/>
      <c r="F4263" s="13"/>
      <c r="G4263" s="13"/>
      <c r="H4263" s="13"/>
      <c r="I4263" s="13"/>
      <c r="J4263" s="13"/>
      <c r="K4263" s="13"/>
      <c r="L4263" s="13"/>
      <c r="M4263" s="13"/>
      <c r="N4263" s="13"/>
    </row>
    <row r="4264" ht="15.75" hidden="1" customHeight="1">
      <c r="A4264" s="13"/>
      <c r="B4264" s="13"/>
      <c r="C4264" s="13"/>
      <c r="D4264" s="13"/>
      <c r="E4264" s="13"/>
      <c r="F4264" s="13"/>
      <c r="G4264" s="13"/>
      <c r="H4264" s="13"/>
      <c r="I4264" s="13"/>
      <c r="J4264" s="13"/>
      <c r="K4264" s="13"/>
      <c r="L4264" s="13"/>
      <c r="M4264" s="13"/>
      <c r="N4264" s="13"/>
    </row>
    <row r="4265" ht="15.75" hidden="1" customHeight="1">
      <c r="A4265" s="13"/>
      <c r="B4265" s="13"/>
      <c r="C4265" s="13"/>
      <c r="D4265" s="13"/>
      <c r="E4265" s="13"/>
      <c r="F4265" s="13"/>
      <c r="G4265" s="13"/>
      <c r="H4265" s="13"/>
      <c r="I4265" s="13"/>
      <c r="J4265" s="13"/>
      <c r="K4265" s="13"/>
      <c r="L4265" s="13"/>
      <c r="M4265" s="13"/>
      <c r="N4265" s="13"/>
    </row>
    <row r="4266" ht="15.75" hidden="1" customHeight="1">
      <c r="A4266" s="13"/>
      <c r="B4266" s="13"/>
      <c r="C4266" s="13"/>
      <c r="D4266" s="13"/>
      <c r="E4266" s="13"/>
      <c r="F4266" s="13"/>
      <c r="G4266" s="13"/>
      <c r="H4266" s="13"/>
      <c r="I4266" s="13"/>
      <c r="J4266" s="13"/>
      <c r="K4266" s="13"/>
      <c r="L4266" s="13"/>
      <c r="M4266" s="13"/>
      <c r="N4266" s="13"/>
    </row>
    <row r="4267" ht="15.75" hidden="1" customHeight="1">
      <c r="A4267" s="13"/>
      <c r="B4267" s="13"/>
      <c r="C4267" s="13"/>
      <c r="D4267" s="13"/>
      <c r="E4267" s="13"/>
      <c r="F4267" s="13"/>
      <c r="G4267" s="13"/>
      <c r="H4267" s="13"/>
      <c r="I4267" s="13"/>
      <c r="J4267" s="13"/>
      <c r="K4267" s="13"/>
      <c r="L4267" s="13"/>
      <c r="M4267" s="13"/>
      <c r="N4267" s="13"/>
    </row>
    <row r="4268" ht="15.75" hidden="1" customHeight="1">
      <c r="A4268" s="13"/>
      <c r="B4268" s="13"/>
      <c r="C4268" s="13"/>
      <c r="D4268" s="13"/>
      <c r="E4268" s="13"/>
      <c r="F4268" s="13"/>
      <c r="G4268" s="13"/>
      <c r="H4268" s="13"/>
      <c r="I4268" s="13"/>
      <c r="J4268" s="13"/>
      <c r="K4268" s="13"/>
      <c r="L4268" s="13"/>
      <c r="M4268" s="13"/>
      <c r="N4268" s="13"/>
    </row>
    <row r="4269" ht="15.75" hidden="1" customHeight="1">
      <c r="A4269" s="13"/>
      <c r="B4269" s="13"/>
      <c r="C4269" s="13"/>
      <c r="D4269" s="13"/>
      <c r="E4269" s="13"/>
      <c r="F4269" s="13"/>
      <c r="G4269" s="13"/>
      <c r="H4269" s="13"/>
      <c r="I4269" s="13"/>
      <c r="J4269" s="13"/>
      <c r="K4269" s="13"/>
      <c r="L4269" s="13"/>
      <c r="M4269" s="13"/>
      <c r="N4269" s="13"/>
    </row>
    <row r="4270" ht="15.75" hidden="1" customHeight="1">
      <c r="A4270" s="13"/>
      <c r="B4270" s="13"/>
      <c r="C4270" s="13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</row>
    <row r="4271" ht="15.75" hidden="1" customHeight="1">
      <c r="A4271" s="13"/>
      <c r="B4271" s="13"/>
      <c r="C4271" s="13"/>
      <c r="D4271" s="13"/>
      <c r="E4271" s="13"/>
      <c r="F4271" s="13"/>
      <c r="G4271" s="13"/>
      <c r="H4271" s="13"/>
      <c r="I4271" s="13"/>
      <c r="J4271" s="13"/>
      <c r="K4271" s="13"/>
      <c r="L4271" s="13"/>
      <c r="M4271" s="13"/>
      <c r="N4271" s="13"/>
    </row>
    <row r="4272" ht="15.75" hidden="1" customHeight="1">
      <c r="A4272" s="13"/>
      <c r="B4272" s="13"/>
      <c r="C4272" s="13"/>
      <c r="D4272" s="13"/>
      <c r="E4272" s="13"/>
      <c r="F4272" s="13"/>
      <c r="G4272" s="13"/>
      <c r="H4272" s="13"/>
      <c r="I4272" s="13"/>
      <c r="J4272" s="13"/>
      <c r="K4272" s="13"/>
      <c r="L4272" s="13"/>
      <c r="M4272" s="13"/>
      <c r="N4272" s="13"/>
    </row>
    <row r="4273" ht="15.75" hidden="1" customHeight="1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</row>
    <row r="4274" ht="15.75" hidden="1" customHeight="1">
      <c r="A4274" s="13"/>
      <c r="B4274" s="13"/>
      <c r="C4274" s="13"/>
      <c r="D4274" s="13"/>
      <c r="E4274" s="13"/>
      <c r="F4274" s="13"/>
      <c r="G4274" s="13"/>
      <c r="H4274" s="13"/>
      <c r="I4274" s="13"/>
      <c r="J4274" s="13"/>
      <c r="K4274" s="13"/>
      <c r="L4274" s="13"/>
      <c r="M4274" s="13"/>
      <c r="N4274" s="13"/>
    </row>
    <row r="4275" ht="15.75" hidden="1" customHeight="1">
      <c r="A4275" s="13"/>
      <c r="B4275" s="13"/>
      <c r="C4275" s="13"/>
      <c r="D4275" s="13"/>
      <c r="E4275" s="13"/>
      <c r="F4275" s="13"/>
      <c r="G4275" s="13"/>
      <c r="H4275" s="13"/>
      <c r="I4275" s="13"/>
      <c r="J4275" s="13"/>
      <c r="K4275" s="13"/>
      <c r="L4275" s="13"/>
      <c r="M4275" s="13"/>
      <c r="N4275" s="13"/>
    </row>
    <row r="4276" ht="15.75" hidden="1" customHeight="1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</row>
    <row r="4277" ht="15.75" hidden="1" customHeight="1">
      <c r="A4277" s="13"/>
      <c r="B4277" s="13"/>
      <c r="C4277" s="13"/>
      <c r="D4277" s="13"/>
      <c r="E4277" s="13"/>
      <c r="F4277" s="13"/>
      <c r="G4277" s="13"/>
      <c r="H4277" s="13"/>
      <c r="I4277" s="13"/>
      <c r="J4277" s="13"/>
      <c r="K4277" s="13"/>
      <c r="L4277" s="13"/>
      <c r="M4277" s="13"/>
      <c r="N4277" s="13"/>
    </row>
    <row r="4278" ht="15.75" hidden="1" customHeight="1">
      <c r="A4278" s="13"/>
      <c r="B4278" s="13"/>
      <c r="C4278" s="13"/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</row>
    <row r="4279" ht="15.75" hidden="1" customHeight="1">
      <c r="A4279" s="13"/>
      <c r="B4279" s="13"/>
      <c r="C4279" s="13"/>
      <c r="D4279" s="13"/>
      <c r="E4279" s="13"/>
      <c r="F4279" s="13"/>
      <c r="G4279" s="13"/>
      <c r="H4279" s="13"/>
      <c r="I4279" s="13"/>
      <c r="J4279" s="13"/>
      <c r="K4279" s="13"/>
      <c r="L4279" s="13"/>
      <c r="M4279" s="13"/>
      <c r="N4279" s="13"/>
    </row>
    <row r="4280" ht="15.75" hidden="1" customHeight="1">
      <c r="A4280" s="13"/>
      <c r="B4280" s="13"/>
      <c r="C4280" s="13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</row>
    <row r="4281" ht="15.75" hidden="1" customHeight="1">
      <c r="A4281" s="13"/>
      <c r="B4281" s="13"/>
      <c r="C4281" s="13"/>
      <c r="D4281" s="13"/>
      <c r="E4281" s="13"/>
      <c r="F4281" s="13"/>
      <c r="G4281" s="13"/>
      <c r="H4281" s="13"/>
      <c r="I4281" s="13"/>
      <c r="J4281" s="13"/>
      <c r="K4281" s="13"/>
      <c r="L4281" s="13"/>
      <c r="M4281" s="13"/>
      <c r="N4281" s="13"/>
    </row>
    <row r="4282" ht="15.75" hidden="1" customHeight="1">
      <c r="A4282" s="13"/>
      <c r="B4282" s="13"/>
      <c r="C4282" s="13"/>
      <c r="D4282" s="13"/>
      <c r="E4282" s="13"/>
      <c r="F4282" s="13"/>
      <c r="G4282" s="13"/>
      <c r="H4282" s="13"/>
      <c r="I4282" s="13"/>
      <c r="J4282" s="13"/>
      <c r="K4282" s="13"/>
      <c r="L4282" s="13"/>
      <c r="M4282" s="13"/>
      <c r="N4282" s="13"/>
    </row>
    <row r="4283" ht="15.75" hidden="1" customHeight="1">
      <c r="A4283" s="13"/>
      <c r="B4283" s="13"/>
      <c r="C4283" s="13"/>
      <c r="D4283" s="13"/>
      <c r="E4283" s="13"/>
      <c r="F4283" s="13"/>
      <c r="G4283" s="13"/>
      <c r="H4283" s="13"/>
      <c r="I4283" s="13"/>
      <c r="J4283" s="13"/>
      <c r="K4283" s="13"/>
      <c r="L4283" s="13"/>
      <c r="M4283" s="13"/>
      <c r="N4283" s="13"/>
    </row>
    <row r="4284" ht="15.75" hidden="1" customHeight="1">
      <c r="A4284" s="13"/>
      <c r="B4284" s="13"/>
      <c r="C4284" s="13"/>
      <c r="D4284" s="13"/>
      <c r="E4284" s="13"/>
      <c r="F4284" s="13"/>
      <c r="G4284" s="13"/>
      <c r="H4284" s="13"/>
      <c r="I4284" s="13"/>
      <c r="J4284" s="13"/>
      <c r="K4284" s="13"/>
      <c r="L4284" s="13"/>
      <c r="M4284" s="13"/>
      <c r="N4284" s="13"/>
    </row>
    <row r="4285" ht="15.75" hidden="1" customHeight="1">
      <c r="A4285" s="13"/>
      <c r="B4285" s="13"/>
      <c r="C4285" s="13"/>
      <c r="D4285" s="13"/>
      <c r="E4285" s="13"/>
      <c r="F4285" s="13"/>
      <c r="G4285" s="13"/>
      <c r="H4285" s="13"/>
      <c r="I4285" s="13"/>
      <c r="J4285" s="13"/>
      <c r="K4285" s="13"/>
      <c r="L4285" s="13"/>
      <c r="M4285" s="13"/>
      <c r="N4285" s="13"/>
    </row>
    <row r="4286" ht="15.75" hidden="1" customHeight="1">
      <c r="A4286" s="13"/>
      <c r="B4286" s="13"/>
      <c r="C4286" s="13"/>
      <c r="D4286" s="13"/>
      <c r="E4286" s="13"/>
      <c r="F4286" s="13"/>
      <c r="G4286" s="13"/>
      <c r="H4286" s="13"/>
      <c r="I4286" s="13"/>
      <c r="J4286" s="13"/>
      <c r="K4286" s="13"/>
      <c r="L4286" s="13"/>
      <c r="M4286" s="13"/>
      <c r="N4286" s="13"/>
    </row>
    <row r="4287" ht="15.75" hidden="1" customHeight="1">
      <c r="A4287" s="13"/>
      <c r="B4287" s="13"/>
      <c r="C4287" s="13"/>
      <c r="D4287" s="13"/>
      <c r="E4287" s="13"/>
      <c r="F4287" s="13"/>
      <c r="G4287" s="13"/>
      <c r="H4287" s="13"/>
      <c r="I4287" s="13"/>
      <c r="J4287" s="13"/>
      <c r="K4287" s="13"/>
      <c r="L4287" s="13"/>
      <c r="M4287" s="13"/>
      <c r="N4287" s="13"/>
    </row>
    <row r="4288" ht="15.75" hidden="1" customHeight="1">
      <c r="A4288" s="13"/>
      <c r="B4288" s="13"/>
      <c r="C4288" s="13"/>
      <c r="D4288" s="13"/>
      <c r="E4288" s="13"/>
      <c r="F4288" s="13"/>
      <c r="G4288" s="13"/>
      <c r="H4288" s="13"/>
      <c r="I4288" s="13"/>
      <c r="J4288" s="13"/>
      <c r="K4288" s="13"/>
      <c r="L4288" s="13"/>
      <c r="M4288" s="13"/>
      <c r="N4288" s="13"/>
    </row>
    <row r="4289" ht="15.75" hidden="1" customHeight="1">
      <c r="A4289" s="13"/>
      <c r="B4289" s="13"/>
      <c r="C4289" s="13"/>
      <c r="D4289" s="13"/>
      <c r="E4289" s="13"/>
      <c r="F4289" s="13"/>
      <c r="G4289" s="13"/>
      <c r="H4289" s="13"/>
      <c r="I4289" s="13"/>
      <c r="J4289" s="13"/>
      <c r="K4289" s="13"/>
      <c r="L4289" s="13"/>
      <c r="M4289" s="13"/>
      <c r="N4289" s="13"/>
    </row>
    <row r="4290" ht="15.75" hidden="1" customHeight="1">
      <c r="A4290" s="13"/>
      <c r="B4290" s="13"/>
      <c r="C4290" s="13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</row>
    <row r="4291" ht="15.75" hidden="1" customHeight="1">
      <c r="A4291" s="13"/>
      <c r="B4291" s="13"/>
      <c r="C4291" s="13"/>
      <c r="D4291" s="13"/>
      <c r="E4291" s="13"/>
      <c r="F4291" s="13"/>
      <c r="G4291" s="13"/>
      <c r="H4291" s="13"/>
      <c r="I4291" s="13"/>
      <c r="J4291" s="13"/>
      <c r="K4291" s="13"/>
      <c r="L4291" s="13"/>
      <c r="M4291" s="13"/>
      <c r="N4291" s="13"/>
    </row>
    <row r="4292" ht="15.75" hidden="1" customHeight="1">
      <c r="A4292" s="13"/>
      <c r="B4292" s="13"/>
      <c r="C4292" s="13"/>
      <c r="D4292" s="13"/>
      <c r="E4292" s="13"/>
      <c r="F4292" s="13"/>
      <c r="G4292" s="13"/>
      <c r="H4292" s="13"/>
      <c r="I4292" s="13"/>
      <c r="J4292" s="13"/>
      <c r="K4292" s="13"/>
      <c r="L4292" s="13"/>
      <c r="M4292" s="13"/>
      <c r="N4292" s="13"/>
    </row>
    <row r="4293" ht="15.75" hidden="1" customHeight="1">
      <c r="A4293" s="13"/>
      <c r="B4293" s="13"/>
      <c r="C4293" s="13"/>
      <c r="D4293" s="13"/>
      <c r="E4293" s="13"/>
      <c r="F4293" s="13"/>
      <c r="G4293" s="13"/>
      <c r="H4293" s="13"/>
      <c r="I4293" s="13"/>
      <c r="J4293" s="13"/>
      <c r="K4293" s="13"/>
      <c r="L4293" s="13"/>
      <c r="M4293" s="13"/>
      <c r="N4293" s="13"/>
    </row>
    <row r="4294" ht="15.75" hidden="1" customHeight="1">
      <c r="A4294" s="13"/>
      <c r="B4294" s="13"/>
      <c r="C4294" s="13"/>
      <c r="D4294" s="13"/>
      <c r="E4294" s="13"/>
      <c r="F4294" s="13"/>
      <c r="G4294" s="13"/>
      <c r="H4294" s="13"/>
      <c r="I4294" s="13"/>
      <c r="J4294" s="13"/>
      <c r="K4294" s="13"/>
      <c r="L4294" s="13"/>
      <c r="M4294" s="13"/>
      <c r="N4294" s="13"/>
    </row>
    <row r="4295" ht="15.75" hidden="1" customHeight="1">
      <c r="A4295" s="13"/>
      <c r="B4295" s="13"/>
      <c r="C4295" s="13"/>
      <c r="D4295" s="13"/>
      <c r="E4295" s="13"/>
      <c r="F4295" s="13"/>
      <c r="G4295" s="13"/>
      <c r="H4295" s="13"/>
      <c r="I4295" s="13"/>
      <c r="J4295" s="13"/>
      <c r="K4295" s="13"/>
      <c r="L4295" s="13"/>
      <c r="M4295" s="13"/>
      <c r="N4295" s="13"/>
    </row>
    <row r="4296" ht="15.75" hidden="1" customHeight="1">
      <c r="A4296" s="13"/>
      <c r="B4296" s="13"/>
      <c r="C4296" s="13"/>
      <c r="D4296" s="13"/>
      <c r="E4296" s="13"/>
      <c r="F4296" s="13"/>
      <c r="G4296" s="13"/>
      <c r="H4296" s="13"/>
      <c r="I4296" s="13"/>
      <c r="J4296" s="13"/>
      <c r="K4296" s="13"/>
      <c r="L4296" s="13"/>
      <c r="M4296" s="13"/>
      <c r="N4296" s="13"/>
    </row>
    <row r="4297" ht="15.75" hidden="1" customHeight="1">
      <c r="A4297" s="13"/>
      <c r="B4297" s="13"/>
      <c r="C4297" s="13"/>
      <c r="D4297" s="13"/>
      <c r="E4297" s="13"/>
      <c r="F4297" s="13"/>
      <c r="G4297" s="13"/>
      <c r="H4297" s="13"/>
      <c r="I4297" s="13"/>
      <c r="J4297" s="13"/>
      <c r="K4297" s="13"/>
      <c r="L4297" s="13"/>
      <c r="M4297" s="13"/>
      <c r="N4297" s="13"/>
    </row>
    <row r="4298" ht="15.75" hidden="1" customHeight="1">
      <c r="A4298" s="13"/>
      <c r="B4298" s="13"/>
      <c r="C4298" s="13"/>
      <c r="D4298" s="13"/>
      <c r="E4298" s="13"/>
      <c r="F4298" s="13"/>
      <c r="G4298" s="13"/>
      <c r="H4298" s="13"/>
      <c r="I4298" s="13"/>
      <c r="J4298" s="13"/>
      <c r="K4298" s="13"/>
      <c r="L4298" s="13"/>
      <c r="M4298" s="13"/>
      <c r="N4298" s="13"/>
    </row>
    <row r="4299" ht="15.75" hidden="1" customHeight="1">
      <c r="A4299" s="13"/>
      <c r="B4299" s="13"/>
      <c r="C4299" s="13"/>
      <c r="D4299" s="13"/>
      <c r="E4299" s="13"/>
      <c r="F4299" s="13"/>
      <c r="G4299" s="13"/>
      <c r="H4299" s="13"/>
      <c r="I4299" s="13"/>
      <c r="J4299" s="13"/>
      <c r="K4299" s="13"/>
      <c r="L4299" s="13"/>
      <c r="M4299" s="13"/>
      <c r="N4299" s="13"/>
    </row>
    <row r="4300" ht="15.75" hidden="1" customHeight="1">
      <c r="A4300" s="13"/>
      <c r="B4300" s="13"/>
      <c r="C4300" s="13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</row>
    <row r="4301" ht="15.75" hidden="1" customHeight="1">
      <c r="A4301" s="13"/>
      <c r="B4301" s="13"/>
      <c r="C4301" s="13"/>
      <c r="D4301" s="13"/>
      <c r="E4301" s="13"/>
      <c r="F4301" s="13"/>
      <c r="G4301" s="13"/>
      <c r="H4301" s="13"/>
      <c r="I4301" s="13"/>
      <c r="J4301" s="13"/>
      <c r="K4301" s="13"/>
      <c r="L4301" s="13"/>
      <c r="M4301" s="13"/>
      <c r="N4301" s="13"/>
    </row>
    <row r="4302" ht="15.75" hidden="1" customHeight="1">
      <c r="A4302" s="13"/>
      <c r="B4302" s="13"/>
      <c r="C4302" s="13"/>
      <c r="D4302" s="13"/>
      <c r="E4302" s="13"/>
      <c r="F4302" s="13"/>
      <c r="G4302" s="13"/>
      <c r="H4302" s="13"/>
      <c r="I4302" s="13"/>
      <c r="J4302" s="13"/>
      <c r="K4302" s="13"/>
      <c r="L4302" s="13"/>
      <c r="M4302" s="13"/>
      <c r="N4302" s="13"/>
    </row>
    <row r="4303" ht="15.75" hidden="1" customHeight="1">
      <c r="A4303" s="13"/>
      <c r="B4303" s="13"/>
      <c r="C4303" s="13"/>
      <c r="D4303" s="13"/>
      <c r="E4303" s="13"/>
      <c r="F4303" s="13"/>
      <c r="G4303" s="13"/>
      <c r="H4303" s="13"/>
      <c r="I4303" s="13"/>
      <c r="J4303" s="13"/>
      <c r="K4303" s="13"/>
      <c r="L4303" s="13"/>
      <c r="M4303" s="13"/>
      <c r="N4303" s="13"/>
    </row>
    <row r="4304" ht="15.75" hidden="1" customHeight="1">
      <c r="A4304" s="13"/>
      <c r="B4304" s="13"/>
      <c r="C4304" s="13"/>
      <c r="D4304" s="13"/>
      <c r="E4304" s="13"/>
      <c r="F4304" s="13"/>
      <c r="G4304" s="13"/>
      <c r="H4304" s="13"/>
      <c r="I4304" s="13"/>
      <c r="J4304" s="13"/>
      <c r="K4304" s="13"/>
      <c r="L4304" s="13"/>
      <c r="M4304" s="13"/>
      <c r="N4304" s="13"/>
    </row>
    <row r="4305" ht="15.75" hidden="1" customHeight="1">
      <c r="A4305" s="13"/>
      <c r="B4305" s="13"/>
      <c r="C4305" s="13"/>
      <c r="D4305" s="13"/>
      <c r="E4305" s="13"/>
      <c r="F4305" s="13"/>
      <c r="G4305" s="13"/>
      <c r="H4305" s="13"/>
      <c r="I4305" s="13"/>
      <c r="J4305" s="13"/>
      <c r="K4305" s="13"/>
      <c r="L4305" s="13"/>
      <c r="M4305" s="13"/>
      <c r="N4305" s="13"/>
    </row>
    <row r="4306" ht="15.75" hidden="1" customHeight="1">
      <c r="A4306" s="13"/>
      <c r="B4306" s="13"/>
      <c r="C4306" s="13"/>
      <c r="D4306" s="13"/>
      <c r="E4306" s="13"/>
      <c r="F4306" s="13"/>
      <c r="G4306" s="13"/>
      <c r="H4306" s="13"/>
      <c r="I4306" s="13"/>
      <c r="J4306" s="13"/>
      <c r="K4306" s="13"/>
      <c r="L4306" s="13"/>
      <c r="M4306" s="13"/>
      <c r="N4306" s="13"/>
    </row>
    <row r="4307" ht="15.75" hidden="1" customHeight="1">
      <c r="A4307" s="13"/>
      <c r="B4307" s="13"/>
      <c r="C4307" s="13"/>
      <c r="D4307" s="13"/>
      <c r="E4307" s="13"/>
      <c r="F4307" s="13"/>
      <c r="G4307" s="13"/>
      <c r="H4307" s="13"/>
      <c r="I4307" s="13"/>
      <c r="J4307" s="13"/>
      <c r="K4307" s="13"/>
      <c r="L4307" s="13"/>
      <c r="M4307" s="13"/>
      <c r="N4307" s="13"/>
    </row>
    <row r="4308" ht="15.75" hidden="1" customHeight="1">
      <c r="A4308" s="13"/>
      <c r="B4308" s="13"/>
      <c r="C4308" s="13"/>
      <c r="D4308" s="13"/>
      <c r="E4308" s="13"/>
      <c r="F4308" s="13"/>
      <c r="G4308" s="13"/>
      <c r="H4308" s="13"/>
      <c r="I4308" s="13"/>
      <c r="J4308" s="13"/>
      <c r="K4308" s="13"/>
      <c r="L4308" s="13"/>
      <c r="M4308" s="13"/>
      <c r="N4308" s="13"/>
    </row>
    <row r="4309" ht="15.75" hidden="1" customHeight="1">
      <c r="A4309" s="13"/>
      <c r="B4309" s="13"/>
      <c r="C4309" s="13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</row>
    <row r="4310" ht="15.75" hidden="1" customHeight="1">
      <c r="A4310" s="13"/>
      <c r="B4310" s="13"/>
      <c r="C4310" s="13"/>
      <c r="D4310" s="13"/>
      <c r="E4310" s="13"/>
      <c r="F4310" s="13"/>
      <c r="G4310" s="13"/>
      <c r="H4310" s="13"/>
      <c r="I4310" s="13"/>
      <c r="J4310" s="13"/>
      <c r="K4310" s="13"/>
      <c r="L4310" s="13"/>
      <c r="M4310" s="13"/>
      <c r="N4310" s="13"/>
    </row>
    <row r="4311" ht="15.75" hidden="1" customHeight="1">
      <c r="A4311" s="13"/>
      <c r="B4311" s="13"/>
      <c r="C4311" s="13"/>
      <c r="D4311" s="13"/>
      <c r="E4311" s="13"/>
      <c r="F4311" s="13"/>
      <c r="G4311" s="13"/>
      <c r="H4311" s="13"/>
      <c r="I4311" s="13"/>
      <c r="J4311" s="13"/>
      <c r="K4311" s="13"/>
      <c r="L4311" s="13"/>
      <c r="M4311" s="13"/>
      <c r="N4311" s="13"/>
    </row>
    <row r="4312" ht="15.75" hidden="1" customHeight="1">
      <c r="A4312" s="13"/>
      <c r="B4312" s="13"/>
      <c r="C4312" s="13"/>
      <c r="D4312" s="13"/>
      <c r="E4312" s="13"/>
      <c r="F4312" s="13"/>
      <c r="G4312" s="13"/>
      <c r="H4312" s="13"/>
      <c r="I4312" s="13"/>
      <c r="J4312" s="13"/>
      <c r="K4312" s="13"/>
      <c r="L4312" s="13"/>
      <c r="M4312" s="13"/>
      <c r="N4312" s="13"/>
    </row>
    <row r="4313" ht="15.75" hidden="1" customHeight="1">
      <c r="A4313" s="13"/>
      <c r="B4313" s="13"/>
      <c r="C4313" s="13"/>
      <c r="D4313" s="13"/>
      <c r="E4313" s="13"/>
      <c r="F4313" s="13"/>
      <c r="G4313" s="13"/>
      <c r="H4313" s="13"/>
      <c r="I4313" s="13"/>
      <c r="J4313" s="13"/>
      <c r="K4313" s="13"/>
      <c r="L4313" s="13"/>
      <c r="M4313" s="13"/>
      <c r="N4313" s="13"/>
    </row>
    <row r="4314" ht="15.75" hidden="1" customHeight="1">
      <c r="A4314" s="13"/>
      <c r="B4314" s="13"/>
      <c r="C4314" s="13"/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</row>
    <row r="4315" ht="15.75" hidden="1" customHeight="1">
      <c r="A4315" s="13"/>
      <c r="B4315" s="13"/>
      <c r="C4315" s="13"/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</row>
    <row r="4316" ht="15.75" hidden="1" customHeight="1">
      <c r="A4316" s="13"/>
      <c r="B4316" s="13"/>
      <c r="C4316" s="13"/>
      <c r="D4316" s="13"/>
      <c r="E4316" s="13"/>
      <c r="F4316" s="13"/>
      <c r="G4316" s="13"/>
      <c r="H4316" s="13"/>
      <c r="I4316" s="13"/>
      <c r="J4316" s="13"/>
      <c r="K4316" s="13"/>
      <c r="L4316" s="13"/>
      <c r="M4316" s="13"/>
      <c r="N4316" s="13"/>
    </row>
    <row r="4317" ht="15.75" hidden="1" customHeight="1">
      <c r="A4317" s="13"/>
      <c r="B4317" s="13"/>
      <c r="C4317" s="13"/>
      <c r="D4317" s="13"/>
      <c r="E4317" s="13"/>
      <c r="F4317" s="13"/>
      <c r="G4317" s="13"/>
      <c r="H4317" s="13"/>
      <c r="I4317" s="13"/>
      <c r="J4317" s="13"/>
      <c r="K4317" s="13"/>
      <c r="L4317" s="13"/>
      <c r="M4317" s="13"/>
      <c r="N4317" s="13"/>
    </row>
    <row r="4318" ht="15.75" hidden="1" customHeight="1">
      <c r="A4318" s="13"/>
      <c r="B4318" s="13"/>
      <c r="C4318" s="13"/>
      <c r="D4318" s="13"/>
      <c r="E4318" s="13"/>
      <c r="F4318" s="13"/>
      <c r="G4318" s="13"/>
      <c r="H4318" s="13"/>
      <c r="I4318" s="13"/>
      <c r="J4318" s="13"/>
      <c r="K4318" s="13"/>
      <c r="L4318" s="13"/>
      <c r="M4318" s="13"/>
      <c r="N4318" s="13"/>
    </row>
    <row r="4319" ht="15.75" hidden="1" customHeight="1">
      <c r="A4319" s="13"/>
      <c r="B4319" s="13"/>
      <c r="C4319" s="13"/>
      <c r="D4319" s="13"/>
      <c r="E4319" s="13"/>
      <c r="F4319" s="13"/>
      <c r="G4319" s="13"/>
      <c r="H4319" s="13"/>
      <c r="I4319" s="13"/>
      <c r="J4319" s="13"/>
      <c r="K4319" s="13"/>
      <c r="L4319" s="13"/>
      <c r="M4319" s="13"/>
      <c r="N4319" s="13"/>
    </row>
    <row r="4320" ht="15.75" hidden="1" customHeight="1">
      <c r="A4320" s="13"/>
      <c r="B4320" s="13"/>
      <c r="C4320" s="13"/>
      <c r="D4320" s="13"/>
      <c r="E4320" s="13"/>
      <c r="F4320" s="13"/>
      <c r="G4320" s="13"/>
      <c r="H4320" s="13"/>
      <c r="I4320" s="13"/>
      <c r="J4320" s="13"/>
      <c r="K4320" s="13"/>
      <c r="L4320" s="13"/>
      <c r="M4320" s="13"/>
      <c r="N4320" s="13"/>
    </row>
    <row r="4321" ht="15.75" hidden="1" customHeight="1">
      <c r="A4321" s="13"/>
      <c r="B4321" s="13"/>
      <c r="C4321" s="13"/>
      <c r="D4321" s="13"/>
      <c r="E4321" s="13"/>
      <c r="F4321" s="13"/>
      <c r="G4321" s="13"/>
      <c r="H4321" s="13"/>
      <c r="I4321" s="13"/>
      <c r="J4321" s="13"/>
      <c r="K4321" s="13"/>
      <c r="L4321" s="13"/>
      <c r="M4321" s="13"/>
      <c r="N4321" s="13"/>
    </row>
    <row r="4322" ht="15.75" hidden="1" customHeight="1">
      <c r="A4322" s="13"/>
      <c r="B4322" s="13"/>
      <c r="C4322" s="13"/>
      <c r="D4322" s="13"/>
      <c r="E4322" s="13"/>
      <c r="F4322" s="13"/>
      <c r="G4322" s="13"/>
      <c r="H4322" s="13"/>
      <c r="I4322" s="13"/>
      <c r="J4322" s="13"/>
      <c r="K4322" s="13"/>
      <c r="L4322" s="13"/>
      <c r="M4322" s="13"/>
      <c r="N4322" s="13"/>
    </row>
    <row r="4323" ht="15.75" hidden="1" customHeight="1">
      <c r="A4323" s="13"/>
      <c r="B4323" s="13"/>
      <c r="C4323" s="13"/>
      <c r="D4323" s="13"/>
      <c r="E4323" s="13"/>
      <c r="F4323" s="13"/>
      <c r="G4323" s="13"/>
      <c r="H4323" s="13"/>
      <c r="I4323" s="13"/>
      <c r="J4323" s="13"/>
      <c r="K4323" s="13"/>
      <c r="L4323" s="13"/>
      <c r="M4323" s="13"/>
      <c r="N4323" s="13"/>
    </row>
    <row r="4324" ht="15.75" hidden="1" customHeight="1">
      <c r="A4324" s="13"/>
      <c r="B4324" s="13"/>
      <c r="C4324" s="13"/>
      <c r="D4324" s="13"/>
      <c r="E4324" s="13"/>
      <c r="F4324" s="13"/>
      <c r="G4324" s="13"/>
      <c r="H4324" s="13"/>
      <c r="I4324" s="13"/>
      <c r="J4324" s="13"/>
      <c r="K4324" s="13"/>
      <c r="L4324" s="13"/>
      <c r="M4324" s="13"/>
      <c r="N4324" s="13"/>
    </row>
    <row r="4325" ht="15.75" hidden="1" customHeight="1">
      <c r="A4325" s="13"/>
      <c r="B4325" s="13"/>
      <c r="C4325" s="13"/>
      <c r="D4325" s="13"/>
      <c r="E4325" s="13"/>
      <c r="F4325" s="13"/>
      <c r="G4325" s="13"/>
      <c r="H4325" s="13"/>
      <c r="I4325" s="13"/>
      <c r="J4325" s="13"/>
      <c r="K4325" s="13"/>
      <c r="L4325" s="13"/>
      <c r="M4325" s="13"/>
      <c r="N4325" s="13"/>
    </row>
    <row r="4326" ht="15.75" hidden="1" customHeight="1">
      <c r="A4326" s="13"/>
      <c r="B4326" s="13"/>
      <c r="C4326" s="13"/>
      <c r="D4326" s="13"/>
      <c r="E4326" s="13"/>
      <c r="F4326" s="13"/>
      <c r="G4326" s="13"/>
      <c r="H4326" s="13"/>
      <c r="I4326" s="13"/>
      <c r="J4326" s="13"/>
      <c r="K4326" s="13"/>
      <c r="L4326" s="13"/>
      <c r="M4326" s="13"/>
      <c r="N4326" s="13"/>
    </row>
    <row r="4327" ht="15.75" hidden="1" customHeight="1">
      <c r="A4327" s="13"/>
      <c r="B4327" s="13"/>
      <c r="C4327" s="13"/>
      <c r="D4327" s="13"/>
      <c r="E4327" s="13"/>
      <c r="F4327" s="13"/>
      <c r="G4327" s="13"/>
      <c r="H4327" s="13"/>
      <c r="I4327" s="13"/>
      <c r="J4327" s="13"/>
      <c r="K4327" s="13"/>
      <c r="L4327" s="13"/>
      <c r="M4327" s="13"/>
      <c r="N4327" s="13"/>
    </row>
    <row r="4328" ht="15.75" hidden="1" customHeight="1">
      <c r="A4328" s="13"/>
      <c r="B4328" s="13"/>
      <c r="C4328" s="13"/>
      <c r="D4328" s="13"/>
      <c r="E4328" s="13"/>
      <c r="F4328" s="13"/>
      <c r="G4328" s="13"/>
      <c r="H4328" s="13"/>
      <c r="I4328" s="13"/>
      <c r="J4328" s="13"/>
      <c r="K4328" s="13"/>
      <c r="L4328" s="13"/>
      <c r="M4328" s="13"/>
      <c r="N4328" s="13"/>
    </row>
    <row r="4329" ht="15.75" hidden="1" customHeight="1">
      <c r="A4329" s="13"/>
      <c r="B4329" s="13"/>
      <c r="C4329" s="13"/>
      <c r="D4329" s="13"/>
      <c r="E4329" s="13"/>
      <c r="F4329" s="13"/>
      <c r="G4329" s="13"/>
      <c r="H4329" s="13"/>
      <c r="I4329" s="13"/>
      <c r="J4329" s="13"/>
      <c r="K4329" s="13"/>
      <c r="L4329" s="13"/>
      <c r="M4329" s="13"/>
      <c r="N4329" s="13"/>
    </row>
    <row r="4330" ht="15.75" hidden="1" customHeight="1">
      <c r="A4330" s="13"/>
      <c r="B4330" s="13"/>
      <c r="C4330" s="13"/>
      <c r="D4330" s="13"/>
      <c r="E4330" s="13"/>
      <c r="F4330" s="13"/>
      <c r="G4330" s="13"/>
      <c r="H4330" s="13"/>
      <c r="I4330" s="13"/>
      <c r="J4330" s="13"/>
      <c r="K4330" s="13"/>
      <c r="L4330" s="13"/>
      <c r="M4330" s="13"/>
      <c r="N4330" s="13"/>
    </row>
    <row r="4331" ht="15.75" hidden="1" customHeight="1">
      <c r="A4331" s="13"/>
      <c r="B4331" s="13"/>
      <c r="C4331" s="13"/>
      <c r="D4331" s="13"/>
      <c r="E4331" s="13"/>
      <c r="F4331" s="13"/>
      <c r="G4331" s="13"/>
      <c r="H4331" s="13"/>
      <c r="I4331" s="13"/>
      <c r="J4331" s="13"/>
      <c r="K4331" s="13"/>
      <c r="L4331" s="13"/>
      <c r="M4331" s="13"/>
      <c r="N4331" s="13"/>
    </row>
    <row r="4332" ht="15.75" hidden="1" customHeight="1">
      <c r="A4332" s="13"/>
      <c r="B4332" s="13"/>
      <c r="C4332" s="13"/>
      <c r="D4332" s="13"/>
      <c r="E4332" s="13"/>
      <c r="F4332" s="13"/>
      <c r="G4332" s="13"/>
      <c r="H4332" s="13"/>
      <c r="I4332" s="13"/>
      <c r="J4332" s="13"/>
      <c r="K4332" s="13"/>
      <c r="L4332" s="13"/>
      <c r="M4332" s="13"/>
      <c r="N4332" s="13"/>
    </row>
    <row r="4333" ht="15.75" hidden="1" customHeight="1">
      <c r="A4333" s="13"/>
      <c r="B4333" s="13"/>
      <c r="C4333" s="13"/>
      <c r="D4333" s="13"/>
      <c r="E4333" s="13"/>
      <c r="F4333" s="13"/>
      <c r="G4333" s="13"/>
      <c r="H4333" s="13"/>
      <c r="I4333" s="13"/>
      <c r="J4333" s="13"/>
      <c r="K4333" s="13"/>
      <c r="L4333" s="13"/>
      <c r="M4333" s="13"/>
      <c r="N4333" s="13"/>
    </row>
    <row r="4334" ht="15.75" hidden="1" customHeight="1">
      <c r="A4334" s="13"/>
      <c r="B4334" s="13"/>
      <c r="C4334" s="13"/>
      <c r="D4334" s="13"/>
      <c r="E4334" s="13"/>
      <c r="F4334" s="13"/>
      <c r="G4334" s="13"/>
      <c r="H4334" s="13"/>
      <c r="I4334" s="13"/>
      <c r="J4334" s="13"/>
      <c r="K4334" s="13"/>
      <c r="L4334" s="13"/>
      <c r="M4334" s="13"/>
      <c r="N4334" s="13"/>
    </row>
    <row r="4335" ht="15.75" hidden="1" customHeight="1">
      <c r="A4335" s="13"/>
      <c r="B4335" s="13"/>
      <c r="C4335" s="13"/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</row>
    <row r="4336" ht="15.75" hidden="1" customHeight="1">
      <c r="A4336" s="13"/>
      <c r="B4336" s="13"/>
      <c r="C4336" s="13"/>
      <c r="D4336" s="13"/>
      <c r="E4336" s="13"/>
      <c r="F4336" s="13"/>
      <c r="G4336" s="13"/>
      <c r="H4336" s="13"/>
      <c r="I4336" s="13"/>
      <c r="J4336" s="13"/>
      <c r="K4336" s="13"/>
      <c r="L4336" s="13"/>
      <c r="M4336" s="13"/>
      <c r="N4336" s="13"/>
    </row>
    <row r="4337" ht="15.75" hidden="1" customHeight="1">
      <c r="A4337" s="13"/>
      <c r="B4337" s="13"/>
      <c r="C4337" s="13"/>
      <c r="D4337" s="13"/>
      <c r="E4337" s="13"/>
      <c r="F4337" s="13"/>
      <c r="G4337" s="13"/>
      <c r="H4337" s="13"/>
      <c r="I4337" s="13"/>
      <c r="J4337" s="13"/>
      <c r="K4337" s="13"/>
      <c r="L4337" s="13"/>
      <c r="M4337" s="13"/>
      <c r="N4337" s="13"/>
    </row>
    <row r="4338" ht="15.75" hidden="1" customHeight="1">
      <c r="A4338" s="13"/>
      <c r="B4338" s="13"/>
      <c r="C4338" s="13"/>
      <c r="D4338" s="13"/>
      <c r="E4338" s="13"/>
      <c r="F4338" s="13"/>
      <c r="G4338" s="13"/>
      <c r="H4338" s="13"/>
      <c r="I4338" s="13"/>
      <c r="J4338" s="13"/>
      <c r="K4338" s="13"/>
      <c r="L4338" s="13"/>
      <c r="M4338" s="13"/>
      <c r="N4338" s="13"/>
    </row>
    <row r="4339" ht="15.75" hidden="1" customHeight="1">
      <c r="A4339" s="13"/>
      <c r="B4339" s="13"/>
      <c r="C4339" s="13"/>
      <c r="D4339" s="13"/>
      <c r="E4339" s="13"/>
      <c r="F4339" s="13"/>
      <c r="G4339" s="13"/>
      <c r="H4339" s="13"/>
      <c r="I4339" s="13"/>
      <c r="J4339" s="13"/>
      <c r="K4339" s="13"/>
      <c r="L4339" s="13"/>
      <c r="M4339" s="13"/>
      <c r="N4339" s="13"/>
    </row>
    <row r="4340" ht="15.75" hidden="1" customHeight="1">
      <c r="A4340" s="13"/>
      <c r="B4340" s="13"/>
      <c r="C4340" s="13"/>
      <c r="D4340" s="13"/>
      <c r="E4340" s="13"/>
      <c r="F4340" s="13"/>
      <c r="G4340" s="13"/>
      <c r="H4340" s="13"/>
      <c r="I4340" s="13"/>
      <c r="J4340" s="13"/>
      <c r="K4340" s="13"/>
      <c r="L4340" s="13"/>
      <c r="M4340" s="13"/>
      <c r="N4340" s="13"/>
    </row>
    <row r="4341" ht="15.75" hidden="1" customHeight="1">
      <c r="A4341" s="13"/>
      <c r="B4341" s="13"/>
      <c r="C4341" s="13"/>
      <c r="D4341" s="13"/>
      <c r="E4341" s="13"/>
      <c r="F4341" s="13"/>
      <c r="G4341" s="13"/>
      <c r="H4341" s="13"/>
      <c r="I4341" s="13"/>
      <c r="J4341" s="13"/>
      <c r="K4341" s="13"/>
      <c r="L4341" s="13"/>
      <c r="M4341" s="13"/>
      <c r="N4341" s="13"/>
    </row>
    <row r="4342" ht="15.75" hidden="1" customHeight="1">
      <c r="A4342" s="13"/>
      <c r="B4342" s="13"/>
      <c r="C4342" s="13"/>
      <c r="D4342" s="13"/>
      <c r="E4342" s="13"/>
      <c r="F4342" s="13"/>
      <c r="G4342" s="13"/>
      <c r="H4342" s="13"/>
      <c r="I4342" s="13"/>
      <c r="J4342" s="13"/>
      <c r="K4342" s="13"/>
      <c r="L4342" s="13"/>
      <c r="M4342" s="13"/>
      <c r="N4342" s="13"/>
    </row>
    <row r="4343" ht="15.75" hidden="1" customHeight="1">
      <c r="A4343" s="13"/>
      <c r="B4343" s="13"/>
      <c r="C4343" s="13"/>
      <c r="D4343" s="13"/>
      <c r="E4343" s="13"/>
      <c r="F4343" s="13"/>
      <c r="G4343" s="13"/>
      <c r="H4343" s="13"/>
      <c r="I4343" s="13"/>
      <c r="J4343" s="13"/>
      <c r="K4343" s="13"/>
      <c r="L4343" s="13"/>
      <c r="M4343" s="13"/>
      <c r="N4343" s="13"/>
    </row>
    <row r="4344" ht="15.75" hidden="1" customHeight="1">
      <c r="A4344" s="13"/>
      <c r="B4344" s="13"/>
      <c r="C4344" s="13"/>
      <c r="D4344" s="13"/>
      <c r="E4344" s="13"/>
      <c r="F4344" s="13"/>
      <c r="G4344" s="13"/>
      <c r="H4344" s="13"/>
      <c r="I4344" s="13"/>
      <c r="J4344" s="13"/>
      <c r="K4344" s="13"/>
      <c r="L4344" s="13"/>
      <c r="M4344" s="13"/>
      <c r="N4344" s="13"/>
    </row>
    <row r="4345" ht="15.75" hidden="1" customHeight="1">
      <c r="A4345" s="13"/>
      <c r="B4345" s="13"/>
      <c r="C4345" s="13"/>
      <c r="D4345" s="13"/>
      <c r="E4345" s="13"/>
      <c r="F4345" s="13"/>
      <c r="G4345" s="13"/>
      <c r="H4345" s="13"/>
      <c r="I4345" s="13"/>
      <c r="J4345" s="13"/>
      <c r="K4345" s="13"/>
      <c r="L4345" s="13"/>
      <c r="M4345" s="13"/>
      <c r="N4345" s="13"/>
    </row>
    <row r="4346" ht="15.75" hidden="1" customHeight="1">
      <c r="A4346" s="13"/>
      <c r="B4346" s="13"/>
      <c r="C4346" s="13"/>
      <c r="D4346" s="13"/>
      <c r="E4346" s="13"/>
      <c r="F4346" s="13"/>
      <c r="G4346" s="13"/>
      <c r="H4346" s="13"/>
      <c r="I4346" s="13"/>
      <c r="J4346" s="13"/>
      <c r="K4346" s="13"/>
      <c r="L4346" s="13"/>
      <c r="M4346" s="13"/>
      <c r="N4346" s="13"/>
    </row>
    <row r="4347" ht="15.75" hidden="1" customHeight="1">
      <c r="A4347" s="13"/>
      <c r="B4347" s="13"/>
      <c r="C4347" s="13"/>
      <c r="D4347" s="13"/>
      <c r="E4347" s="13"/>
      <c r="F4347" s="13"/>
      <c r="G4347" s="13"/>
      <c r="H4347" s="13"/>
      <c r="I4347" s="13"/>
      <c r="J4347" s="13"/>
      <c r="K4347" s="13"/>
      <c r="L4347" s="13"/>
      <c r="M4347" s="13"/>
      <c r="N4347" s="13"/>
    </row>
    <row r="4348" ht="15.75" hidden="1" customHeight="1">
      <c r="A4348" s="13"/>
      <c r="B4348" s="13"/>
      <c r="C4348" s="13"/>
      <c r="D4348" s="13"/>
      <c r="E4348" s="13"/>
      <c r="F4348" s="13"/>
      <c r="G4348" s="13"/>
      <c r="H4348" s="13"/>
      <c r="I4348" s="13"/>
      <c r="J4348" s="13"/>
      <c r="K4348" s="13"/>
      <c r="L4348" s="13"/>
      <c r="M4348" s="13"/>
      <c r="N4348" s="13"/>
    </row>
    <row r="4349" ht="15.75" hidden="1" customHeight="1">
      <c r="A4349" s="13"/>
      <c r="B4349" s="13"/>
      <c r="C4349" s="13"/>
      <c r="D4349" s="13"/>
      <c r="E4349" s="13"/>
      <c r="F4349" s="13"/>
      <c r="G4349" s="13"/>
      <c r="H4349" s="13"/>
      <c r="I4349" s="13"/>
      <c r="J4349" s="13"/>
      <c r="K4349" s="13"/>
      <c r="L4349" s="13"/>
      <c r="M4349" s="13"/>
      <c r="N4349" s="13"/>
    </row>
    <row r="4350" ht="15.75" hidden="1" customHeight="1">
      <c r="A4350" s="13"/>
      <c r="B4350" s="13"/>
      <c r="C4350" s="13"/>
      <c r="D4350" s="13"/>
      <c r="E4350" s="13"/>
      <c r="F4350" s="13"/>
      <c r="G4350" s="13"/>
      <c r="H4350" s="13"/>
      <c r="I4350" s="13"/>
      <c r="J4350" s="13"/>
      <c r="K4350" s="13"/>
      <c r="L4350" s="13"/>
      <c r="M4350" s="13"/>
      <c r="N4350" s="13"/>
    </row>
    <row r="4351" ht="15.75" hidden="1" customHeight="1">
      <c r="A4351" s="13"/>
      <c r="B4351" s="13"/>
      <c r="C4351" s="13"/>
      <c r="D4351" s="13"/>
      <c r="E4351" s="13"/>
      <c r="F4351" s="13"/>
      <c r="G4351" s="13"/>
      <c r="H4351" s="13"/>
      <c r="I4351" s="13"/>
      <c r="J4351" s="13"/>
      <c r="K4351" s="13"/>
      <c r="L4351" s="13"/>
      <c r="M4351" s="13"/>
      <c r="N4351" s="13"/>
    </row>
    <row r="4352" ht="15.75" hidden="1" customHeight="1">
      <c r="A4352" s="13"/>
      <c r="B4352" s="13"/>
      <c r="C4352" s="13"/>
      <c r="D4352" s="13"/>
      <c r="E4352" s="13"/>
      <c r="F4352" s="13"/>
      <c r="G4352" s="13"/>
      <c r="H4352" s="13"/>
      <c r="I4352" s="13"/>
      <c r="J4352" s="13"/>
      <c r="K4352" s="13"/>
      <c r="L4352" s="13"/>
      <c r="M4352" s="13"/>
      <c r="N4352" s="13"/>
    </row>
    <row r="4353" ht="15.75" hidden="1" customHeight="1">
      <c r="A4353" s="13"/>
      <c r="B4353" s="13"/>
      <c r="C4353" s="13"/>
      <c r="D4353" s="13"/>
      <c r="E4353" s="13"/>
      <c r="F4353" s="13"/>
      <c r="G4353" s="13"/>
      <c r="H4353" s="13"/>
      <c r="I4353" s="13"/>
      <c r="J4353" s="13"/>
      <c r="K4353" s="13"/>
      <c r="L4353" s="13"/>
      <c r="M4353" s="13"/>
      <c r="N4353" s="13"/>
    </row>
    <row r="4354" ht="15.75" hidden="1" customHeight="1">
      <c r="A4354" s="13"/>
      <c r="B4354" s="13"/>
      <c r="C4354" s="13"/>
      <c r="D4354" s="13"/>
      <c r="E4354" s="13"/>
      <c r="F4354" s="13"/>
      <c r="G4354" s="13"/>
      <c r="H4354" s="13"/>
      <c r="I4354" s="13"/>
      <c r="J4354" s="13"/>
      <c r="K4354" s="13"/>
      <c r="L4354" s="13"/>
      <c r="M4354" s="13"/>
      <c r="N4354" s="13"/>
    </row>
    <row r="4355" ht="15.75" hidden="1" customHeight="1">
      <c r="A4355" s="13"/>
      <c r="B4355" s="13"/>
      <c r="C4355" s="13"/>
      <c r="D4355" s="13"/>
      <c r="E4355" s="13"/>
      <c r="F4355" s="13"/>
      <c r="G4355" s="13"/>
      <c r="H4355" s="13"/>
      <c r="I4355" s="13"/>
      <c r="J4355" s="13"/>
      <c r="K4355" s="13"/>
      <c r="L4355" s="13"/>
      <c r="M4355" s="13"/>
      <c r="N4355" s="13"/>
    </row>
    <row r="4356" ht="15.75" hidden="1" customHeight="1">
      <c r="A4356" s="13"/>
      <c r="B4356" s="13"/>
      <c r="C4356" s="13"/>
      <c r="D4356" s="13"/>
      <c r="E4356" s="13"/>
      <c r="F4356" s="13"/>
      <c r="G4356" s="13"/>
      <c r="H4356" s="13"/>
      <c r="I4356" s="13"/>
      <c r="J4356" s="13"/>
      <c r="K4356" s="13"/>
      <c r="L4356" s="13"/>
      <c r="M4356" s="13"/>
      <c r="N4356" s="13"/>
    </row>
    <row r="4357" ht="15.75" hidden="1" customHeight="1">
      <c r="A4357" s="13"/>
      <c r="B4357" s="13"/>
      <c r="C4357" s="13"/>
      <c r="D4357" s="13"/>
      <c r="E4357" s="13"/>
      <c r="F4357" s="13"/>
      <c r="G4357" s="13"/>
      <c r="H4357" s="13"/>
      <c r="I4357" s="13"/>
      <c r="J4357" s="13"/>
      <c r="K4357" s="13"/>
      <c r="L4357" s="13"/>
      <c r="M4357" s="13"/>
      <c r="N4357" s="13"/>
    </row>
    <row r="4358" ht="15.75" hidden="1" customHeight="1">
      <c r="A4358" s="13"/>
      <c r="B4358" s="13"/>
      <c r="C4358" s="13"/>
      <c r="D4358" s="13"/>
      <c r="E4358" s="13"/>
      <c r="F4358" s="13"/>
      <c r="G4358" s="13"/>
      <c r="H4358" s="13"/>
      <c r="I4358" s="13"/>
      <c r="J4358" s="13"/>
      <c r="K4358" s="13"/>
      <c r="L4358" s="13"/>
      <c r="M4358" s="13"/>
      <c r="N4358" s="13"/>
    </row>
    <row r="4359" ht="15.75" hidden="1" customHeight="1">
      <c r="A4359" s="13"/>
      <c r="B4359" s="13"/>
      <c r="C4359" s="13"/>
      <c r="D4359" s="13"/>
      <c r="E4359" s="13"/>
      <c r="F4359" s="13"/>
      <c r="G4359" s="13"/>
      <c r="H4359" s="13"/>
      <c r="I4359" s="13"/>
      <c r="J4359" s="13"/>
      <c r="K4359" s="13"/>
      <c r="L4359" s="13"/>
      <c r="M4359" s="13"/>
      <c r="N4359" s="13"/>
    </row>
    <row r="4360" ht="15.75" hidden="1" customHeight="1">
      <c r="A4360" s="13"/>
      <c r="B4360" s="13"/>
      <c r="C4360" s="13"/>
      <c r="D4360" s="13"/>
      <c r="E4360" s="13"/>
      <c r="F4360" s="13"/>
      <c r="G4360" s="13"/>
      <c r="H4360" s="13"/>
      <c r="I4360" s="13"/>
      <c r="J4360" s="13"/>
      <c r="K4360" s="13"/>
      <c r="L4360" s="13"/>
      <c r="M4360" s="13"/>
      <c r="N4360" s="13"/>
    </row>
    <row r="4361" ht="15.75" hidden="1" customHeight="1">
      <c r="A4361" s="13"/>
      <c r="B4361" s="13"/>
      <c r="C4361" s="13"/>
      <c r="D4361" s="13"/>
      <c r="E4361" s="13"/>
      <c r="F4361" s="13"/>
      <c r="G4361" s="13"/>
      <c r="H4361" s="13"/>
      <c r="I4361" s="13"/>
      <c r="J4361" s="13"/>
      <c r="K4361" s="13"/>
      <c r="L4361" s="13"/>
      <c r="M4361" s="13"/>
      <c r="N4361" s="13"/>
    </row>
    <row r="4362" ht="15.75" hidden="1" customHeight="1">
      <c r="A4362" s="13"/>
      <c r="B4362" s="13"/>
      <c r="C4362" s="13"/>
      <c r="D4362" s="13"/>
      <c r="E4362" s="13"/>
      <c r="F4362" s="13"/>
      <c r="G4362" s="13"/>
      <c r="H4362" s="13"/>
      <c r="I4362" s="13"/>
      <c r="J4362" s="13"/>
      <c r="K4362" s="13"/>
      <c r="L4362" s="13"/>
      <c r="M4362" s="13"/>
      <c r="N4362" s="13"/>
    </row>
    <row r="4363" ht="15.75" hidden="1" customHeight="1">
      <c r="A4363" s="13"/>
      <c r="B4363" s="13"/>
      <c r="C4363" s="13"/>
      <c r="D4363" s="13"/>
      <c r="E4363" s="13"/>
      <c r="F4363" s="13"/>
      <c r="G4363" s="13"/>
      <c r="H4363" s="13"/>
      <c r="I4363" s="13"/>
      <c r="J4363" s="13"/>
      <c r="K4363" s="13"/>
      <c r="L4363" s="13"/>
      <c r="M4363" s="13"/>
      <c r="N4363" s="13"/>
    </row>
    <row r="4364" ht="15.75" hidden="1" customHeight="1">
      <c r="A4364" s="13"/>
      <c r="B4364" s="13"/>
      <c r="C4364" s="13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</row>
    <row r="4365" ht="15.75" hidden="1" customHeight="1">
      <c r="A4365" s="13"/>
      <c r="B4365" s="13"/>
      <c r="C4365" s="13"/>
      <c r="D4365" s="13"/>
      <c r="E4365" s="13"/>
      <c r="F4365" s="13"/>
      <c r="G4365" s="13"/>
      <c r="H4365" s="13"/>
      <c r="I4365" s="13"/>
      <c r="J4365" s="13"/>
      <c r="K4365" s="13"/>
      <c r="L4365" s="13"/>
      <c r="M4365" s="13"/>
      <c r="N4365" s="13"/>
    </row>
    <row r="4366" ht="15.75" hidden="1" customHeight="1">
      <c r="A4366" s="13"/>
      <c r="B4366" s="13"/>
      <c r="C4366" s="13"/>
      <c r="D4366" s="13"/>
      <c r="E4366" s="13"/>
      <c r="F4366" s="13"/>
      <c r="G4366" s="13"/>
      <c r="H4366" s="13"/>
      <c r="I4366" s="13"/>
      <c r="J4366" s="13"/>
      <c r="K4366" s="13"/>
      <c r="L4366" s="13"/>
      <c r="M4366" s="13"/>
      <c r="N4366" s="13"/>
    </row>
    <row r="4367" ht="15.75" hidden="1" customHeight="1">
      <c r="A4367" s="13"/>
      <c r="B4367" s="13"/>
      <c r="C4367" s="13"/>
      <c r="D4367" s="13"/>
      <c r="E4367" s="13"/>
      <c r="F4367" s="13"/>
      <c r="G4367" s="13"/>
      <c r="H4367" s="13"/>
      <c r="I4367" s="13"/>
      <c r="J4367" s="13"/>
      <c r="K4367" s="13"/>
      <c r="L4367" s="13"/>
      <c r="M4367" s="13"/>
      <c r="N4367" s="13"/>
    </row>
    <row r="4368" ht="15.75" hidden="1" customHeight="1">
      <c r="A4368" s="13"/>
      <c r="B4368" s="13"/>
      <c r="C4368" s="13"/>
      <c r="D4368" s="13"/>
      <c r="E4368" s="13"/>
      <c r="F4368" s="13"/>
      <c r="G4368" s="13"/>
      <c r="H4368" s="13"/>
      <c r="I4368" s="13"/>
      <c r="J4368" s="13"/>
      <c r="K4368" s="13"/>
      <c r="L4368" s="13"/>
      <c r="M4368" s="13"/>
      <c r="N4368" s="13"/>
    </row>
    <row r="4369" ht="15.75" hidden="1" customHeight="1">
      <c r="A4369" s="13"/>
      <c r="B4369" s="13"/>
      <c r="C4369" s="13"/>
      <c r="D4369" s="13"/>
      <c r="E4369" s="13"/>
      <c r="F4369" s="13"/>
      <c r="G4369" s="13"/>
      <c r="H4369" s="13"/>
      <c r="I4369" s="13"/>
      <c r="J4369" s="13"/>
      <c r="K4369" s="13"/>
      <c r="L4369" s="13"/>
      <c r="M4369" s="13"/>
      <c r="N4369" s="13"/>
    </row>
    <row r="4370" ht="15.75" hidden="1" customHeight="1">
      <c r="A4370" s="13"/>
      <c r="B4370" s="13"/>
      <c r="C4370" s="13"/>
      <c r="D4370" s="13"/>
      <c r="E4370" s="13"/>
      <c r="F4370" s="13"/>
      <c r="G4370" s="13"/>
      <c r="H4370" s="13"/>
      <c r="I4370" s="13"/>
      <c r="J4370" s="13"/>
      <c r="K4370" s="13"/>
      <c r="L4370" s="13"/>
      <c r="M4370" s="13"/>
      <c r="N4370" s="13"/>
    </row>
    <row r="4371" ht="15.75" hidden="1" customHeight="1">
      <c r="A4371" s="13"/>
      <c r="B4371" s="13"/>
      <c r="C4371" s="13"/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</row>
    <row r="4372" ht="15.75" hidden="1" customHeight="1">
      <c r="A4372" s="13"/>
      <c r="B4372" s="13"/>
      <c r="C4372" s="13"/>
      <c r="D4372" s="13"/>
      <c r="E4372" s="13"/>
      <c r="F4372" s="13"/>
      <c r="G4372" s="13"/>
      <c r="H4372" s="13"/>
      <c r="I4372" s="13"/>
      <c r="J4372" s="13"/>
      <c r="K4372" s="13"/>
      <c r="L4372" s="13"/>
      <c r="M4372" s="13"/>
      <c r="N4372" s="13"/>
    </row>
    <row r="4373" ht="15.75" hidden="1" customHeight="1">
      <c r="A4373" s="13"/>
      <c r="B4373" s="13"/>
      <c r="C4373" s="13"/>
      <c r="D4373" s="13"/>
      <c r="E4373" s="13"/>
      <c r="F4373" s="13"/>
      <c r="G4373" s="13"/>
      <c r="H4373" s="13"/>
      <c r="I4373" s="13"/>
      <c r="J4373" s="13"/>
      <c r="K4373" s="13"/>
      <c r="L4373" s="13"/>
      <c r="M4373" s="13"/>
      <c r="N4373" s="13"/>
    </row>
    <row r="4374" ht="15.75" hidden="1" customHeight="1">
      <c r="A4374" s="13"/>
      <c r="B4374" s="13"/>
      <c r="C4374" s="13"/>
      <c r="D4374" s="13"/>
      <c r="E4374" s="13"/>
      <c r="F4374" s="13"/>
      <c r="G4374" s="13"/>
      <c r="H4374" s="13"/>
      <c r="I4374" s="13"/>
      <c r="J4374" s="13"/>
      <c r="K4374" s="13"/>
      <c r="L4374" s="13"/>
      <c r="M4374" s="13"/>
      <c r="N4374" s="13"/>
    </row>
    <row r="4375" ht="15.75" hidden="1" customHeight="1">
      <c r="A4375" s="13"/>
      <c r="B4375" s="13"/>
      <c r="C4375" s="13"/>
      <c r="D4375" s="13"/>
      <c r="E4375" s="13"/>
      <c r="F4375" s="13"/>
      <c r="G4375" s="13"/>
      <c r="H4375" s="13"/>
      <c r="I4375" s="13"/>
      <c r="J4375" s="13"/>
      <c r="K4375" s="13"/>
      <c r="L4375" s="13"/>
      <c r="M4375" s="13"/>
      <c r="N4375" s="13"/>
    </row>
    <row r="4376" ht="15.75" hidden="1" customHeight="1">
      <c r="A4376" s="13"/>
      <c r="B4376" s="13"/>
      <c r="C4376" s="13"/>
      <c r="D4376" s="13"/>
      <c r="E4376" s="13"/>
      <c r="F4376" s="13"/>
      <c r="G4376" s="13"/>
      <c r="H4376" s="13"/>
      <c r="I4376" s="13"/>
      <c r="J4376" s="13"/>
      <c r="K4376" s="13"/>
      <c r="L4376" s="13"/>
      <c r="M4376" s="13"/>
      <c r="N4376" s="13"/>
    </row>
    <row r="4377" ht="15.75" hidden="1" customHeight="1">
      <c r="A4377" s="13"/>
      <c r="B4377" s="13"/>
      <c r="C4377" s="13"/>
      <c r="D4377" s="13"/>
      <c r="E4377" s="13"/>
      <c r="F4377" s="13"/>
      <c r="G4377" s="13"/>
      <c r="H4377" s="13"/>
      <c r="I4377" s="13"/>
      <c r="J4377" s="13"/>
      <c r="K4377" s="13"/>
      <c r="L4377" s="13"/>
      <c r="M4377" s="13"/>
      <c r="N4377" s="13"/>
    </row>
    <row r="4378" ht="15.75" hidden="1" customHeight="1">
      <c r="A4378" s="13"/>
      <c r="B4378" s="13"/>
      <c r="C4378" s="13"/>
      <c r="D4378" s="13"/>
      <c r="E4378" s="13"/>
      <c r="F4378" s="13"/>
      <c r="G4378" s="13"/>
      <c r="H4378" s="13"/>
      <c r="I4378" s="13"/>
      <c r="J4378" s="13"/>
      <c r="K4378" s="13"/>
      <c r="L4378" s="13"/>
      <c r="M4378" s="13"/>
      <c r="N4378" s="13"/>
    </row>
    <row r="4379" ht="15.75" hidden="1" customHeight="1">
      <c r="A4379" s="13"/>
      <c r="B4379" s="13"/>
      <c r="C4379" s="13"/>
      <c r="D4379" s="13"/>
      <c r="E4379" s="13"/>
      <c r="F4379" s="13"/>
      <c r="G4379" s="13"/>
      <c r="H4379" s="13"/>
      <c r="I4379" s="13"/>
      <c r="J4379" s="13"/>
      <c r="K4379" s="13"/>
      <c r="L4379" s="13"/>
      <c r="M4379" s="13"/>
      <c r="N4379" s="13"/>
    </row>
    <row r="4380" ht="15.75" hidden="1" customHeight="1">
      <c r="A4380" s="13"/>
      <c r="B4380" s="13"/>
      <c r="C4380" s="13"/>
      <c r="D4380" s="13"/>
      <c r="E4380" s="13"/>
      <c r="F4380" s="13"/>
      <c r="G4380" s="13"/>
      <c r="H4380" s="13"/>
      <c r="I4380" s="13"/>
      <c r="J4380" s="13"/>
      <c r="K4380" s="13"/>
      <c r="L4380" s="13"/>
      <c r="M4380" s="13"/>
      <c r="N4380" s="13"/>
    </row>
    <row r="4381" ht="15.75" hidden="1" customHeight="1">
      <c r="A4381" s="13"/>
      <c r="B4381" s="13"/>
      <c r="C4381" s="13"/>
      <c r="D4381" s="13"/>
      <c r="E4381" s="13"/>
      <c r="F4381" s="13"/>
      <c r="G4381" s="13"/>
      <c r="H4381" s="13"/>
      <c r="I4381" s="13"/>
      <c r="J4381" s="13"/>
      <c r="K4381" s="13"/>
      <c r="L4381" s="13"/>
      <c r="M4381" s="13"/>
      <c r="N4381" s="13"/>
    </row>
    <row r="4382" ht="15.75" hidden="1" customHeight="1">
      <c r="A4382" s="13"/>
      <c r="B4382" s="13"/>
      <c r="C4382" s="13"/>
      <c r="D4382" s="13"/>
      <c r="E4382" s="13"/>
      <c r="F4382" s="13"/>
      <c r="G4382" s="13"/>
      <c r="H4382" s="13"/>
      <c r="I4382" s="13"/>
      <c r="J4382" s="13"/>
      <c r="K4382" s="13"/>
      <c r="L4382" s="13"/>
      <c r="M4382" s="13"/>
      <c r="N4382" s="13"/>
    </row>
    <row r="4383" ht="15.75" hidden="1" customHeight="1">
      <c r="A4383" s="13"/>
      <c r="B4383" s="13"/>
      <c r="C4383" s="13"/>
      <c r="D4383" s="13"/>
      <c r="E4383" s="13"/>
      <c r="F4383" s="13"/>
      <c r="G4383" s="13"/>
      <c r="H4383" s="13"/>
      <c r="I4383" s="13"/>
      <c r="J4383" s="13"/>
      <c r="K4383" s="13"/>
      <c r="L4383" s="13"/>
      <c r="M4383" s="13"/>
      <c r="N4383" s="13"/>
    </row>
    <row r="4384" ht="15.75" hidden="1" customHeight="1">
      <c r="A4384" s="13"/>
      <c r="B4384" s="13"/>
      <c r="C4384" s="13"/>
      <c r="D4384" s="13"/>
      <c r="E4384" s="13"/>
      <c r="F4384" s="13"/>
      <c r="G4384" s="13"/>
      <c r="H4384" s="13"/>
      <c r="I4384" s="13"/>
      <c r="J4384" s="13"/>
      <c r="K4384" s="13"/>
      <c r="L4384" s="13"/>
      <c r="M4384" s="13"/>
      <c r="N4384" s="13"/>
    </row>
    <row r="4385" ht="15.75" hidden="1" customHeight="1">
      <c r="A4385" s="13"/>
      <c r="B4385" s="13"/>
      <c r="C4385" s="13"/>
      <c r="D4385" s="13"/>
      <c r="E4385" s="13"/>
      <c r="F4385" s="13"/>
      <c r="G4385" s="13"/>
      <c r="H4385" s="13"/>
      <c r="I4385" s="13"/>
      <c r="J4385" s="13"/>
      <c r="K4385" s="13"/>
      <c r="L4385" s="13"/>
      <c r="M4385" s="13"/>
      <c r="N4385" s="13"/>
    </row>
    <row r="4386" ht="15.75" hidden="1" customHeight="1">
      <c r="A4386" s="13"/>
      <c r="B4386" s="13"/>
      <c r="C4386" s="13"/>
      <c r="D4386" s="13"/>
      <c r="E4386" s="13"/>
      <c r="F4386" s="13"/>
      <c r="G4386" s="13"/>
      <c r="H4386" s="13"/>
      <c r="I4386" s="13"/>
      <c r="J4386" s="13"/>
      <c r="K4386" s="13"/>
      <c r="L4386" s="13"/>
      <c r="M4386" s="13"/>
      <c r="N4386" s="13"/>
    </row>
    <row r="4387" ht="15.75" hidden="1" customHeight="1">
      <c r="A4387" s="13"/>
      <c r="B4387" s="13"/>
      <c r="C4387" s="13"/>
      <c r="D4387" s="13"/>
      <c r="E4387" s="13"/>
      <c r="F4387" s="13"/>
      <c r="G4387" s="13"/>
      <c r="H4387" s="13"/>
      <c r="I4387" s="13"/>
      <c r="J4387" s="13"/>
      <c r="K4387" s="13"/>
      <c r="L4387" s="13"/>
      <c r="M4387" s="13"/>
      <c r="N4387" s="13"/>
    </row>
    <row r="4388" ht="15.75" hidden="1" customHeight="1">
      <c r="A4388" s="13"/>
      <c r="B4388" s="13"/>
      <c r="C4388" s="13"/>
      <c r="D4388" s="13"/>
      <c r="E4388" s="13"/>
      <c r="F4388" s="13"/>
      <c r="G4388" s="13"/>
      <c r="H4388" s="13"/>
      <c r="I4388" s="13"/>
      <c r="J4388" s="13"/>
      <c r="K4388" s="13"/>
      <c r="L4388" s="13"/>
      <c r="M4388" s="13"/>
      <c r="N4388" s="13"/>
    </row>
    <row r="4389" ht="15.75" hidden="1" customHeight="1">
      <c r="A4389" s="13"/>
      <c r="B4389" s="13"/>
      <c r="C4389" s="13"/>
      <c r="D4389" s="13"/>
      <c r="E4389" s="13"/>
      <c r="F4389" s="13"/>
      <c r="G4389" s="13"/>
      <c r="H4389" s="13"/>
      <c r="I4389" s="13"/>
      <c r="J4389" s="13"/>
      <c r="K4389" s="13"/>
      <c r="L4389" s="13"/>
      <c r="M4389" s="13"/>
      <c r="N4389" s="13"/>
    </row>
    <row r="4390" ht="15.75" hidden="1" customHeight="1">
      <c r="A4390" s="13"/>
      <c r="B4390" s="13"/>
      <c r="C4390" s="13"/>
      <c r="D4390" s="13"/>
      <c r="E4390" s="13"/>
      <c r="F4390" s="13"/>
      <c r="G4390" s="13"/>
      <c r="H4390" s="13"/>
      <c r="I4390" s="13"/>
      <c r="J4390" s="13"/>
      <c r="K4390" s="13"/>
      <c r="L4390" s="13"/>
      <c r="M4390" s="13"/>
      <c r="N4390" s="13"/>
    </row>
    <row r="4391" ht="15.75" hidden="1" customHeight="1">
      <c r="A4391" s="13"/>
      <c r="B4391" s="13"/>
      <c r="C4391" s="13"/>
      <c r="D4391" s="13"/>
      <c r="E4391" s="13"/>
      <c r="F4391" s="13"/>
      <c r="G4391" s="13"/>
      <c r="H4391" s="13"/>
      <c r="I4391" s="13"/>
      <c r="J4391" s="13"/>
      <c r="K4391" s="13"/>
      <c r="L4391" s="13"/>
      <c r="M4391" s="13"/>
      <c r="N4391" s="13"/>
    </row>
    <row r="4392" ht="15.75" hidden="1" customHeight="1">
      <c r="A4392" s="13"/>
      <c r="B4392" s="13"/>
      <c r="C4392" s="13"/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</row>
    <row r="4393" ht="15.75" hidden="1" customHeight="1">
      <c r="A4393" s="13"/>
      <c r="B4393" s="13"/>
      <c r="C4393" s="13"/>
      <c r="D4393" s="13"/>
      <c r="E4393" s="13"/>
      <c r="F4393" s="13"/>
      <c r="G4393" s="13"/>
      <c r="H4393" s="13"/>
      <c r="I4393" s="13"/>
      <c r="J4393" s="13"/>
      <c r="K4393" s="13"/>
      <c r="L4393" s="13"/>
      <c r="M4393" s="13"/>
      <c r="N4393" s="13"/>
    </row>
    <row r="4394" ht="15.75" hidden="1" customHeight="1">
      <c r="A4394" s="13"/>
      <c r="B4394" s="13"/>
      <c r="C4394" s="13"/>
      <c r="D4394" s="13"/>
      <c r="E4394" s="13"/>
      <c r="F4394" s="13"/>
      <c r="G4394" s="13"/>
      <c r="H4394" s="13"/>
      <c r="I4394" s="13"/>
      <c r="J4394" s="13"/>
      <c r="K4394" s="13"/>
      <c r="L4394" s="13"/>
      <c r="M4394" s="13"/>
      <c r="N4394" s="13"/>
    </row>
    <row r="4395" ht="15.75" hidden="1" customHeight="1">
      <c r="A4395" s="13"/>
      <c r="B4395" s="13"/>
      <c r="C4395" s="13"/>
      <c r="D4395" s="13"/>
      <c r="E4395" s="13"/>
      <c r="F4395" s="13"/>
      <c r="G4395" s="13"/>
      <c r="H4395" s="13"/>
      <c r="I4395" s="13"/>
      <c r="J4395" s="13"/>
      <c r="K4395" s="13"/>
      <c r="L4395" s="13"/>
      <c r="M4395" s="13"/>
      <c r="N4395" s="13"/>
    </row>
    <row r="4396" ht="15.75" hidden="1" customHeight="1">
      <c r="A4396" s="13"/>
      <c r="B4396" s="13"/>
      <c r="C4396" s="13"/>
      <c r="D4396" s="13"/>
      <c r="E4396" s="13"/>
      <c r="F4396" s="13"/>
      <c r="G4396" s="13"/>
      <c r="H4396" s="13"/>
      <c r="I4396" s="13"/>
      <c r="J4396" s="13"/>
      <c r="K4396" s="13"/>
      <c r="L4396" s="13"/>
      <c r="M4396" s="13"/>
      <c r="N4396" s="13"/>
    </row>
    <row r="4397" ht="15.75" hidden="1" customHeight="1">
      <c r="A4397" s="13"/>
      <c r="B4397" s="13"/>
      <c r="C4397" s="13"/>
      <c r="D4397" s="13"/>
      <c r="E4397" s="13"/>
      <c r="F4397" s="13"/>
      <c r="G4397" s="13"/>
      <c r="H4397" s="13"/>
      <c r="I4397" s="13"/>
      <c r="J4397" s="13"/>
      <c r="K4397" s="13"/>
      <c r="L4397" s="13"/>
      <c r="M4397" s="13"/>
      <c r="N4397" s="13"/>
    </row>
    <row r="4398" ht="15.75" hidden="1" customHeight="1">
      <c r="A4398" s="13"/>
      <c r="B4398" s="13"/>
      <c r="C4398" s="13"/>
      <c r="D4398" s="13"/>
      <c r="E4398" s="13"/>
      <c r="F4398" s="13"/>
      <c r="G4398" s="13"/>
      <c r="H4398" s="13"/>
      <c r="I4398" s="13"/>
      <c r="J4398" s="13"/>
      <c r="K4398" s="13"/>
      <c r="L4398" s="13"/>
      <c r="M4398" s="13"/>
      <c r="N4398" s="13"/>
    </row>
    <row r="4399" ht="15.75" hidden="1" customHeight="1">
      <c r="A4399" s="13"/>
      <c r="B4399" s="13"/>
      <c r="C4399" s="13"/>
      <c r="D4399" s="13"/>
      <c r="E4399" s="13"/>
      <c r="F4399" s="13"/>
      <c r="G4399" s="13"/>
      <c r="H4399" s="13"/>
      <c r="I4399" s="13"/>
      <c r="J4399" s="13"/>
      <c r="K4399" s="13"/>
      <c r="L4399" s="13"/>
      <c r="M4399" s="13"/>
      <c r="N4399" s="13"/>
    </row>
    <row r="4400" ht="15.75" hidden="1" customHeight="1">
      <c r="A4400" s="13"/>
      <c r="B4400" s="13"/>
      <c r="C4400" s="13"/>
      <c r="D4400" s="13"/>
      <c r="E4400" s="13"/>
      <c r="F4400" s="13"/>
      <c r="G4400" s="13"/>
      <c r="H4400" s="13"/>
      <c r="I4400" s="13"/>
      <c r="J4400" s="13"/>
      <c r="K4400" s="13"/>
      <c r="L4400" s="13"/>
      <c r="M4400" s="13"/>
      <c r="N4400" s="13"/>
    </row>
    <row r="4401" ht="15.75" hidden="1" customHeight="1">
      <c r="A4401" s="13"/>
      <c r="B4401" s="13"/>
      <c r="C4401" s="13"/>
      <c r="D4401" s="13"/>
      <c r="E4401" s="13"/>
      <c r="F4401" s="13"/>
      <c r="G4401" s="13"/>
      <c r="H4401" s="13"/>
      <c r="I4401" s="13"/>
      <c r="J4401" s="13"/>
      <c r="K4401" s="13"/>
      <c r="L4401" s="13"/>
      <c r="M4401" s="13"/>
      <c r="N4401" s="13"/>
    </row>
    <row r="4402" ht="15.75" hidden="1" customHeight="1">
      <c r="A4402" s="13"/>
      <c r="B4402" s="13"/>
      <c r="C4402" s="13"/>
      <c r="D4402" s="13"/>
      <c r="E4402" s="13"/>
      <c r="F4402" s="13"/>
      <c r="G4402" s="13"/>
      <c r="H4402" s="13"/>
      <c r="I4402" s="13"/>
      <c r="J4402" s="13"/>
      <c r="K4402" s="13"/>
      <c r="L4402" s="13"/>
      <c r="M4402" s="13"/>
      <c r="N4402" s="13"/>
    </row>
    <row r="4403" ht="15.75" hidden="1" customHeight="1">
      <c r="A4403" s="13"/>
      <c r="B4403" s="13"/>
      <c r="C4403" s="13"/>
      <c r="D4403" s="13"/>
      <c r="E4403" s="13"/>
      <c r="F4403" s="13"/>
      <c r="G4403" s="13"/>
      <c r="H4403" s="13"/>
      <c r="I4403" s="13"/>
      <c r="J4403" s="13"/>
      <c r="K4403" s="13"/>
      <c r="L4403" s="13"/>
      <c r="M4403" s="13"/>
      <c r="N4403" s="13"/>
    </row>
    <row r="4404" ht="15.75" hidden="1" customHeight="1">
      <c r="A4404" s="13"/>
      <c r="B4404" s="13"/>
      <c r="C4404" s="13"/>
      <c r="D4404" s="13"/>
      <c r="E4404" s="13"/>
      <c r="F4404" s="13"/>
      <c r="G4404" s="13"/>
      <c r="H4404" s="13"/>
      <c r="I4404" s="13"/>
      <c r="J4404" s="13"/>
      <c r="K4404" s="13"/>
      <c r="L4404" s="13"/>
      <c r="M4404" s="13"/>
      <c r="N4404" s="13"/>
    </row>
    <row r="4405" ht="15.75" hidden="1" customHeight="1">
      <c r="A4405" s="13"/>
      <c r="B4405" s="13"/>
      <c r="C4405" s="13"/>
      <c r="D4405" s="13"/>
      <c r="E4405" s="13"/>
      <c r="F4405" s="13"/>
      <c r="G4405" s="13"/>
      <c r="H4405" s="13"/>
      <c r="I4405" s="13"/>
      <c r="J4405" s="13"/>
      <c r="K4405" s="13"/>
      <c r="L4405" s="13"/>
      <c r="M4405" s="13"/>
      <c r="N4405" s="13"/>
    </row>
    <row r="4406" ht="15.75" hidden="1" customHeight="1">
      <c r="A4406" s="13"/>
      <c r="B4406" s="13"/>
      <c r="C4406" s="13"/>
      <c r="D4406" s="13"/>
      <c r="E4406" s="13"/>
      <c r="F4406" s="13"/>
      <c r="G4406" s="13"/>
      <c r="H4406" s="13"/>
      <c r="I4406" s="13"/>
      <c r="J4406" s="13"/>
      <c r="K4406" s="13"/>
      <c r="L4406" s="13"/>
      <c r="M4406" s="13"/>
      <c r="N4406" s="13"/>
    </row>
    <row r="4407" ht="15.75" hidden="1" customHeight="1">
      <c r="A4407" s="13"/>
      <c r="B4407" s="13"/>
      <c r="C4407" s="13"/>
      <c r="D4407" s="13"/>
      <c r="E4407" s="13"/>
      <c r="F4407" s="13"/>
      <c r="G4407" s="13"/>
      <c r="H4407" s="13"/>
      <c r="I4407" s="13"/>
      <c r="J4407" s="13"/>
      <c r="K4407" s="13"/>
      <c r="L4407" s="13"/>
      <c r="M4407" s="13"/>
      <c r="N4407" s="13"/>
    </row>
    <row r="4408" ht="15.75" hidden="1" customHeight="1">
      <c r="A4408" s="13"/>
      <c r="B4408" s="13"/>
      <c r="C4408" s="13"/>
      <c r="D4408" s="13"/>
      <c r="E4408" s="13"/>
      <c r="F4408" s="13"/>
      <c r="G4408" s="13"/>
      <c r="H4408" s="13"/>
      <c r="I4408" s="13"/>
      <c r="J4408" s="13"/>
      <c r="K4408" s="13"/>
      <c r="L4408" s="13"/>
      <c r="M4408" s="13"/>
      <c r="N4408" s="13"/>
    </row>
    <row r="4409" ht="15.75" hidden="1" customHeight="1">
      <c r="A4409" s="13"/>
      <c r="B4409" s="13"/>
      <c r="C4409" s="13"/>
      <c r="D4409" s="13"/>
      <c r="E4409" s="13"/>
      <c r="F4409" s="13"/>
      <c r="G4409" s="13"/>
      <c r="H4409" s="13"/>
      <c r="I4409" s="13"/>
      <c r="J4409" s="13"/>
      <c r="K4409" s="13"/>
      <c r="L4409" s="13"/>
      <c r="M4409" s="13"/>
      <c r="N4409" s="13"/>
    </row>
    <row r="4410" ht="15.75" hidden="1" customHeight="1">
      <c r="A4410" s="13"/>
      <c r="B4410" s="13"/>
      <c r="C4410" s="13"/>
      <c r="D4410" s="13"/>
      <c r="E4410" s="13"/>
      <c r="F4410" s="13"/>
      <c r="G4410" s="13"/>
      <c r="H4410" s="13"/>
      <c r="I4410" s="13"/>
      <c r="J4410" s="13"/>
      <c r="K4410" s="13"/>
      <c r="L4410" s="13"/>
      <c r="M4410" s="13"/>
      <c r="N4410" s="13"/>
    </row>
    <row r="4411" ht="15.75" hidden="1" customHeight="1">
      <c r="A4411" s="13"/>
      <c r="B4411" s="13"/>
      <c r="C4411" s="13"/>
      <c r="D4411" s="13"/>
      <c r="E4411" s="13"/>
      <c r="F4411" s="13"/>
      <c r="G4411" s="13"/>
      <c r="H4411" s="13"/>
      <c r="I4411" s="13"/>
      <c r="J4411" s="13"/>
      <c r="K4411" s="13"/>
      <c r="L4411" s="13"/>
      <c r="M4411" s="13"/>
      <c r="N4411" s="13"/>
    </row>
    <row r="4412" ht="15.75" hidden="1" customHeight="1">
      <c r="A4412" s="13"/>
      <c r="B4412" s="13"/>
      <c r="C4412" s="13"/>
      <c r="D4412" s="13"/>
      <c r="E4412" s="13"/>
      <c r="F4412" s="13"/>
      <c r="G4412" s="13"/>
      <c r="H4412" s="13"/>
      <c r="I4412" s="13"/>
      <c r="J4412" s="13"/>
      <c r="K4412" s="13"/>
      <c r="L4412" s="13"/>
      <c r="M4412" s="13"/>
      <c r="N4412" s="13"/>
    </row>
    <row r="4413" ht="15.75" hidden="1" customHeight="1">
      <c r="A4413" s="13"/>
      <c r="B4413" s="13"/>
      <c r="C4413" s="13"/>
      <c r="D4413" s="13"/>
      <c r="E4413" s="13"/>
      <c r="F4413" s="13"/>
      <c r="G4413" s="13"/>
      <c r="H4413" s="13"/>
      <c r="I4413" s="13"/>
      <c r="J4413" s="13"/>
      <c r="K4413" s="13"/>
      <c r="L4413" s="13"/>
      <c r="M4413" s="13"/>
      <c r="N4413" s="13"/>
    </row>
    <row r="4414" ht="15.75" hidden="1" customHeight="1">
      <c r="A4414" s="13"/>
      <c r="B4414" s="13"/>
      <c r="C4414" s="13"/>
      <c r="D4414" s="13"/>
      <c r="E4414" s="13"/>
      <c r="F4414" s="13"/>
      <c r="G4414" s="13"/>
      <c r="H4414" s="13"/>
      <c r="I4414" s="13"/>
      <c r="J4414" s="13"/>
      <c r="K4414" s="13"/>
      <c r="L4414" s="13"/>
      <c r="M4414" s="13"/>
      <c r="N4414" s="13"/>
    </row>
    <row r="4415" ht="15.75" hidden="1" customHeight="1">
      <c r="A4415" s="13"/>
      <c r="B4415" s="13"/>
      <c r="C4415" s="13"/>
      <c r="D4415" s="13"/>
      <c r="E4415" s="13"/>
      <c r="F4415" s="13"/>
      <c r="G4415" s="13"/>
      <c r="H4415" s="13"/>
      <c r="I4415" s="13"/>
      <c r="J4415" s="13"/>
      <c r="K4415" s="13"/>
      <c r="L4415" s="13"/>
      <c r="M4415" s="13"/>
      <c r="N4415" s="13"/>
    </row>
    <row r="4416" ht="15.75" hidden="1" customHeight="1">
      <c r="A4416" s="13"/>
      <c r="B4416" s="13"/>
      <c r="C4416" s="13"/>
      <c r="D4416" s="13"/>
      <c r="E4416" s="13"/>
      <c r="F4416" s="13"/>
      <c r="G4416" s="13"/>
      <c r="H4416" s="13"/>
      <c r="I4416" s="13"/>
      <c r="J4416" s="13"/>
      <c r="K4416" s="13"/>
      <c r="L4416" s="13"/>
      <c r="M4416" s="13"/>
      <c r="N4416" s="13"/>
    </row>
    <row r="4417" ht="15.75" hidden="1" customHeight="1">
      <c r="A4417" s="13"/>
      <c r="B4417" s="13"/>
      <c r="C4417" s="13"/>
      <c r="D4417" s="13"/>
      <c r="E4417" s="13"/>
      <c r="F4417" s="13"/>
      <c r="G4417" s="13"/>
      <c r="H4417" s="13"/>
      <c r="I4417" s="13"/>
      <c r="J4417" s="13"/>
      <c r="K4417" s="13"/>
      <c r="L4417" s="13"/>
      <c r="M4417" s="13"/>
      <c r="N4417" s="13"/>
    </row>
    <row r="4418" ht="15.75" hidden="1" customHeight="1">
      <c r="A4418" s="13"/>
      <c r="B4418" s="13"/>
      <c r="C4418" s="13"/>
      <c r="D4418" s="13"/>
      <c r="E4418" s="13"/>
      <c r="F4418" s="13"/>
      <c r="G4418" s="13"/>
      <c r="H4418" s="13"/>
      <c r="I4418" s="13"/>
      <c r="J4418" s="13"/>
      <c r="K4418" s="13"/>
      <c r="L4418" s="13"/>
      <c r="M4418" s="13"/>
      <c r="N4418" s="13"/>
    </row>
    <row r="4419" ht="15.75" hidden="1" customHeight="1">
      <c r="A4419" s="13"/>
      <c r="B4419" s="13"/>
      <c r="C4419" s="13"/>
      <c r="D4419" s="13"/>
      <c r="E4419" s="13"/>
      <c r="F4419" s="13"/>
      <c r="G4419" s="13"/>
      <c r="H4419" s="13"/>
      <c r="I4419" s="13"/>
      <c r="J4419" s="13"/>
      <c r="K4419" s="13"/>
      <c r="L4419" s="13"/>
      <c r="M4419" s="13"/>
      <c r="N4419" s="13"/>
    </row>
    <row r="4420" ht="15.75" hidden="1" customHeight="1">
      <c r="A4420" s="13"/>
      <c r="B4420" s="13"/>
      <c r="C4420" s="13"/>
      <c r="D4420" s="13"/>
      <c r="E4420" s="13"/>
      <c r="F4420" s="13"/>
      <c r="G4420" s="13"/>
      <c r="H4420" s="13"/>
      <c r="I4420" s="13"/>
      <c r="J4420" s="13"/>
      <c r="K4420" s="13"/>
      <c r="L4420" s="13"/>
      <c r="M4420" s="13"/>
      <c r="N4420" s="13"/>
    </row>
    <row r="4421" ht="15.75" hidden="1" customHeight="1">
      <c r="A4421" s="13"/>
      <c r="B4421" s="13"/>
      <c r="C4421" s="13"/>
      <c r="D4421" s="13"/>
      <c r="E4421" s="13"/>
      <c r="F4421" s="13"/>
      <c r="G4421" s="13"/>
      <c r="H4421" s="13"/>
      <c r="I4421" s="13"/>
      <c r="J4421" s="13"/>
      <c r="K4421" s="13"/>
      <c r="L4421" s="13"/>
      <c r="M4421" s="13"/>
      <c r="N4421" s="13"/>
    </row>
    <row r="4422" ht="15.75" hidden="1" customHeight="1">
      <c r="A4422" s="13"/>
      <c r="B4422" s="13"/>
      <c r="C4422" s="13"/>
      <c r="D4422" s="13"/>
      <c r="E4422" s="13"/>
      <c r="F4422" s="13"/>
      <c r="G4422" s="13"/>
      <c r="H4422" s="13"/>
      <c r="I4422" s="13"/>
      <c r="J4422" s="13"/>
      <c r="K4422" s="13"/>
      <c r="L4422" s="13"/>
      <c r="M4422" s="13"/>
      <c r="N4422" s="13"/>
    </row>
    <row r="4423" ht="15.75" hidden="1" customHeight="1">
      <c r="A4423" s="13"/>
      <c r="B4423" s="13"/>
      <c r="C4423" s="13"/>
      <c r="D4423" s="13"/>
      <c r="E4423" s="13"/>
      <c r="F4423" s="13"/>
      <c r="G4423" s="13"/>
      <c r="H4423" s="13"/>
      <c r="I4423" s="13"/>
      <c r="J4423" s="13"/>
      <c r="K4423" s="13"/>
      <c r="L4423" s="13"/>
      <c r="M4423" s="13"/>
      <c r="N4423" s="13"/>
    </row>
    <row r="4424" ht="15.75" hidden="1" customHeight="1">
      <c r="A4424" s="13"/>
      <c r="B4424" s="13"/>
      <c r="C4424" s="13"/>
      <c r="D4424" s="13"/>
      <c r="E4424" s="13"/>
      <c r="F4424" s="13"/>
      <c r="G4424" s="13"/>
      <c r="H4424" s="13"/>
      <c r="I4424" s="13"/>
      <c r="J4424" s="13"/>
      <c r="K4424" s="13"/>
      <c r="L4424" s="13"/>
      <c r="M4424" s="13"/>
      <c r="N4424" s="13"/>
    </row>
    <row r="4425" ht="15.75" hidden="1" customHeight="1">
      <c r="A4425" s="13"/>
      <c r="B4425" s="13"/>
      <c r="C4425" s="13"/>
      <c r="D4425" s="13"/>
      <c r="E4425" s="13"/>
      <c r="F4425" s="13"/>
      <c r="G4425" s="13"/>
      <c r="H4425" s="13"/>
      <c r="I4425" s="13"/>
      <c r="J4425" s="13"/>
      <c r="K4425" s="13"/>
      <c r="L4425" s="13"/>
      <c r="M4425" s="13"/>
      <c r="N4425" s="13"/>
    </row>
    <row r="4426" ht="15.75" hidden="1" customHeight="1">
      <c r="A4426" s="13"/>
      <c r="B4426" s="13"/>
      <c r="C4426" s="13"/>
      <c r="D4426" s="13"/>
      <c r="E4426" s="13"/>
      <c r="F4426" s="13"/>
      <c r="G4426" s="13"/>
      <c r="H4426" s="13"/>
      <c r="I4426" s="13"/>
      <c r="J4426" s="13"/>
      <c r="K4426" s="13"/>
      <c r="L4426" s="13"/>
      <c r="M4426" s="13"/>
      <c r="N4426" s="13"/>
    </row>
    <row r="4427" ht="15.75" hidden="1" customHeight="1">
      <c r="A4427" s="13"/>
      <c r="B4427" s="13"/>
      <c r="C4427" s="13"/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</row>
    <row r="4428" ht="15.75" hidden="1" customHeight="1">
      <c r="A4428" s="13"/>
      <c r="B4428" s="13"/>
      <c r="C4428" s="13"/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</row>
    <row r="4429" ht="15.75" hidden="1" customHeight="1">
      <c r="A4429" s="13"/>
      <c r="B4429" s="13"/>
      <c r="C4429" s="13"/>
      <c r="D4429" s="13"/>
      <c r="E4429" s="13"/>
      <c r="F4429" s="13"/>
      <c r="G4429" s="13"/>
      <c r="H4429" s="13"/>
      <c r="I4429" s="13"/>
      <c r="J4429" s="13"/>
      <c r="K4429" s="13"/>
      <c r="L4429" s="13"/>
      <c r="M4429" s="13"/>
      <c r="N4429" s="13"/>
    </row>
    <row r="4430" ht="15.75" hidden="1" customHeight="1">
      <c r="A4430" s="13"/>
      <c r="B4430" s="13"/>
      <c r="C4430" s="13"/>
      <c r="D4430" s="13"/>
      <c r="E4430" s="13"/>
      <c r="F4430" s="13"/>
      <c r="G4430" s="13"/>
      <c r="H4430" s="13"/>
      <c r="I4430" s="13"/>
      <c r="J4430" s="13"/>
      <c r="K4430" s="13"/>
      <c r="L4430" s="13"/>
      <c r="M4430" s="13"/>
      <c r="N4430" s="13"/>
    </row>
    <row r="4431" ht="15.75" hidden="1" customHeight="1">
      <c r="A4431" s="13"/>
      <c r="B4431" s="13"/>
      <c r="C4431" s="13"/>
      <c r="D4431" s="13"/>
      <c r="E4431" s="13"/>
      <c r="F4431" s="13"/>
      <c r="G4431" s="13"/>
      <c r="H4431" s="13"/>
      <c r="I4431" s="13"/>
      <c r="J4431" s="13"/>
      <c r="K4431" s="13"/>
      <c r="L4431" s="13"/>
      <c r="M4431" s="13"/>
      <c r="N4431" s="13"/>
    </row>
    <row r="4432" ht="15.75" hidden="1" customHeight="1">
      <c r="A4432" s="13"/>
      <c r="B4432" s="13"/>
      <c r="C4432" s="13"/>
      <c r="D4432" s="13"/>
      <c r="E4432" s="13"/>
      <c r="F4432" s="13"/>
      <c r="G4432" s="13"/>
      <c r="H4432" s="13"/>
      <c r="I4432" s="13"/>
      <c r="J4432" s="13"/>
      <c r="K4432" s="13"/>
      <c r="L4432" s="13"/>
      <c r="M4432" s="13"/>
      <c r="N4432" s="13"/>
    </row>
    <row r="4433" ht="15.75" hidden="1" customHeight="1">
      <c r="A4433" s="13"/>
      <c r="B4433" s="13"/>
      <c r="C4433" s="13"/>
      <c r="D4433" s="13"/>
      <c r="E4433" s="13"/>
      <c r="F4433" s="13"/>
      <c r="G4433" s="13"/>
      <c r="H4433" s="13"/>
      <c r="I4433" s="13"/>
      <c r="J4433" s="13"/>
      <c r="K4433" s="13"/>
      <c r="L4433" s="13"/>
      <c r="M4433" s="13"/>
      <c r="N4433" s="13"/>
    </row>
    <row r="4434" ht="15.75" hidden="1" customHeight="1">
      <c r="A4434" s="13"/>
      <c r="B4434" s="13"/>
      <c r="C4434" s="13"/>
      <c r="D4434" s="13"/>
      <c r="E4434" s="13"/>
      <c r="F4434" s="13"/>
      <c r="G4434" s="13"/>
      <c r="H4434" s="13"/>
      <c r="I4434" s="13"/>
      <c r="J4434" s="13"/>
      <c r="K4434" s="13"/>
      <c r="L4434" s="13"/>
      <c r="M4434" s="13"/>
      <c r="N4434" s="13"/>
    </row>
    <row r="4435" ht="15.75" hidden="1" customHeight="1">
      <c r="A4435" s="13"/>
      <c r="B4435" s="13"/>
      <c r="C4435" s="13"/>
      <c r="D4435" s="13"/>
      <c r="E4435" s="13"/>
      <c r="F4435" s="13"/>
      <c r="G4435" s="13"/>
      <c r="H4435" s="13"/>
      <c r="I4435" s="13"/>
      <c r="J4435" s="13"/>
      <c r="K4435" s="13"/>
      <c r="L4435" s="13"/>
      <c r="M4435" s="13"/>
      <c r="N4435" s="13"/>
    </row>
    <row r="4436" ht="15.75" hidden="1" customHeight="1">
      <c r="A4436" s="13"/>
      <c r="B4436" s="13"/>
      <c r="C4436" s="13"/>
      <c r="D4436" s="13"/>
      <c r="E4436" s="13"/>
      <c r="F4436" s="13"/>
      <c r="G4436" s="13"/>
      <c r="H4436" s="13"/>
      <c r="I4436" s="13"/>
      <c r="J4436" s="13"/>
      <c r="K4436" s="13"/>
      <c r="L4436" s="13"/>
      <c r="M4436" s="13"/>
      <c r="N4436" s="13"/>
    </row>
    <row r="4437" ht="15.75" hidden="1" customHeight="1">
      <c r="A4437" s="13"/>
      <c r="B4437" s="13"/>
      <c r="C4437" s="13"/>
      <c r="D4437" s="13"/>
      <c r="E4437" s="13"/>
      <c r="F4437" s="13"/>
      <c r="G4437" s="13"/>
      <c r="H4437" s="13"/>
      <c r="I4437" s="13"/>
      <c r="J4437" s="13"/>
      <c r="K4437" s="13"/>
      <c r="L4437" s="13"/>
      <c r="M4437" s="13"/>
      <c r="N4437" s="13"/>
    </row>
    <row r="4438" ht="15.75" hidden="1" customHeight="1">
      <c r="A4438" s="13"/>
      <c r="B4438" s="13"/>
      <c r="C4438" s="13"/>
      <c r="D4438" s="13"/>
      <c r="E4438" s="13"/>
      <c r="F4438" s="13"/>
      <c r="G4438" s="13"/>
      <c r="H4438" s="13"/>
      <c r="I4438" s="13"/>
      <c r="J4438" s="13"/>
      <c r="K4438" s="13"/>
      <c r="L4438" s="13"/>
      <c r="M4438" s="13"/>
      <c r="N4438" s="13"/>
    </row>
    <row r="4439" ht="15.75" hidden="1" customHeight="1">
      <c r="A4439" s="13"/>
      <c r="B4439" s="13"/>
      <c r="C4439" s="13"/>
      <c r="D4439" s="13"/>
      <c r="E4439" s="13"/>
      <c r="F4439" s="13"/>
      <c r="G4439" s="13"/>
      <c r="H4439" s="13"/>
      <c r="I4439" s="13"/>
      <c r="J4439" s="13"/>
      <c r="K4439" s="13"/>
      <c r="L4439" s="13"/>
      <c r="M4439" s="13"/>
      <c r="N4439" s="13"/>
    </row>
    <row r="4440" ht="15.75" hidden="1" customHeight="1">
      <c r="A4440" s="13"/>
      <c r="B4440" s="13"/>
      <c r="C4440" s="13"/>
      <c r="D4440" s="13"/>
      <c r="E4440" s="13"/>
      <c r="F4440" s="13"/>
      <c r="G4440" s="13"/>
      <c r="H4440" s="13"/>
      <c r="I4440" s="13"/>
      <c r="J4440" s="13"/>
      <c r="K4440" s="13"/>
      <c r="L4440" s="13"/>
      <c r="M4440" s="13"/>
      <c r="N4440" s="13"/>
    </row>
    <row r="4441" ht="15.75" hidden="1" customHeight="1">
      <c r="A4441" s="13"/>
      <c r="B4441" s="13"/>
      <c r="C4441" s="13"/>
      <c r="D4441" s="13"/>
      <c r="E4441" s="13"/>
      <c r="F4441" s="13"/>
      <c r="G4441" s="13"/>
      <c r="H4441" s="13"/>
      <c r="I4441" s="13"/>
      <c r="J4441" s="13"/>
      <c r="K4441" s="13"/>
      <c r="L4441" s="13"/>
      <c r="M4441" s="13"/>
      <c r="N4441" s="13"/>
    </row>
    <row r="4442" ht="15.75" hidden="1" customHeight="1">
      <c r="A4442" s="13"/>
      <c r="B4442" s="13"/>
      <c r="C4442" s="13"/>
      <c r="D4442" s="13"/>
      <c r="E4442" s="13"/>
      <c r="F4442" s="13"/>
      <c r="G4442" s="13"/>
      <c r="H4442" s="13"/>
      <c r="I4442" s="13"/>
      <c r="J4442" s="13"/>
      <c r="K4442" s="13"/>
      <c r="L4442" s="13"/>
      <c r="M4442" s="13"/>
      <c r="N4442" s="13"/>
    </row>
    <row r="4443" ht="15.75" hidden="1" customHeight="1">
      <c r="A4443" s="13"/>
      <c r="B4443" s="13"/>
      <c r="C4443" s="13"/>
      <c r="D4443" s="13"/>
      <c r="E4443" s="13"/>
      <c r="F4443" s="13"/>
      <c r="G4443" s="13"/>
      <c r="H4443" s="13"/>
      <c r="I4443" s="13"/>
      <c r="J4443" s="13"/>
      <c r="K4443" s="13"/>
      <c r="L4443" s="13"/>
      <c r="M4443" s="13"/>
      <c r="N4443" s="13"/>
    </row>
    <row r="4444" ht="15.75" hidden="1" customHeight="1">
      <c r="A4444" s="13"/>
      <c r="B4444" s="13"/>
      <c r="C4444" s="13"/>
      <c r="D4444" s="13"/>
      <c r="E4444" s="13"/>
      <c r="F4444" s="13"/>
      <c r="G4444" s="13"/>
      <c r="H4444" s="13"/>
      <c r="I4444" s="13"/>
      <c r="J4444" s="13"/>
      <c r="K4444" s="13"/>
      <c r="L4444" s="13"/>
      <c r="M4444" s="13"/>
      <c r="N4444" s="13"/>
    </row>
    <row r="4445" ht="15.75" hidden="1" customHeight="1">
      <c r="A4445" s="13"/>
      <c r="B4445" s="13"/>
      <c r="C4445" s="13"/>
      <c r="D4445" s="13"/>
      <c r="E4445" s="13"/>
      <c r="F4445" s="13"/>
      <c r="G4445" s="13"/>
      <c r="H4445" s="13"/>
      <c r="I4445" s="13"/>
      <c r="J4445" s="13"/>
      <c r="K4445" s="13"/>
      <c r="L4445" s="13"/>
      <c r="M4445" s="13"/>
      <c r="N4445" s="13"/>
    </row>
    <row r="4446" ht="15.75" hidden="1" customHeight="1">
      <c r="A4446" s="13"/>
      <c r="B4446" s="13"/>
      <c r="C4446" s="13"/>
      <c r="D4446" s="13"/>
      <c r="E4446" s="13"/>
      <c r="F4446" s="13"/>
      <c r="G4446" s="13"/>
      <c r="H4446" s="13"/>
      <c r="I4446" s="13"/>
      <c r="J4446" s="13"/>
      <c r="K4446" s="13"/>
      <c r="L4446" s="13"/>
      <c r="M4446" s="13"/>
      <c r="N4446" s="13"/>
    </row>
    <row r="4447" ht="15.75" hidden="1" customHeight="1">
      <c r="A4447" s="13"/>
      <c r="B4447" s="13"/>
      <c r="C4447" s="13"/>
      <c r="D4447" s="13"/>
      <c r="E4447" s="13"/>
      <c r="F4447" s="13"/>
      <c r="G4447" s="13"/>
      <c r="H4447" s="13"/>
      <c r="I4447" s="13"/>
      <c r="J4447" s="13"/>
      <c r="K4447" s="13"/>
      <c r="L4447" s="13"/>
      <c r="M4447" s="13"/>
      <c r="N4447" s="13"/>
    </row>
    <row r="4448" ht="15.75" hidden="1" customHeight="1">
      <c r="A4448" s="13"/>
      <c r="B4448" s="13"/>
      <c r="C4448" s="13"/>
      <c r="D4448" s="13"/>
      <c r="E4448" s="13"/>
      <c r="F4448" s="13"/>
      <c r="G4448" s="13"/>
      <c r="H4448" s="13"/>
      <c r="I4448" s="13"/>
      <c r="J4448" s="13"/>
      <c r="K4448" s="13"/>
      <c r="L4448" s="13"/>
      <c r="M4448" s="13"/>
      <c r="N4448" s="13"/>
    </row>
    <row r="4449" ht="15.75" hidden="1" customHeight="1">
      <c r="A4449" s="13"/>
      <c r="B4449" s="13"/>
      <c r="C4449" s="13"/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</row>
    <row r="4450" ht="15.75" hidden="1" customHeight="1">
      <c r="A4450" s="13"/>
      <c r="B4450" s="13"/>
      <c r="C4450" s="13"/>
      <c r="D4450" s="13"/>
      <c r="E4450" s="13"/>
      <c r="F4450" s="13"/>
      <c r="G4450" s="13"/>
      <c r="H4450" s="13"/>
      <c r="I4450" s="13"/>
      <c r="J4450" s="13"/>
      <c r="K4450" s="13"/>
      <c r="L4450" s="13"/>
      <c r="M4450" s="13"/>
      <c r="N4450" s="13"/>
    </row>
    <row r="4451" ht="15.75" hidden="1" customHeight="1">
      <c r="A4451" s="13"/>
      <c r="B4451" s="13"/>
      <c r="C4451" s="13"/>
      <c r="D4451" s="13"/>
      <c r="E4451" s="13"/>
      <c r="F4451" s="13"/>
      <c r="G4451" s="13"/>
      <c r="H4451" s="13"/>
      <c r="I4451" s="13"/>
      <c r="J4451" s="13"/>
      <c r="K4451" s="13"/>
      <c r="L4451" s="13"/>
      <c r="M4451" s="13"/>
      <c r="N4451" s="13"/>
    </row>
    <row r="4452" ht="15.75" hidden="1" customHeight="1">
      <c r="A4452" s="13"/>
      <c r="B4452" s="13"/>
      <c r="C4452" s="13"/>
      <c r="D4452" s="13"/>
      <c r="E4452" s="13"/>
      <c r="F4452" s="13"/>
      <c r="G4452" s="13"/>
      <c r="H4452" s="13"/>
      <c r="I4452" s="13"/>
      <c r="J4452" s="13"/>
      <c r="K4452" s="13"/>
      <c r="L4452" s="13"/>
      <c r="M4452" s="13"/>
      <c r="N4452" s="13"/>
    </row>
    <row r="4453" ht="15.75" hidden="1" customHeight="1">
      <c r="A4453" s="13"/>
      <c r="B4453" s="13"/>
      <c r="C4453" s="13"/>
      <c r="D4453" s="13"/>
      <c r="E4453" s="13"/>
      <c r="F4453" s="13"/>
      <c r="G4453" s="13"/>
      <c r="H4453" s="13"/>
      <c r="I4453" s="13"/>
      <c r="J4453" s="13"/>
      <c r="K4453" s="13"/>
      <c r="L4453" s="13"/>
      <c r="M4453" s="13"/>
      <c r="N4453" s="13"/>
    </row>
    <row r="4454" ht="15.75" hidden="1" customHeight="1">
      <c r="A4454" s="13"/>
      <c r="B4454" s="13"/>
      <c r="C4454" s="13"/>
      <c r="D4454" s="13"/>
      <c r="E4454" s="13"/>
      <c r="F4454" s="13"/>
      <c r="G4454" s="13"/>
      <c r="H4454" s="13"/>
      <c r="I4454" s="13"/>
      <c r="J4454" s="13"/>
      <c r="K4454" s="13"/>
      <c r="L4454" s="13"/>
      <c r="M4454" s="13"/>
      <c r="N4454" s="13"/>
    </row>
    <row r="4455" ht="15.75" hidden="1" customHeight="1">
      <c r="A4455" s="13"/>
      <c r="B4455" s="13"/>
      <c r="C4455" s="13"/>
      <c r="D4455" s="13"/>
      <c r="E4455" s="13"/>
      <c r="F4455" s="13"/>
      <c r="G4455" s="13"/>
      <c r="H4455" s="13"/>
      <c r="I4455" s="13"/>
      <c r="J4455" s="13"/>
      <c r="K4455" s="13"/>
      <c r="L4455" s="13"/>
      <c r="M4455" s="13"/>
      <c r="N4455" s="13"/>
    </row>
    <row r="4456" ht="15.75" hidden="1" customHeight="1">
      <c r="A4456" s="13"/>
      <c r="B4456" s="13"/>
      <c r="C4456" s="13"/>
      <c r="D4456" s="13"/>
      <c r="E4456" s="13"/>
      <c r="F4456" s="13"/>
      <c r="G4456" s="13"/>
      <c r="H4456" s="13"/>
      <c r="I4456" s="13"/>
      <c r="J4456" s="13"/>
      <c r="K4456" s="13"/>
      <c r="L4456" s="13"/>
      <c r="M4456" s="13"/>
      <c r="N4456" s="13"/>
    </row>
    <row r="4457" ht="15.75" hidden="1" customHeight="1">
      <c r="A4457" s="13"/>
      <c r="B4457" s="13"/>
      <c r="C4457" s="13"/>
      <c r="D4457" s="13"/>
      <c r="E4457" s="13"/>
      <c r="F4457" s="13"/>
      <c r="G4457" s="13"/>
      <c r="H4457" s="13"/>
      <c r="I4457" s="13"/>
      <c r="J4457" s="13"/>
      <c r="K4457" s="13"/>
      <c r="L4457" s="13"/>
      <c r="M4457" s="13"/>
      <c r="N4457" s="13"/>
    </row>
    <row r="4458" ht="15.75" hidden="1" customHeight="1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</row>
    <row r="4459" ht="15.75" hidden="1" customHeight="1">
      <c r="A4459" s="13"/>
      <c r="B4459" s="13"/>
      <c r="C4459" s="13"/>
      <c r="D4459" s="13"/>
      <c r="E4459" s="13"/>
      <c r="F4459" s="13"/>
      <c r="G4459" s="13"/>
      <c r="H4459" s="13"/>
      <c r="I4459" s="13"/>
      <c r="J4459" s="13"/>
      <c r="K4459" s="13"/>
      <c r="L4459" s="13"/>
      <c r="M4459" s="13"/>
      <c r="N4459" s="13"/>
    </row>
    <row r="4460" ht="15.75" hidden="1" customHeight="1">
      <c r="A4460" s="13"/>
      <c r="B4460" s="13"/>
      <c r="C4460" s="13"/>
      <c r="D4460" s="13"/>
      <c r="E4460" s="13"/>
      <c r="F4460" s="13"/>
      <c r="G4460" s="13"/>
      <c r="H4460" s="13"/>
      <c r="I4460" s="13"/>
      <c r="J4460" s="13"/>
      <c r="K4460" s="13"/>
      <c r="L4460" s="13"/>
      <c r="M4460" s="13"/>
      <c r="N4460" s="13"/>
    </row>
    <row r="4461" ht="15.75" hidden="1" customHeight="1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</row>
    <row r="4462" ht="15.75" hidden="1" customHeight="1">
      <c r="A4462" s="13"/>
      <c r="B4462" s="13"/>
      <c r="C4462" s="13"/>
      <c r="D4462" s="13"/>
      <c r="E4462" s="13"/>
      <c r="F4462" s="13"/>
      <c r="G4462" s="13"/>
      <c r="H4462" s="13"/>
      <c r="I4462" s="13"/>
      <c r="J4462" s="13"/>
      <c r="K4462" s="13"/>
      <c r="L4462" s="13"/>
      <c r="M4462" s="13"/>
      <c r="N4462" s="13"/>
    </row>
    <row r="4463" ht="15.75" hidden="1" customHeight="1">
      <c r="A4463" s="13"/>
      <c r="B4463" s="13"/>
      <c r="C4463" s="13"/>
      <c r="D4463" s="13"/>
      <c r="E4463" s="13"/>
      <c r="F4463" s="13"/>
      <c r="G4463" s="13"/>
      <c r="H4463" s="13"/>
      <c r="I4463" s="13"/>
      <c r="J4463" s="13"/>
      <c r="K4463" s="13"/>
      <c r="L4463" s="13"/>
      <c r="M4463" s="13"/>
      <c r="N4463" s="13"/>
    </row>
    <row r="4464" ht="15.75" hidden="1" customHeight="1">
      <c r="A4464" s="13"/>
      <c r="B4464" s="13"/>
      <c r="C4464" s="13"/>
      <c r="D4464" s="13"/>
      <c r="E4464" s="13"/>
      <c r="F4464" s="13"/>
      <c r="G4464" s="13"/>
      <c r="H4464" s="13"/>
      <c r="I4464" s="13"/>
      <c r="J4464" s="13"/>
      <c r="K4464" s="13"/>
      <c r="L4464" s="13"/>
      <c r="M4464" s="13"/>
      <c r="N4464" s="13"/>
    </row>
    <row r="4465" ht="15.75" hidden="1" customHeight="1">
      <c r="A4465" s="13"/>
      <c r="B4465" s="13"/>
      <c r="C4465" s="13"/>
      <c r="D4465" s="13"/>
      <c r="E4465" s="13"/>
      <c r="F4465" s="13"/>
      <c r="G4465" s="13"/>
      <c r="H4465" s="13"/>
      <c r="I4465" s="13"/>
      <c r="J4465" s="13"/>
      <c r="K4465" s="13"/>
      <c r="L4465" s="13"/>
      <c r="M4465" s="13"/>
      <c r="N4465" s="13"/>
    </row>
    <row r="4466" ht="15.75" hidden="1" customHeight="1">
      <c r="A4466" s="13"/>
      <c r="B4466" s="13"/>
      <c r="C4466" s="13"/>
      <c r="D4466" s="13"/>
      <c r="E4466" s="13"/>
      <c r="F4466" s="13"/>
      <c r="G4466" s="13"/>
      <c r="H4466" s="13"/>
      <c r="I4466" s="13"/>
      <c r="J4466" s="13"/>
      <c r="K4466" s="13"/>
      <c r="L4466" s="13"/>
      <c r="M4466" s="13"/>
      <c r="N4466" s="13"/>
    </row>
    <row r="4467" ht="15.75" hidden="1" customHeight="1">
      <c r="A4467" s="13"/>
      <c r="B4467" s="13"/>
      <c r="C4467" s="13"/>
      <c r="D4467" s="13"/>
      <c r="E4467" s="13"/>
      <c r="F4467" s="13"/>
      <c r="G4467" s="13"/>
      <c r="H4467" s="13"/>
      <c r="I4467" s="13"/>
      <c r="J4467" s="13"/>
      <c r="K4467" s="13"/>
      <c r="L4467" s="13"/>
      <c r="M4467" s="13"/>
      <c r="N4467" s="13"/>
    </row>
    <row r="4468" ht="15.75" hidden="1" customHeight="1">
      <c r="A4468" s="13"/>
      <c r="B4468" s="13"/>
      <c r="C4468" s="13"/>
      <c r="D4468" s="13"/>
      <c r="E4468" s="13"/>
      <c r="F4468" s="13"/>
      <c r="G4468" s="13"/>
      <c r="H4468" s="13"/>
      <c r="I4468" s="13"/>
      <c r="J4468" s="13"/>
      <c r="K4468" s="13"/>
      <c r="L4468" s="13"/>
      <c r="M4468" s="13"/>
      <c r="N4468" s="13"/>
    </row>
    <row r="4469" ht="15.75" hidden="1" customHeight="1">
      <c r="A4469" s="13"/>
      <c r="B4469" s="13"/>
      <c r="C4469" s="13"/>
      <c r="D4469" s="13"/>
      <c r="E4469" s="13"/>
      <c r="F4469" s="13"/>
      <c r="G4469" s="13"/>
      <c r="H4469" s="13"/>
      <c r="I4469" s="13"/>
      <c r="J4469" s="13"/>
      <c r="K4469" s="13"/>
      <c r="L4469" s="13"/>
      <c r="M4469" s="13"/>
      <c r="N4469" s="13"/>
    </row>
    <row r="4470" ht="15.75" hidden="1" customHeight="1">
      <c r="A4470" s="13"/>
      <c r="B4470" s="13"/>
      <c r="C4470" s="13"/>
      <c r="D4470" s="13"/>
      <c r="E4470" s="13"/>
      <c r="F4470" s="13"/>
      <c r="G4470" s="13"/>
      <c r="H4470" s="13"/>
      <c r="I4470" s="13"/>
      <c r="J4470" s="13"/>
      <c r="K4470" s="13"/>
      <c r="L4470" s="13"/>
      <c r="M4470" s="13"/>
      <c r="N4470" s="13"/>
    </row>
    <row r="4471" ht="15.75" hidden="1" customHeight="1">
      <c r="A4471" s="13"/>
      <c r="B4471" s="13"/>
      <c r="C4471" s="13"/>
      <c r="D4471" s="13"/>
      <c r="E4471" s="13"/>
      <c r="F4471" s="13"/>
      <c r="G4471" s="13"/>
      <c r="H4471" s="13"/>
      <c r="I4471" s="13"/>
      <c r="J4471" s="13"/>
      <c r="K4471" s="13"/>
      <c r="L4471" s="13"/>
      <c r="M4471" s="13"/>
      <c r="N4471" s="13"/>
    </row>
    <row r="4472" ht="15.75" hidden="1" customHeight="1">
      <c r="A4472" s="13"/>
      <c r="B4472" s="13"/>
      <c r="C4472" s="13"/>
      <c r="D4472" s="13"/>
      <c r="E4472" s="13"/>
      <c r="F4472" s="13"/>
      <c r="G4472" s="13"/>
      <c r="H4472" s="13"/>
      <c r="I4472" s="13"/>
      <c r="J4472" s="13"/>
      <c r="K4472" s="13"/>
      <c r="L4472" s="13"/>
      <c r="M4472" s="13"/>
      <c r="N4472" s="13"/>
    </row>
    <row r="4473" ht="15.75" hidden="1" customHeight="1">
      <c r="A4473" s="13"/>
      <c r="B4473" s="13"/>
      <c r="C4473" s="13"/>
      <c r="D4473" s="13"/>
      <c r="E4473" s="13"/>
      <c r="F4473" s="13"/>
      <c r="G4473" s="13"/>
      <c r="H4473" s="13"/>
      <c r="I4473" s="13"/>
      <c r="J4473" s="13"/>
      <c r="K4473" s="13"/>
      <c r="L4473" s="13"/>
      <c r="M4473" s="13"/>
      <c r="N4473" s="13"/>
    </row>
    <row r="4474" ht="15.75" hidden="1" customHeight="1">
      <c r="A4474" s="13"/>
      <c r="B4474" s="13"/>
      <c r="C4474" s="13"/>
      <c r="D4474" s="13"/>
      <c r="E4474" s="13"/>
      <c r="F4474" s="13"/>
      <c r="G4474" s="13"/>
      <c r="H4474" s="13"/>
      <c r="I4474" s="13"/>
      <c r="J4474" s="13"/>
      <c r="K4474" s="13"/>
      <c r="L4474" s="13"/>
      <c r="M4474" s="13"/>
      <c r="N4474" s="13"/>
    </row>
    <row r="4475" ht="15.75" hidden="1" customHeight="1">
      <c r="A4475" s="13"/>
      <c r="B4475" s="13"/>
      <c r="C4475" s="13"/>
      <c r="D4475" s="13"/>
      <c r="E4475" s="13"/>
      <c r="F4475" s="13"/>
      <c r="G4475" s="13"/>
      <c r="H4475" s="13"/>
      <c r="I4475" s="13"/>
      <c r="J4475" s="13"/>
      <c r="K4475" s="13"/>
      <c r="L4475" s="13"/>
      <c r="M4475" s="13"/>
      <c r="N4475" s="13"/>
    </row>
    <row r="4476" ht="15.75" hidden="1" customHeight="1">
      <c r="A4476" s="13"/>
      <c r="B4476" s="13"/>
      <c r="C4476" s="13"/>
      <c r="D4476" s="13"/>
      <c r="E4476" s="13"/>
      <c r="F4476" s="13"/>
      <c r="G4476" s="13"/>
      <c r="H4476" s="13"/>
      <c r="I4476" s="13"/>
      <c r="J4476" s="13"/>
      <c r="K4476" s="13"/>
      <c r="L4476" s="13"/>
      <c r="M4476" s="13"/>
      <c r="N4476" s="13"/>
    </row>
    <row r="4477" ht="15.75" hidden="1" customHeight="1">
      <c r="A4477" s="13"/>
      <c r="B4477" s="13"/>
      <c r="C4477" s="13"/>
      <c r="D4477" s="13"/>
      <c r="E4477" s="13"/>
      <c r="F4477" s="13"/>
      <c r="G4477" s="13"/>
      <c r="H4477" s="13"/>
      <c r="I4477" s="13"/>
      <c r="J4477" s="13"/>
      <c r="K4477" s="13"/>
      <c r="L4477" s="13"/>
      <c r="M4477" s="13"/>
      <c r="N4477" s="13"/>
    </row>
    <row r="4478" ht="15.75" hidden="1" customHeight="1">
      <c r="A4478" s="13"/>
      <c r="B4478" s="13"/>
      <c r="C4478" s="13"/>
      <c r="D4478" s="13"/>
      <c r="E4478" s="13"/>
      <c r="F4478" s="13"/>
      <c r="G4478" s="13"/>
      <c r="H4478" s="13"/>
      <c r="I4478" s="13"/>
      <c r="J4478" s="13"/>
      <c r="K4478" s="13"/>
      <c r="L4478" s="13"/>
      <c r="M4478" s="13"/>
      <c r="N4478" s="13"/>
    </row>
    <row r="4479" ht="15.75" hidden="1" customHeight="1">
      <c r="A4479" s="13"/>
      <c r="B4479" s="13"/>
      <c r="C4479" s="13"/>
      <c r="D4479" s="13"/>
      <c r="E4479" s="13"/>
      <c r="F4479" s="13"/>
      <c r="G4479" s="13"/>
      <c r="H4479" s="13"/>
      <c r="I4479" s="13"/>
      <c r="J4479" s="13"/>
      <c r="K4479" s="13"/>
      <c r="L4479" s="13"/>
      <c r="M4479" s="13"/>
      <c r="N4479" s="13"/>
    </row>
    <row r="4480" ht="15.75" hidden="1" customHeight="1">
      <c r="A4480" s="13"/>
      <c r="B4480" s="13"/>
      <c r="C4480" s="13"/>
      <c r="D4480" s="13"/>
      <c r="E4480" s="13"/>
      <c r="F4480" s="13"/>
      <c r="G4480" s="13"/>
      <c r="H4480" s="13"/>
      <c r="I4480" s="13"/>
      <c r="J4480" s="13"/>
      <c r="K4480" s="13"/>
      <c r="L4480" s="13"/>
      <c r="M4480" s="13"/>
      <c r="N4480" s="13"/>
    </row>
    <row r="4481" ht="15.75" hidden="1" customHeight="1">
      <c r="A4481" s="13"/>
      <c r="B4481" s="13"/>
      <c r="C4481" s="13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</row>
    <row r="4482" ht="15.75" hidden="1" customHeight="1">
      <c r="A4482" s="13"/>
      <c r="B4482" s="13"/>
      <c r="C4482" s="13"/>
      <c r="D4482" s="13"/>
      <c r="E4482" s="13"/>
      <c r="F4482" s="13"/>
      <c r="G4482" s="13"/>
      <c r="H4482" s="13"/>
      <c r="I4482" s="13"/>
      <c r="J4482" s="13"/>
      <c r="K4482" s="13"/>
      <c r="L4482" s="13"/>
      <c r="M4482" s="13"/>
      <c r="N4482" s="13"/>
    </row>
    <row r="4483" ht="15.75" hidden="1" customHeight="1">
      <c r="A4483" s="13"/>
      <c r="B4483" s="13"/>
      <c r="C4483" s="13"/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</row>
    <row r="4484" ht="15.75" hidden="1" customHeight="1">
      <c r="A4484" s="13"/>
      <c r="B4484" s="13"/>
      <c r="C4484" s="13"/>
      <c r="D4484" s="13"/>
      <c r="E4484" s="13"/>
      <c r="F4484" s="13"/>
      <c r="G4484" s="13"/>
      <c r="H4484" s="13"/>
      <c r="I4484" s="13"/>
      <c r="J4484" s="13"/>
      <c r="K4484" s="13"/>
      <c r="L4484" s="13"/>
      <c r="M4484" s="13"/>
      <c r="N4484" s="13"/>
    </row>
    <row r="4485" ht="15.75" hidden="1" customHeight="1">
      <c r="A4485" s="13"/>
      <c r="B4485" s="13"/>
      <c r="C4485" s="13"/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</row>
    <row r="4486" ht="15.75" hidden="1" customHeight="1">
      <c r="A4486" s="13"/>
      <c r="B4486" s="13"/>
      <c r="C4486" s="13"/>
      <c r="D4486" s="13"/>
      <c r="E4486" s="13"/>
      <c r="F4486" s="13"/>
      <c r="G4486" s="13"/>
      <c r="H4486" s="13"/>
      <c r="I4486" s="13"/>
      <c r="J4486" s="13"/>
      <c r="K4486" s="13"/>
      <c r="L4486" s="13"/>
      <c r="M4486" s="13"/>
      <c r="N4486" s="13"/>
    </row>
    <row r="4487" ht="15.75" hidden="1" customHeight="1">
      <c r="A4487" s="13"/>
      <c r="B4487" s="13"/>
      <c r="C4487" s="13"/>
      <c r="D4487" s="13"/>
      <c r="E4487" s="13"/>
      <c r="F4487" s="13"/>
      <c r="G4487" s="13"/>
      <c r="H4487" s="13"/>
      <c r="I4487" s="13"/>
      <c r="J4487" s="13"/>
      <c r="K4487" s="13"/>
      <c r="L4487" s="13"/>
      <c r="M4487" s="13"/>
      <c r="N4487" s="13"/>
    </row>
    <row r="4488" ht="15.75" hidden="1" customHeight="1">
      <c r="A4488" s="13"/>
      <c r="B4488" s="13"/>
      <c r="C4488" s="13"/>
      <c r="D4488" s="13"/>
      <c r="E4488" s="13"/>
      <c r="F4488" s="13"/>
      <c r="G4488" s="13"/>
      <c r="H4488" s="13"/>
      <c r="I4488" s="13"/>
      <c r="J4488" s="13"/>
      <c r="K4488" s="13"/>
      <c r="L4488" s="13"/>
      <c r="M4488" s="13"/>
      <c r="N4488" s="13"/>
    </row>
    <row r="4489" ht="15.75" hidden="1" customHeight="1">
      <c r="A4489" s="13"/>
      <c r="B4489" s="13"/>
      <c r="C4489" s="13"/>
      <c r="D4489" s="13"/>
      <c r="E4489" s="13"/>
      <c r="F4489" s="13"/>
      <c r="G4489" s="13"/>
      <c r="H4489" s="13"/>
      <c r="I4489" s="13"/>
      <c r="J4489" s="13"/>
      <c r="K4489" s="13"/>
      <c r="L4489" s="13"/>
      <c r="M4489" s="13"/>
      <c r="N4489" s="13"/>
    </row>
    <row r="4490" ht="15.75" hidden="1" customHeight="1">
      <c r="A4490" s="13"/>
      <c r="B4490" s="13"/>
      <c r="C4490" s="13"/>
      <c r="D4490" s="13"/>
      <c r="E4490" s="13"/>
      <c r="F4490" s="13"/>
      <c r="G4490" s="13"/>
      <c r="H4490" s="13"/>
      <c r="I4490" s="13"/>
      <c r="J4490" s="13"/>
      <c r="K4490" s="13"/>
      <c r="L4490" s="13"/>
      <c r="M4490" s="13"/>
      <c r="N4490" s="13"/>
    </row>
    <row r="4491" ht="15.75" hidden="1" customHeight="1">
      <c r="A4491" s="13"/>
      <c r="B4491" s="13"/>
      <c r="C4491" s="13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</row>
    <row r="4492" ht="15.75" hidden="1" customHeight="1">
      <c r="A4492" s="13"/>
      <c r="B4492" s="13"/>
      <c r="C4492" s="13"/>
      <c r="D4492" s="13"/>
      <c r="E4492" s="13"/>
      <c r="F4492" s="13"/>
      <c r="G4492" s="13"/>
      <c r="H4492" s="13"/>
      <c r="I4492" s="13"/>
      <c r="J4492" s="13"/>
      <c r="K4492" s="13"/>
      <c r="L4492" s="13"/>
      <c r="M4492" s="13"/>
      <c r="N4492" s="13"/>
    </row>
    <row r="4493" ht="15.75" hidden="1" customHeight="1">
      <c r="A4493" s="13"/>
      <c r="B4493" s="13"/>
      <c r="C4493" s="13"/>
      <c r="D4493" s="13"/>
      <c r="E4493" s="13"/>
      <c r="F4493" s="13"/>
      <c r="G4493" s="13"/>
      <c r="H4493" s="13"/>
      <c r="I4493" s="13"/>
      <c r="J4493" s="13"/>
      <c r="K4493" s="13"/>
      <c r="L4493" s="13"/>
      <c r="M4493" s="13"/>
      <c r="N4493" s="13"/>
    </row>
    <row r="4494" ht="15.75" hidden="1" customHeight="1">
      <c r="A4494" s="13"/>
      <c r="B4494" s="13"/>
      <c r="C4494" s="13"/>
      <c r="D4494" s="13"/>
      <c r="E4494" s="13"/>
      <c r="F4494" s="13"/>
      <c r="G4494" s="13"/>
      <c r="H4494" s="13"/>
      <c r="I4494" s="13"/>
      <c r="J4494" s="13"/>
      <c r="K4494" s="13"/>
      <c r="L4494" s="13"/>
      <c r="M4494" s="13"/>
      <c r="N4494" s="13"/>
    </row>
    <row r="4495" ht="15.75" hidden="1" customHeight="1">
      <c r="A4495" s="13"/>
      <c r="B4495" s="13"/>
      <c r="C4495" s="13"/>
      <c r="D4495" s="13"/>
      <c r="E4495" s="13"/>
      <c r="F4495" s="13"/>
      <c r="G4495" s="13"/>
      <c r="H4495" s="13"/>
      <c r="I4495" s="13"/>
      <c r="J4495" s="13"/>
      <c r="K4495" s="13"/>
      <c r="L4495" s="13"/>
      <c r="M4495" s="13"/>
      <c r="N4495" s="13"/>
    </row>
    <row r="4496" ht="15.75" hidden="1" customHeight="1">
      <c r="A4496" s="13"/>
      <c r="B4496" s="13"/>
      <c r="C4496" s="13"/>
      <c r="D4496" s="13"/>
      <c r="E4496" s="13"/>
      <c r="F4496" s="13"/>
      <c r="G4496" s="13"/>
      <c r="H4496" s="13"/>
      <c r="I4496" s="13"/>
      <c r="J4496" s="13"/>
      <c r="K4496" s="13"/>
      <c r="L4496" s="13"/>
      <c r="M4496" s="13"/>
      <c r="N4496" s="13"/>
    </row>
    <row r="4497" ht="15.75" hidden="1" customHeight="1">
      <c r="A4497" s="13"/>
      <c r="B4497" s="13"/>
      <c r="C4497" s="13"/>
      <c r="D4497" s="13"/>
      <c r="E4497" s="13"/>
      <c r="F4497" s="13"/>
      <c r="G4497" s="13"/>
      <c r="H4497" s="13"/>
      <c r="I4497" s="13"/>
      <c r="J4497" s="13"/>
      <c r="K4497" s="13"/>
      <c r="L4497" s="13"/>
      <c r="M4497" s="13"/>
      <c r="N4497" s="13"/>
    </row>
    <row r="4498" ht="15.75" hidden="1" customHeight="1">
      <c r="A4498" s="13"/>
      <c r="B4498" s="13"/>
      <c r="C4498" s="13"/>
      <c r="D4498" s="13"/>
      <c r="E4498" s="13"/>
      <c r="F4498" s="13"/>
      <c r="G4498" s="13"/>
      <c r="H4498" s="13"/>
      <c r="I4498" s="13"/>
      <c r="J4498" s="13"/>
      <c r="K4498" s="13"/>
      <c r="L4498" s="13"/>
      <c r="M4498" s="13"/>
      <c r="N4498" s="13"/>
    </row>
    <row r="4499" ht="15.75" hidden="1" customHeight="1">
      <c r="A4499" s="13"/>
      <c r="B4499" s="13"/>
      <c r="C4499" s="13"/>
      <c r="D4499" s="13"/>
      <c r="E4499" s="13"/>
      <c r="F4499" s="13"/>
      <c r="G4499" s="13"/>
      <c r="H4499" s="13"/>
      <c r="I4499" s="13"/>
      <c r="J4499" s="13"/>
      <c r="K4499" s="13"/>
      <c r="L4499" s="13"/>
      <c r="M4499" s="13"/>
      <c r="N4499" s="13"/>
    </row>
    <row r="4500" ht="15.75" hidden="1" customHeight="1">
      <c r="A4500" s="13"/>
      <c r="B4500" s="13"/>
      <c r="C4500" s="13"/>
      <c r="D4500" s="13"/>
      <c r="E4500" s="13"/>
      <c r="F4500" s="13"/>
      <c r="G4500" s="13"/>
      <c r="H4500" s="13"/>
      <c r="I4500" s="13"/>
      <c r="J4500" s="13"/>
      <c r="K4500" s="13"/>
      <c r="L4500" s="13"/>
      <c r="M4500" s="13"/>
      <c r="N4500" s="13"/>
    </row>
    <row r="4501" ht="15.75" hidden="1" customHeight="1">
      <c r="A4501" s="13"/>
      <c r="B4501" s="13"/>
      <c r="C4501" s="13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</row>
    <row r="4502" ht="15.75" hidden="1" customHeight="1">
      <c r="A4502" s="13"/>
      <c r="B4502" s="13"/>
      <c r="C4502" s="13"/>
      <c r="D4502" s="13"/>
      <c r="E4502" s="13"/>
      <c r="F4502" s="13"/>
      <c r="G4502" s="13"/>
      <c r="H4502" s="13"/>
      <c r="I4502" s="13"/>
      <c r="J4502" s="13"/>
      <c r="K4502" s="13"/>
      <c r="L4502" s="13"/>
      <c r="M4502" s="13"/>
      <c r="N4502" s="13"/>
    </row>
    <row r="4503" ht="15.75" hidden="1" customHeight="1">
      <c r="A4503" s="13"/>
      <c r="B4503" s="13"/>
      <c r="C4503" s="13"/>
      <c r="D4503" s="13"/>
      <c r="E4503" s="13"/>
      <c r="F4503" s="13"/>
      <c r="G4503" s="13"/>
      <c r="H4503" s="13"/>
      <c r="I4503" s="13"/>
      <c r="J4503" s="13"/>
      <c r="K4503" s="13"/>
      <c r="L4503" s="13"/>
      <c r="M4503" s="13"/>
      <c r="N4503" s="13"/>
    </row>
    <row r="4504" ht="15.75" hidden="1" customHeight="1">
      <c r="A4504" s="13"/>
      <c r="B4504" s="13"/>
      <c r="C4504" s="13"/>
      <c r="D4504" s="13"/>
      <c r="E4504" s="13"/>
      <c r="F4504" s="13"/>
      <c r="G4504" s="13"/>
      <c r="H4504" s="13"/>
      <c r="I4504" s="13"/>
      <c r="J4504" s="13"/>
      <c r="K4504" s="13"/>
      <c r="L4504" s="13"/>
      <c r="M4504" s="13"/>
      <c r="N4504" s="13"/>
    </row>
    <row r="4505" ht="15.75" hidden="1" customHeight="1">
      <c r="A4505" s="13"/>
      <c r="B4505" s="13"/>
      <c r="C4505" s="13"/>
      <c r="D4505" s="13"/>
      <c r="E4505" s="13"/>
      <c r="F4505" s="13"/>
      <c r="G4505" s="13"/>
      <c r="H4505" s="13"/>
      <c r="I4505" s="13"/>
      <c r="J4505" s="13"/>
      <c r="K4505" s="13"/>
      <c r="L4505" s="13"/>
      <c r="M4505" s="13"/>
      <c r="N4505" s="13"/>
    </row>
    <row r="4506" ht="15.75" hidden="1" customHeight="1">
      <c r="A4506" s="13"/>
      <c r="B4506" s="13"/>
      <c r="C4506" s="13"/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</row>
    <row r="4507" ht="15.75" hidden="1" customHeight="1">
      <c r="A4507" s="13"/>
      <c r="B4507" s="13"/>
      <c r="C4507" s="13"/>
      <c r="D4507" s="13"/>
      <c r="E4507" s="13"/>
      <c r="F4507" s="13"/>
      <c r="G4507" s="13"/>
      <c r="H4507" s="13"/>
      <c r="I4507" s="13"/>
      <c r="J4507" s="13"/>
      <c r="K4507" s="13"/>
      <c r="L4507" s="13"/>
      <c r="M4507" s="13"/>
      <c r="N4507" s="13"/>
    </row>
    <row r="4508" ht="15.75" hidden="1" customHeight="1">
      <c r="A4508" s="13"/>
      <c r="B4508" s="13"/>
      <c r="C4508" s="13"/>
      <c r="D4508" s="13"/>
      <c r="E4508" s="13"/>
      <c r="F4508" s="13"/>
      <c r="G4508" s="13"/>
      <c r="H4508" s="13"/>
      <c r="I4508" s="13"/>
      <c r="J4508" s="13"/>
      <c r="K4508" s="13"/>
      <c r="L4508" s="13"/>
      <c r="M4508" s="13"/>
      <c r="N4508" s="13"/>
    </row>
    <row r="4509" ht="15.75" hidden="1" customHeight="1">
      <c r="A4509" s="13"/>
      <c r="B4509" s="13"/>
      <c r="C4509" s="13"/>
      <c r="D4509" s="13"/>
      <c r="E4509" s="13"/>
      <c r="F4509" s="13"/>
      <c r="G4509" s="13"/>
      <c r="H4509" s="13"/>
      <c r="I4509" s="13"/>
      <c r="J4509" s="13"/>
      <c r="K4509" s="13"/>
      <c r="L4509" s="13"/>
      <c r="M4509" s="13"/>
      <c r="N4509" s="13"/>
    </row>
    <row r="4510" ht="15.75" hidden="1" customHeight="1">
      <c r="A4510" s="13"/>
      <c r="B4510" s="13"/>
      <c r="C4510" s="13"/>
      <c r="D4510" s="13"/>
      <c r="E4510" s="13"/>
      <c r="F4510" s="13"/>
      <c r="G4510" s="13"/>
      <c r="H4510" s="13"/>
      <c r="I4510" s="13"/>
      <c r="J4510" s="13"/>
      <c r="K4510" s="13"/>
      <c r="L4510" s="13"/>
      <c r="M4510" s="13"/>
      <c r="N4510" s="13"/>
    </row>
    <row r="4511" ht="15.75" hidden="1" customHeight="1">
      <c r="A4511" s="13"/>
      <c r="B4511" s="13"/>
      <c r="C4511" s="13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</row>
    <row r="4512" ht="15.75" hidden="1" customHeight="1">
      <c r="A4512" s="13"/>
      <c r="B4512" s="13"/>
      <c r="C4512" s="13"/>
      <c r="D4512" s="13"/>
      <c r="E4512" s="13"/>
      <c r="F4512" s="13"/>
      <c r="G4512" s="13"/>
      <c r="H4512" s="13"/>
      <c r="I4512" s="13"/>
      <c r="J4512" s="13"/>
      <c r="K4512" s="13"/>
      <c r="L4512" s="13"/>
      <c r="M4512" s="13"/>
      <c r="N4512" s="13"/>
    </row>
    <row r="4513" ht="15.75" hidden="1" customHeight="1">
      <c r="A4513" s="13"/>
      <c r="B4513" s="13"/>
      <c r="C4513" s="13"/>
      <c r="D4513" s="13"/>
      <c r="E4513" s="13"/>
      <c r="F4513" s="13"/>
      <c r="G4513" s="13"/>
      <c r="H4513" s="13"/>
      <c r="I4513" s="13"/>
      <c r="J4513" s="13"/>
      <c r="K4513" s="13"/>
      <c r="L4513" s="13"/>
      <c r="M4513" s="13"/>
      <c r="N4513" s="13"/>
    </row>
    <row r="4514" ht="15.75" hidden="1" customHeight="1">
      <c r="A4514" s="13"/>
      <c r="B4514" s="13"/>
      <c r="C4514" s="13"/>
      <c r="D4514" s="13"/>
      <c r="E4514" s="13"/>
      <c r="F4514" s="13"/>
      <c r="G4514" s="13"/>
      <c r="H4514" s="13"/>
      <c r="I4514" s="13"/>
      <c r="J4514" s="13"/>
      <c r="K4514" s="13"/>
      <c r="L4514" s="13"/>
      <c r="M4514" s="13"/>
      <c r="N4514" s="13"/>
    </row>
    <row r="4515" ht="15.75" hidden="1" customHeight="1">
      <c r="A4515" s="13"/>
      <c r="B4515" s="13"/>
      <c r="C4515" s="13"/>
      <c r="D4515" s="13"/>
      <c r="E4515" s="13"/>
      <c r="F4515" s="13"/>
      <c r="G4515" s="13"/>
      <c r="H4515" s="13"/>
      <c r="I4515" s="13"/>
      <c r="J4515" s="13"/>
      <c r="K4515" s="13"/>
      <c r="L4515" s="13"/>
      <c r="M4515" s="13"/>
      <c r="N4515" s="13"/>
    </row>
    <row r="4516" ht="15.75" hidden="1" customHeight="1">
      <c r="A4516" s="13"/>
      <c r="B4516" s="13"/>
      <c r="C4516" s="13"/>
      <c r="D4516" s="13"/>
      <c r="E4516" s="13"/>
      <c r="F4516" s="13"/>
      <c r="G4516" s="13"/>
      <c r="H4516" s="13"/>
      <c r="I4516" s="13"/>
      <c r="J4516" s="13"/>
      <c r="K4516" s="13"/>
      <c r="L4516" s="13"/>
      <c r="M4516" s="13"/>
      <c r="N4516" s="13"/>
    </row>
    <row r="4517" ht="15.75" hidden="1" customHeight="1">
      <c r="A4517" s="13"/>
      <c r="B4517" s="13"/>
      <c r="C4517" s="13"/>
      <c r="D4517" s="13"/>
      <c r="E4517" s="13"/>
      <c r="F4517" s="13"/>
      <c r="G4517" s="13"/>
      <c r="H4517" s="13"/>
      <c r="I4517" s="13"/>
      <c r="J4517" s="13"/>
      <c r="K4517" s="13"/>
      <c r="L4517" s="13"/>
      <c r="M4517" s="13"/>
      <c r="N4517" s="13"/>
    </row>
    <row r="4518" ht="15.75" hidden="1" customHeight="1">
      <c r="A4518" s="13"/>
      <c r="B4518" s="13"/>
      <c r="C4518" s="13"/>
      <c r="D4518" s="13"/>
      <c r="E4518" s="13"/>
      <c r="F4518" s="13"/>
      <c r="G4518" s="13"/>
      <c r="H4518" s="13"/>
      <c r="I4518" s="13"/>
      <c r="J4518" s="13"/>
      <c r="K4518" s="13"/>
      <c r="L4518" s="13"/>
      <c r="M4518" s="13"/>
      <c r="N4518" s="13"/>
    </row>
    <row r="4519" ht="15.75" hidden="1" customHeight="1">
      <c r="A4519" s="13"/>
      <c r="B4519" s="13"/>
      <c r="C4519" s="13"/>
      <c r="D4519" s="13"/>
      <c r="E4519" s="13"/>
      <c r="F4519" s="13"/>
      <c r="G4519" s="13"/>
      <c r="H4519" s="13"/>
      <c r="I4519" s="13"/>
      <c r="J4519" s="13"/>
      <c r="K4519" s="13"/>
      <c r="L4519" s="13"/>
      <c r="M4519" s="13"/>
      <c r="N4519" s="13"/>
    </row>
    <row r="4520" ht="15.75" hidden="1" customHeight="1">
      <c r="A4520" s="13"/>
      <c r="B4520" s="13"/>
      <c r="C4520" s="13"/>
      <c r="D4520" s="13"/>
      <c r="E4520" s="13"/>
      <c r="F4520" s="13"/>
      <c r="G4520" s="13"/>
      <c r="H4520" s="13"/>
      <c r="I4520" s="13"/>
      <c r="J4520" s="13"/>
      <c r="K4520" s="13"/>
      <c r="L4520" s="13"/>
      <c r="M4520" s="13"/>
      <c r="N4520" s="13"/>
    </row>
    <row r="4521" ht="15.75" hidden="1" customHeight="1">
      <c r="A4521" s="13"/>
      <c r="B4521" s="13"/>
      <c r="C4521" s="13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</row>
    <row r="4522" ht="15.75" hidden="1" customHeight="1">
      <c r="A4522" s="13"/>
      <c r="B4522" s="13"/>
      <c r="C4522" s="13"/>
      <c r="D4522" s="13"/>
      <c r="E4522" s="13"/>
      <c r="F4522" s="13"/>
      <c r="G4522" s="13"/>
      <c r="H4522" s="13"/>
      <c r="I4522" s="13"/>
      <c r="J4522" s="13"/>
      <c r="K4522" s="13"/>
      <c r="L4522" s="13"/>
      <c r="M4522" s="13"/>
      <c r="N4522" s="13"/>
    </row>
    <row r="4523" ht="15.75" hidden="1" customHeight="1">
      <c r="A4523" s="13"/>
      <c r="B4523" s="13"/>
      <c r="C4523" s="13"/>
      <c r="D4523" s="13"/>
      <c r="E4523" s="13"/>
      <c r="F4523" s="13"/>
      <c r="G4523" s="13"/>
      <c r="H4523" s="13"/>
      <c r="I4523" s="13"/>
      <c r="J4523" s="13"/>
      <c r="K4523" s="13"/>
      <c r="L4523" s="13"/>
      <c r="M4523" s="13"/>
      <c r="N4523" s="13"/>
    </row>
    <row r="4524" ht="15.75" hidden="1" customHeight="1">
      <c r="A4524" s="13"/>
      <c r="B4524" s="13"/>
      <c r="C4524" s="13"/>
      <c r="D4524" s="13"/>
      <c r="E4524" s="13"/>
      <c r="F4524" s="13"/>
      <c r="G4524" s="13"/>
      <c r="H4524" s="13"/>
      <c r="I4524" s="13"/>
      <c r="J4524" s="13"/>
      <c r="K4524" s="13"/>
      <c r="L4524" s="13"/>
      <c r="M4524" s="13"/>
      <c r="N4524" s="13"/>
    </row>
    <row r="4525" ht="15.75" hidden="1" customHeight="1">
      <c r="A4525" s="13"/>
      <c r="B4525" s="13"/>
      <c r="C4525" s="13"/>
      <c r="D4525" s="13"/>
      <c r="E4525" s="13"/>
      <c r="F4525" s="13"/>
      <c r="G4525" s="13"/>
      <c r="H4525" s="13"/>
      <c r="I4525" s="13"/>
      <c r="J4525" s="13"/>
      <c r="K4525" s="13"/>
      <c r="L4525" s="13"/>
      <c r="M4525" s="13"/>
      <c r="N4525" s="13"/>
    </row>
    <row r="4526" ht="15.75" hidden="1" customHeight="1">
      <c r="A4526" s="13"/>
      <c r="B4526" s="13"/>
      <c r="C4526" s="13"/>
      <c r="D4526" s="13"/>
      <c r="E4526" s="13"/>
      <c r="F4526" s="13"/>
      <c r="G4526" s="13"/>
      <c r="H4526" s="13"/>
      <c r="I4526" s="13"/>
      <c r="J4526" s="13"/>
      <c r="K4526" s="13"/>
      <c r="L4526" s="13"/>
      <c r="M4526" s="13"/>
      <c r="N4526" s="13"/>
    </row>
    <row r="4527" ht="15.75" hidden="1" customHeight="1">
      <c r="A4527" s="13"/>
      <c r="B4527" s="13"/>
      <c r="C4527" s="13"/>
      <c r="D4527" s="13"/>
      <c r="E4527" s="13"/>
      <c r="F4527" s="13"/>
      <c r="G4527" s="13"/>
      <c r="H4527" s="13"/>
      <c r="I4527" s="13"/>
      <c r="J4527" s="13"/>
      <c r="K4527" s="13"/>
      <c r="L4527" s="13"/>
      <c r="M4527" s="13"/>
      <c r="N4527" s="13"/>
    </row>
    <row r="4528" ht="15.75" hidden="1" customHeight="1">
      <c r="A4528" s="13"/>
      <c r="B4528" s="13"/>
      <c r="C4528" s="13"/>
      <c r="D4528" s="13"/>
      <c r="E4528" s="13"/>
      <c r="F4528" s="13"/>
      <c r="G4528" s="13"/>
      <c r="H4528" s="13"/>
      <c r="I4528" s="13"/>
      <c r="J4528" s="13"/>
      <c r="K4528" s="13"/>
      <c r="L4528" s="13"/>
      <c r="M4528" s="13"/>
      <c r="N4528" s="13"/>
    </row>
    <row r="4529" ht="15.75" hidden="1" customHeight="1">
      <c r="A4529" s="13"/>
      <c r="B4529" s="13"/>
      <c r="C4529" s="13"/>
      <c r="D4529" s="13"/>
      <c r="E4529" s="13"/>
      <c r="F4529" s="13"/>
      <c r="G4529" s="13"/>
      <c r="H4529" s="13"/>
      <c r="I4529" s="13"/>
      <c r="J4529" s="13"/>
      <c r="K4529" s="13"/>
      <c r="L4529" s="13"/>
      <c r="M4529" s="13"/>
      <c r="N4529" s="13"/>
    </row>
    <row r="4530" ht="15.75" hidden="1" customHeight="1">
      <c r="A4530" s="13"/>
      <c r="B4530" s="13"/>
      <c r="C4530" s="13"/>
      <c r="D4530" s="13"/>
      <c r="E4530" s="13"/>
      <c r="F4530" s="13"/>
      <c r="G4530" s="13"/>
      <c r="H4530" s="13"/>
      <c r="I4530" s="13"/>
      <c r="J4530" s="13"/>
      <c r="K4530" s="13"/>
      <c r="L4530" s="13"/>
      <c r="M4530" s="13"/>
      <c r="N4530" s="13"/>
    </row>
    <row r="4531" ht="15.75" hidden="1" customHeight="1">
      <c r="A4531" s="13"/>
      <c r="B4531" s="13"/>
      <c r="C4531" s="13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</row>
    <row r="4532" ht="15.75" hidden="1" customHeight="1">
      <c r="A4532" s="13"/>
      <c r="B4532" s="13"/>
      <c r="C4532" s="13"/>
      <c r="D4532" s="13"/>
      <c r="E4532" s="13"/>
      <c r="F4532" s="13"/>
      <c r="G4532" s="13"/>
      <c r="H4532" s="13"/>
      <c r="I4532" s="13"/>
      <c r="J4532" s="13"/>
      <c r="K4532" s="13"/>
      <c r="L4532" s="13"/>
      <c r="M4532" s="13"/>
      <c r="N4532" s="13"/>
    </row>
    <row r="4533" ht="15.75" hidden="1" customHeight="1">
      <c r="A4533" s="13"/>
      <c r="B4533" s="13"/>
      <c r="C4533" s="13"/>
      <c r="D4533" s="13"/>
      <c r="E4533" s="13"/>
      <c r="F4533" s="13"/>
      <c r="G4533" s="13"/>
      <c r="H4533" s="13"/>
      <c r="I4533" s="13"/>
      <c r="J4533" s="13"/>
      <c r="K4533" s="13"/>
      <c r="L4533" s="13"/>
      <c r="M4533" s="13"/>
      <c r="N4533" s="13"/>
    </row>
    <row r="4534" ht="15.75" hidden="1" customHeight="1">
      <c r="A4534" s="13"/>
      <c r="B4534" s="13"/>
      <c r="C4534" s="13"/>
      <c r="D4534" s="13"/>
      <c r="E4534" s="13"/>
      <c r="F4534" s="13"/>
      <c r="G4534" s="13"/>
      <c r="H4534" s="13"/>
      <c r="I4534" s="13"/>
      <c r="J4534" s="13"/>
      <c r="K4534" s="13"/>
      <c r="L4534" s="13"/>
      <c r="M4534" s="13"/>
      <c r="N4534" s="13"/>
    </row>
    <row r="4535" ht="15.75" hidden="1" customHeight="1">
      <c r="A4535" s="13"/>
      <c r="B4535" s="13"/>
      <c r="C4535" s="13"/>
      <c r="D4535" s="13"/>
      <c r="E4535" s="13"/>
      <c r="F4535" s="13"/>
      <c r="G4535" s="13"/>
      <c r="H4535" s="13"/>
      <c r="I4535" s="13"/>
      <c r="J4535" s="13"/>
      <c r="K4535" s="13"/>
      <c r="L4535" s="13"/>
      <c r="M4535" s="13"/>
      <c r="N4535" s="13"/>
    </row>
    <row r="4536" ht="15.75" hidden="1" customHeight="1">
      <c r="A4536" s="13"/>
      <c r="B4536" s="13"/>
      <c r="C4536" s="13"/>
      <c r="D4536" s="13"/>
      <c r="E4536" s="13"/>
      <c r="F4536" s="13"/>
      <c r="G4536" s="13"/>
      <c r="H4536" s="13"/>
      <c r="I4536" s="13"/>
      <c r="J4536" s="13"/>
      <c r="K4536" s="13"/>
      <c r="L4536" s="13"/>
      <c r="M4536" s="13"/>
      <c r="N4536" s="13"/>
    </row>
    <row r="4537" ht="15.75" hidden="1" customHeight="1">
      <c r="A4537" s="13"/>
      <c r="B4537" s="13"/>
      <c r="C4537" s="13"/>
      <c r="D4537" s="13"/>
      <c r="E4537" s="13"/>
      <c r="F4537" s="13"/>
      <c r="G4537" s="13"/>
      <c r="H4537" s="13"/>
      <c r="I4537" s="13"/>
      <c r="J4537" s="13"/>
      <c r="K4537" s="13"/>
      <c r="L4537" s="13"/>
      <c r="M4537" s="13"/>
      <c r="N4537" s="13"/>
    </row>
    <row r="4538" ht="15.75" hidden="1" customHeight="1">
      <c r="A4538" s="13"/>
      <c r="B4538" s="13"/>
      <c r="C4538" s="13"/>
      <c r="D4538" s="13"/>
      <c r="E4538" s="13"/>
      <c r="F4538" s="13"/>
      <c r="G4538" s="13"/>
      <c r="H4538" s="13"/>
      <c r="I4538" s="13"/>
      <c r="J4538" s="13"/>
      <c r="K4538" s="13"/>
      <c r="L4538" s="13"/>
      <c r="M4538" s="13"/>
      <c r="N4538" s="13"/>
    </row>
    <row r="4539" ht="15.75" hidden="1" customHeight="1">
      <c r="A4539" s="13"/>
      <c r="B4539" s="13"/>
      <c r="C4539" s="13"/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</row>
    <row r="4540" ht="15.75" hidden="1" customHeight="1">
      <c r="A4540" s="13"/>
      <c r="B4540" s="13"/>
      <c r="C4540" s="13"/>
      <c r="D4540" s="13"/>
      <c r="E4540" s="13"/>
      <c r="F4540" s="13"/>
      <c r="G4540" s="13"/>
      <c r="H4540" s="13"/>
      <c r="I4540" s="13"/>
      <c r="J4540" s="13"/>
      <c r="K4540" s="13"/>
      <c r="L4540" s="13"/>
      <c r="M4540" s="13"/>
      <c r="N4540" s="13"/>
    </row>
    <row r="4541" ht="15.75" hidden="1" customHeight="1">
      <c r="A4541" s="13"/>
      <c r="B4541" s="13"/>
      <c r="C4541" s="13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</row>
    <row r="4542" ht="15.75" hidden="1" customHeight="1">
      <c r="A4542" s="13"/>
      <c r="B4542" s="13"/>
      <c r="C4542" s="13"/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</row>
    <row r="4543" ht="15.75" hidden="1" customHeight="1">
      <c r="A4543" s="13"/>
      <c r="B4543" s="13"/>
      <c r="C4543" s="13"/>
      <c r="D4543" s="13"/>
      <c r="E4543" s="13"/>
      <c r="F4543" s="13"/>
      <c r="G4543" s="13"/>
      <c r="H4543" s="13"/>
      <c r="I4543" s="13"/>
      <c r="J4543" s="13"/>
      <c r="K4543" s="13"/>
      <c r="L4543" s="13"/>
      <c r="M4543" s="13"/>
      <c r="N4543" s="13"/>
    </row>
    <row r="4544" ht="15.75" hidden="1" customHeight="1">
      <c r="A4544" s="13"/>
      <c r="B4544" s="13"/>
      <c r="C4544" s="13"/>
      <c r="D4544" s="13"/>
      <c r="E4544" s="13"/>
      <c r="F4544" s="13"/>
      <c r="G4544" s="13"/>
      <c r="H4544" s="13"/>
      <c r="I4544" s="13"/>
      <c r="J4544" s="13"/>
      <c r="K4544" s="13"/>
      <c r="L4544" s="13"/>
      <c r="M4544" s="13"/>
      <c r="N4544" s="13"/>
    </row>
    <row r="4545" ht="15.75" hidden="1" customHeight="1">
      <c r="A4545" s="13"/>
      <c r="B4545" s="13"/>
      <c r="C4545" s="13"/>
      <c r="D4545" s="13"/>
      <c r="E4545" s="13"/>
      <c r="F4545" s="13"/>
      <c r="G4545" s="13"/>
      <c r="H4545" s="13"/>
      <c r="I4545" s="13"/>
      <c r="J4545" s="13"/>
      <c r="K4545" s="13"/>
      <c r="L4545" s="13"/>
      <c r="M4545" s="13"/>
      <c r="N4545" s="13"/>
    </row>
    <row r="4546" ht="15.75" hidden="1" customHeight="1">
      <c r="A4546" s="13"/>
      <c r="B4546" s="13"/>
      <c r="C4546" s="13"/>
      <c r="D4546" s="13"/>
      <c r="E4546" s="13"/>
      <c r="F4546" s="13"/>
      <c r="G4546" s="13"/>
      <c r="H4546" s="13"/>
      <c r="I4546" s="13"/>
      <c r="J4546" s="13"/>
      <c r="K4546" s="13"/>
      <c r="L4546" s="13"/>
      <c r="M4546" s="13"/>
      <c r="N4546" s="13"/>
    </row>
    <row r="4547" ht="15.75" hidden="1" customHeight="1">
      <c r="A4547" s="13"/>
      <c r="B4547" s="13"/>
      <c r="C4547" s="13"/>
      <c r="D4547" s="13"/>
      <c r="E4547" s="13"/>
      <c r="F4547" s="13"/>
      <c r="G4547" s="13"/>
      <c r="H4547" s="13"/>
      <c r="I4547" s="13"/>
      <c r="J4547" s="13"/>
      <c r="K4547" s="13"/>
      <c r="L4547" s="13"/>
      <c r="M4547" s="13"/>
      <c r="N4547" s="13"/>
    </row>
    <row r="4548" ht="15.75" hidden="1" customHeight="1">
      <c r="A4548" s="13"/>
      <c r="B4548" s="13"/>
      <c r="C4548" s="13"/>
      <c r="D4548" s="13"/>
      <c r="E4548" s="13"/>
      <c r="F4548" s="13"/>
      <c r="G4548" s="13"/>
      <c r="H4548" s="13"/>
      <c r="I4548" s="13"/>
      <c r="J4548" s="13"/>
      <c r="K4548" s="13"/>
      <c r="L4548" s="13"/>
      <c r="M4548" s="13"/>
      <c r="N4548" s="13"/>
    </row>
    <row r="4549" ht="15.75" hidden="1" customHeight="1">
      <c r="A4549" s="13"/>
      <c r="B4549" s="13"/>
      <c r="C4549" s="13"/>
      <c r="D4549" s="13"/>
      <c r="E4549" s="13"/>
      <c r="F4549" s="13"/>
      <c r="G4549" s="13"/>
      <c r="H4549" s="13"/>
      <c r="I4549" s="13"/>
      <c r="J4549" s="13"/>
      <c r="K4549" s="13"/>
      <c r="L4549" s="13"/>
      <c r="M4549" s="13"/>
      <c r="N4549" s="13"/>
    </row>
    <row r="4550" ht="15.75" hidden="1" customHeight="1">
      <c r="A4550" s="13"/>
      <c r="B4550" s="13"/>
      <c r="C4550" s="13"/>
      <c r="D4550" s="13"/>
      <c r="E4550" s="13"/>
      <c r="F4550" s="13"/>
      <c r="G4550" s="13"/>
      <c r="H4550" s="13"/>
      <c r="I4550" s="13"/>
      <c r="J4550" s="13"/>
      <c r="K4550" s="13"/>
      <c r="L4550" s="13"/>
      <c r="M4550" s="13"/>
      <c r="N4550" s="13"/>
    </row>
    <row r="4551" ht="15.75" hidden="1" customHeight="1">
      <c r="A4551" s="13"/>
      <c r="B4551" s="13"/>
      <c r="C4551" s="13"/>
      <c r="D4551" s="13"/>
      <c r="E4551" s="13"/>
      <c r="F4551" s="13"/>
      <c r="G4551" s="13"/>
      <c r="H4551" s="13"/>
      <c r="I4551" s="13"/>
      <c r="J4551" s="13"/>
      <c r="K4551" s="13"/>
      <c r="L4551" s="13"/>
      <c r="M4551" s="13"/>
      <c r="N4551" s="13"/>
    </row>
    <row r="4552" ht="15.75" hidden="1" customHeight="1">
      <c r="A4552" s="13"/>
      <c r="B4552" s="13"/>
      <c r="C4552" s="13"/>
      <c r="D4552" s="13"/>
      <c r="E4552" s="13"/>
      <c r="F4552" s="13"/>
      <c r="G4552" s="13"/>
      <c r="H4552" s="13"/>
      <c r="I4552" s="13"/>
      <c r="J4552" s="13"/>
      <c r="K4552" s="13"/>
      <c r="L4552" s="13"/>
      <c r="M4552" s="13"/>
      <c r="N4552" s="13"/>
    </row>
    <row r="4553" ht="15.75" hidden="1" customHeight="1">
      <c r="A4553" s="13"/>
      <c r="B4553" s="13"/>
      <c r="C4553" s="13"/>
      <c r="D4553" s="13"/>
      <c r="E4553" s="13"/>
      <c r="F4553" s="13"/>
      <c r="G4553" s="13"/>
      <c r="H4553" s="13"/>
      <c r="I4553" s="13"/>
      <c r="J4553" s="13"/>
      <c r="K4553" s="13"/>
      <c r="L4553" s="13"/>
      <c r="M4553" s="13"/>
      <c r="N4553" s="13"/>
    </row>
    <row r="4554" ht="15.75" hidden="1" customHeight="1">
      <c r="A4554" s="13"/>
      <c r="B4554" s="13"/>
      <c r="C4554" s="13"/>
      <c r="D4554" s="13"/>
      <c r="E4554" s="13"/>
      <c r="F4554" s="13"/>
      <c r="G4554" s="13"/>
      <c r="H4554" s="13"/>
      <c r="I4554" s="13"/>
      <c r="J4554" s="13"/>
      <c r="K4554" s="13"/>
      <c r="L4554" s="13"/>
      <c r="M4554" s="13"/>
      <c r="N4554" s="13"/>
    </row>
    <row r="4555" ht="15.75" hidden="1" customHeight="1">
      <c r="A4555" s="13"/>
      <c r="B4555" s="13"/>
      <c r="C4555" s="13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</row>
    <row r="4556" ht="15.75" hidden="1" customHeight="1">
      <c r="A4556" s="13"/>
      <c r="B4556" s="13"/>
      <c r="C4556" s="13"/>
      <c r="D4556" s="13"/>
      <c r="E4556" s="13"/>
      <c r="F4556" s="13"/>
      <c r="G4556" s="13"/>
      <c r="H4556" s="13"/>
      <c r="I4556" s="13"/>
      <c r="J4556" s="13"/>
      <c r="K4556" s="13"/>
      <c r="L4556" s="13"/>
      <c r="M4556" s="13"/>
      <c r="N4556" s="13"/>
    </row>
    <row r="4557" ht="15.75" hidden="1" customHeight="1">
      <c r="A4557" s="13"/>
      <c r="B4557" s="13"/>
      <c r="C4557" s="13"/>
      <c r="D4557" s="13"/>
      <c r="E4557" s="13"/>
      <c r="F4557" s="13"/>
      <c r="G4557" s="13"/>
      <c r="H4557" s="13"/>
      <c r="I4557" s="13"/>
      <c r="J4557" s="13"/>
      <c r="K4557" s="13"/>
      <c r="L4557" s="13"/>
      <c r="M4557" s="13"/>
      <c r="N4557" s="13"/>
    </row>
    <row r="4558" ht="15.75" hidden="1" customHeight="1">
      <c r="A4558" s="13"/>
      <c r="B4558" s="13"/>
      <c r="C4558" s="13"/>
      <c r="D4558" s="13"/>
      <c r="E4558" s="13"/>
      <c r="F4558" s="13"/>
      <c r="G4558" s="13"/>
      <c r="H4558" s="13"/>
      <c r="I4558" s="13"/>
      <c r="J4558" s="13"/>
      <c r="K4558" s="13"/>
      <c r="L4558" s="13"/>
      <c r="M4558" s="13"/>
      <c r="N4558" s="13"/>
    </row>
    <row r="4559" ht="15.75" hidden="1" customHeight="1">
      <c r="A4559" s="13"/>
      <c r="B4559" s="13"/>
      <c r="C4559" s="13"/>
      <c r="D4559" s="13"/>
      <c r="E4559" s="13"/>
      <c r="F4559" s="13"/>
      <c r="G4559" s="13"/>
      <c r="H4559" s="13"/>
      <c r="I4559" s="13"/>
      <c r="J4559" s="13"/>
      <c r="K4559" s="13"/>
      <c r="L4559" s="13"/>
      <c r="M4559" s="13"/>
      <c r="N4559" s="13"/>
    </row>
    <row r="4560" ht="15.75" hidden="1" customHeight="1">
      <c r="A4560" s="13"/>
      <c r="B4560" s="13"/>
      <c r="C4560" s="13"/>
      <c r="D4560" s="13"/>
      <c r="E4560" s="13"/>
      <c r="F4560" s="13"/>
      <c r="G4560" s="13"/>
      <c r="H4560" s="13"/>
      <c r="I4560" s="13"/>
      <c r="J4560" s="13"/>
      <c r="K4560" s="13"/>
      <c r="L4560" s="13"/>
      <c r="M4560" s="13"/>
      <c r="N4560" s="13"/>
    </row>
    <row r="4561" ht="15.75" hidden="1" customHeight="1">
      <c r="A4561" s="13"/>
      <c r="B4561" s="13"/>
      <c r="C4561" s="13"/>
      <c r="D4561" s="13"/>
      <c r="E4561" s="13"/>
      <c r="F4561" s="13"/>
      <c r="G4561" s="13"/>
      <c r="H4561" s="13"/>
      <c r="I4561" s="13"/>
      <c r="J4561" s="13"/>
      <c r="K4561" s="13"/>
      <c r="L4561" s="13"/>
      <c r="M4561" s="13"/>
      <c r="N4561" s="13"/>
    </row>
    <row r="4562" ht="15.75" hidden="1" customHeight="1">
      <c r="A4562" s="13"/>
      <c r="B4562" s="13"/>
      <c r="C4562" s="13"/>
      <c r="D4562" s="13"/>
      <c r="E4562" s="13"/>
      <c r="F4562" s="13"/>
      <c r="G4562" s="13"/>
      <c r="H4562" s="13"/>
      <c r="I4562" s="13"/>
      <c r="J4562" s="13"/>
      <c r="K4562" s="13"/>
      <c r="L4562" s="13"/>
      <c r="M4562" s="13"/>
      <c r="N4562" s="13"/>
    </row>
    <row r="4563" ht="15.75" hidden="1" customHeight="1">
      <c r="A4563" s="13"/>
      <c r="B4563" s="13"/>
      <c r="C4563" s="13"/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</row>
    <row r="4564" ht="15.75" hidden="1" customHeight="1">
      <c r="A4564" s="13"/>
      <c r="B4564" s="13"/>
      <c r="C4564" s="13"/>
      <c r="D4564" s="13"/>
      <c r="E4564" s="13"/>
      <c r="F4564" s="13"/>
      <c r="G4564" s="13"/>
      <c r="H4564" s="13"/>
      <c r="I4564" s="13"/>
      <c r="J4564" s="13"/>
      <c r="K4564" s="13"/>
      <c r="L4564" s="13"/>
      <c r="M4564" s="13"/>
      <c r="N4564" s="13"/>
    </row>
    <row r="4565" ht="15.75" hidden="1" customHeight="1">
      <c r="A4565" s="13"/>
      <c r="B4565" s="13"/>
      <c r="C4565" s="13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</row>
    <row r="4566" ht="15.75" hidden="1" customHeight="1">
      <c r="A4566" s="13"/>
      <c r="B4566" s="13"/>
      <c r="C4566" s="13"/>
      <c r="D4566" s="13"/>
      <c r="E4566" s="13"/>
      <c r="F4566" s="13"/>
      <c r="G4566" s="13"/>
      <c r="H4566" s="13"/>
      <c r="I4566" s="13"/>
      <c r="J4566" s="13"/>
      <c r="K4566" s="13"/>
      <c r="L4566" s="13"/>
      <c r="M4566" s="13"/>
      <c r="N4566" s="13"/>
    </row>
    <row r="4567" ht="15.75" hidden="1" customHeight="1">
      <c r="A4567" s="13"/>
      <c r="B4567" s="13"/>
      <c r="C4567" s="13"/>
      <c r="D4567" s="13"/>
      <c r="E4567" s="13"/>
      <c r="F4567" s="13"/>
      <c r="G4567" s="13"/>
      <c r="H4567" s="13"/>
      <c r="I4567" s="13"/>
      <c r="J4567" s="13"/>
      <c r="K4567" s="13"/>
      <c r="L4567" s="13"/>
      <c r="M4567" s="13"/>
      <c r="N4567" s="13"/>
    </row>
    <row r="4568" ht="15.75" hidden="1" customHeight="1">
      <c r="A4568" s="13"/>
      <c r="B4568" s="13"/>
      <c r="C4568" s="13"/>
      <c r="D4568" s="13"/>
      <c r="E4568" s="13"/>
      <c r="F4568" s="13"/>
      <c r="G4568" s="13"/>
      <c r="H4568" s="13"/>
      <c r="I4568" s="13"/>
      <c r="J4568" s="13"/>
      <c r="K4568" s="13"/>
      <c r="L4568" s="13"/>
      <c r="M4568" s="13"/>
      <c r="N4568" s="13"/>
    </row>
    <row r="4569" ht="15.75" hidden="1" customHeight="1">
      <c r="A4569" s="13"/>
      <c r="B4569" s="13"/>
      <c r="C4569" s="13"/>
      <c r="D4569" s="13"/>
      <c r="E4569" s="13"/>
      <c r="F4569" s="13"/>
      <c r="G4569" s="13"/>
      <c r="H4569" s="13"/>
      <c r="I4569" s="13"/>
      <c r="J4569" s="13"/>
      <c r="K4569" s="13"/>
      <c r="L4569" s="13"/>
      <c r="M4569" s="13"/>
      <c r="N4569" s="13"/>
    </row>
    <row r="4570" ht="15.75" hidden="1" customHeight="1">
      <c r="A4570" s="13"/>
      <c r="B4570" s="13"/>
      <c r="C4570" s="13"/>
      <c r="D4570" s="13"/>
      <c r="E4570" s="13"/>
      <c r="F4570" s="13"/>
      <c r="G4570" s="13"/>
      <c r="H4570" s="13"/>
      <c r="I4570" s="13"/>
      <c r="J4570" s="13"/>
      <c r="K4570" s="13"/>
      <c r="L4570" s="13"/>
      <c r="M4570" s="13"/>
      <c r="N4570" s="13"/>
    </row>
    <row r="4571" ht="15.75" hidden="1" customHeight="1">
      <c r="A4571" s="13"/>
      <c r="B4571" s="13"/>
      <c r="C4571" s="13"/>
      <c r="D4571" s="13"/>
      <c r="E4571" s="13"/>
      <c r="F4571" s="13"/>
      <c r="G4571" s="13"/>
      <c r="H4571" s="13"/>
      <c r="I4571" s="13"/>
      <c r="J4571" s="13"/>
      <c r="K4571" s="13"/>
      <c r="L4571" s="13"/>
      <c r="M4571" s="13"/>
      <c r="N4571" s="13"/>
    </row>
    <row r="4572" ht="15.75" hidden="1" customHeight="1">
      <c r="A4572" s="13"/>
      <c r="B4572" s="13"/>
      <c r="C4572" s="13"/>
      <c r="D4572" s="13"/>
      <c r="E4572" s="13"/>
      <c r="F4572" s="13"/>
      <c r="G4572" s="13"/>
      <c r="H4572" s="13"/>
      <c r="I4572" s="13"/>
      <c r="J4572" s="13"/>
      <c r="K4572" s="13"/>
      <c r="L4572" s="13"/>
      <c r="M4572" s="13"/>
      <c r="N4572" s="13"/>
    </row>
    <row r="4573" ht="15.75" hidden="1" customHeight="1">
      <c r="A4573" s="13"/>
      <c r="B4573" s="13"/>
      <c r="C4573" s="13"/>
      <c r="D4573" s="13"/>
      <c r="E4573" s="13"/>
      <c r="F4573" s="13"/>
      <c r="G4573" s="13"/>
      <c r="H4573" s="13"/>
      <c r="I4573" s="13"/>
      <c r="J4573" s="13"/>
      <c r="K4573" s="13"/>
      <c r="L4573" s="13"/>
      <c r="M4573" s="13"/>
      <c r="N4573" s="13"/>
    </row>
    <row r="4574" ht="15.75" hidden="1" customHeight="1">
      <c r="A4574" s="13"/>
      <c r="B4574" s="13"/>
      <c r="C4574" s="13"/>
      <c r="D4574" s="13"/>
      <c r="E4574" s="13"/>
      <c r="F4574" s="13"/>
      <c r="G4574" s="13"/>
      <c r="H4574" s="13"/>
      <c r="I4574" s="13"/>
      <c r="J4574" s="13"/>
      <c r="K4574" s="13"/>
      <c r="L4574" s="13"/>
      <c r="M4574" s="13"/>
      <c r="N4574" s="13"/>
    </row>
    <row r="4575" ht="15.75" hidden="1" customHeight="1">
      <c r="A4575" s="13"/>
      <c r="B4575" s="13"/>
      <c r="C4575" s="13"/>
      <c r="D4575" s="13"/>
      <c r="E4575" s="13"/>
      <c r="F4575" s="13"/>
      <c r="G4575" s="13"/>
      <c r="H4575" s="13"/>
      <c r="I4575" s="13"/>
      <c r="J4575" s="13"/>
      <c r="K4575" s="13"/>
      <c r="L4575" s="13"/>
      <c r="M4575" s="13"/>
      <c r="N4575" s="13"/>
    </row>
    <row r="4576" ht="15.75" hidden="1" customHeight="1">
      <c r="A4576" s="13"/>
      <c r="B4576" s="13"/>
      <c r="C4576" s="13"/>
      <c r="D4576" s="13"/>
      <c r="E4576" s="13"/>
      <c r="F4576" s="13"/>
      <c r="G4576" s="13"/>
      <c r="H4576" s="13"/>
      <c r="I4576" s="13"/>
      <c r="J4576" s="13"/>
      <c r="K4576" s="13"/>
      <c r="L4576" s="13"/>
      <c r="M4576" s="13"/>
      <c r="N4576" s="13"/>
    </row>
    <row r="4577" ht="15.75" hidden="1" customHeight="1">
      <c r="A4577" s="13"/>
      <c r="B4577" s="13"/>
      <c r="C4577" s="13"/>
      <c r="D4577" s="13"/>
      <c r="E4577" s="13"/>
      <c r="F4577" s="13"/>
      <c r="G4577" s="13"/>
      <c r="H4577" s="13"/>
      <c r="I4577" s="13"/>
      <c r="J4577" s="13"/>
      <c r="K4577" s="13"/>
      <c r="L4577" s="13"/>
      <c r="M4577" s="13"/>
      <c r="N4577" s="13"/>
    </row>
    <row r="4578" ht="15.75" hidden="1" customHeight="1">
      <c r="A4578" s="13"/>
      <c r="B4578" s="13"/>
      <c r="C4578" s="13"/>
      <c r="D4578" s="13"/>
      <c r="E4578" s="13"/>
      <c r="F4578" s="13"/>
      <c r="G4578" s="13"/>
      <c r="H4578" s="13"/>
      <c r="I4578" s="13"/>
      <c r="J4578" s="13"/>
      <c r="K4578" s="13"/>
      <c r="L4578" s="13"/>
      <c r="M4578" s="13"/>
      <c r="N4578" s="13"/>
    </row>
    <row r="4579" ht="15.75" hidden="1" customHeight="1">
      <c r="A4579" s="13"/>
      <c r="B4579" s="13"/>
      <c r="C4579" s="13"/>
      <c r="D4579" s="13"/>
      <c r="E4579" s="13"/>
      <c r="F4579" s="13"/>
      <c r="G4579" s="13"/>
      <c r="H4579" s="13"/>
      <c r="I4579" s="13"/>
      <c r="J4579" s="13"/>
      <c r="K4579" s="13"/>
      <c r="L4579" s="13"/>
      <c r="M4579" s="13"/>
      <c r="N4579" s="13"/>
    </row>
    <row r="4580" ht="15.75" hidden="1" customHeight="1">
      <c r="A4580" s="13"/>
      <c r="B4580" s="13"/>
      <c r="C4580" s="13"/>
      <c r="D4580" s="13"/>
      <c r="E4580" s="13"/>
      <c r="F4580" s="13"/>
      <c r="G4580" s="13"/>
      <c r="H4580" s="13"/>
      <c r="I4580" s="13"/>
      <c r="J4580" s="13"/>
      <c r="K4580" s="13"/>
      <c r="L4580" s="13"/>
      <c r="M4580" s="13"/>
      <c r="N4580" s="13"/>
    </row>
    <row r="4581" ht="15.75" hidden="1" customHeight="1">
      <c r="A4581" s="13"/>
      <c r="B4581" s="13"/>
      <c r="C4581" s="13"/>
      <c r="D4581" s="13"/>
      <c r="E4581" s="13"/>
      <c r="F4581" s="13"/>
      <c r="G4581" s="13"/>
      <c r="H4581" s="13"/>
      <c r="I4581" s="13"/>
      <c r="J4581" s="13"/>
      <c r="K4581" s="13"/>
      <c r="L4581" s="13"/>
      <c r="M4581" s="13"/>
      <c r="N4581" s="13"/>
    </row>
    <row r="4582" ht="15.75" hidden="1" customHeight="1">
      <c r="A4582" s="13"/>
      <c r="B4582" s="13"/>
      <c r="C4582" s="13"/>
      <c r="D4582" s="13"/>
      <c r="E4582" s="13"/>
      <c r="F4582" s="13"/>
      <c r="G4582" s="13"/>
      <c r="H4582" s="13"/>
      <c r="I4582" s="13"/>
      <c r="J4582" s="13"/>
      <c r="K4582" s="13"/>
      <c r="L4582" s="13"/>
      <c r="M4582" s="13"/>
      <c r="N4582" s="13"/>
    </row>
    <row r="4583" ht="15.75" hidden="1" customHeight="1">
      <c r="A4583" s="13"/>
      <c r="B4583" s="13"/>
      <c r="C4583" s="13"/>
      <c r="D4583" s="13"/>
      <c r="E4583" s="13"/>
      <c r="F4583" s="13"/>
      <c r="G4583" s="13"/>
      <c r="H4583" s="13"/>
      <c r="I4583" s="13"/>
      <c r="J4583" s="13"/>
      <c r="K4583" s="13"/>
      <c r="L4583" s="13"/>
      <c r="M4583" s="13"/>
      <c r="N4583" s="13"/>
    </row>
    <row r="4584" ht="15.75" hidden="1" customHeight="1">
      <c r="A4584" s="13"/>
      <c r="B4584" s="13"/>
      <c r="C4584" s="13"/>
      <c r="D4584" s="13"/>
      <c r="E4584" s="13"/>
      <c r="F4584" s="13"/>
      <c r="G4584" s="13"/>
      <c r="H4584" s="13"/>
      <c r="I4584" s="13"/>
      <c r="J4584" s="13"/>
      <c r="K4584" s="13"/>
      <c r="L4584" s="13"/>
      <c r="M4584" s="13"/>
      <c r="N4584" s="13"/>
    </row>
    <row r="4585" ht="15.75" hidden="1" customHeight="1">
      <c r="A4585" s="13"/>
      <c r="B4585" s="13"/>
      <c r="C4585" s="13"/>
      <c r="D4585" s="13"/>
      <c r="E4585" s="13"/>
      <c r="F4585" s="13"/>
      <c r="G4585" s="13"/>
      <c r="H4585" s="13"/>
      <c r="I4585" s="13"/>
      <c r="J4585" s="13"/>
      <c r="K4585" s="13"/>
      <c r="L4585" s="13"/>
      <c r="M4585" s="13"/>
      <c r="N4585" s="13"/>
    </row>
    <row r="4586" ht="15.75" hidden="1" customHeight="1">
      <c r="A4586" s="13"/>
      <c r="B4586" s="13"/>
      <c r="C4586" s="13"/>
      <c r="D4586" s="13"/>
      <c r="E4586" s="13"/>
      <c r="F4586" s="13"/>
      <c r="G4586" s="13"/>
      <c r="H4586" s="13"/>
      <c r="I4586" s="13"/>
      <c r="J4586" s="13"/>
      <c r="K4586" s="13"/>
      <c r="L4586" s="13"/>
      <c r="M4586" s="13"/>
      <c r="N4586" s="13"/>
    </row>
    <row r="4587" ht="15.75" hidden="1" customHeight="1">
      <c r="A4587" s="13"/>
      <c r="B4587" s="13"/>
      <c r="C4587" s="13"/>
      <c r="D4587" s="13"/>
      <c r="E4587" s="13"/>
      <c r="F4587" s="13"/>
      <c r="G4587" s="13"/>
      <c r="H4587" s="13"/>
      <c r="I4587" s="13"/>
      <c r="J4587" s="13"/>
      <c r="K4587" s="13"/>
      <c r="L4587" s="13"/>
      <c r="M4587" s="13"/>
      <c r="N4587" s="13"/>
    </row>
    <row r="4588" ht="15.75" hidden="1" customHeight="1">
      <c r="A4588" s="13"/>
      <c r="B4588" s="13"/>
      <c r="C4588" s="13"/>
      <c r="D4588" s="13"/>
      <c r="E4588" s="13"/>
      <c r="F4588" s="13"/>
      <c r="G4588" s="13"/>
      <c r="H4588" s="13"/>
      <c r="I4588" s="13"/>
      <c r="J4588" s="13"/>
      <c r="K4588" s="13"/>
      <c r="L4588" s="13"/>
      <c r="M4588" s="13"/>
      <c r="N4588" s="13"/>
    </row>
    <row r="4589" ht="15.75" hidden="1" customHeight="1">
      <c r="A4589" s="13"/>
      <c r="B4589" s="13"/>
      <c r="C4589" s="13"/>
      <c r="D4589" s="13"/>
      <c r="E4589" s="13"/>
      <c r="F4589" s="13"/>
      <c r="G4589" s="13"/>
      <c r="H4589" s="13"/>
      <c r="I4589" s="13"/>
      <c r="J4589" s="13"/>
      <c r="K4589" s="13"/>
      <c r="L4589" s="13"/>
      <c r="M4589" s="13"/>
      <c r="N4589" s="13"/>
    </row>
    <row r="4590" ht="15.75" hidden="1" customHeight="1">
      <c r="A4590" s="13"/>
      <c r="B4590" s="13"/>
      <c r="C4590" s="13"/>
      <c r="D4590" s="13"/>
      <c r="E4590" s="13"/>
      <c r="F4590" s="13"/>
      <c r="G4590" s="13"/>
      <c r="H4590" s="13"/>
      <c r="I4590" s="13"/>
      <c r="J4590" s="13"/>
      <c r="K4590" s="13"/>
      <c r="L4590" s="13"/>
      <c r="M4590" s="13"/>
      <c r="N4590" s="13"/>
    </row>
    <row r="4591" ht="15.75" hidden="1" customHeight="1">
      <c r="A4591" s="13"/>
      <c r="B4591" s="13"/>
      <c r="C4591" s="13"/>
      <c r="D4591" s="13"/>
      <c r="E4591" s="13"/>
      <c r="F4591" s="13"/>
      <c r="G4591" s="13"/>
      <c r="H4591" s="13"/>
      <c r="I4591" s="13"/>
      <c r="J4591" s="13"/>
      <c r="K4591" s="13"/>
      <c r="L4591" s="13"/>
      <c r="M4591" s="13"/>
      <c r="N4591" s="13"/>
    </row>
    <row r="4592" ht="15.75" hidden="1" customHeight="1">
      <c r="A4592" s="13"/>
      <c r="B4592" s="13"/>
      <c r="C4592" s="13"/>
      <c r="D4592" s="13"/>
      <c r="E4592" s="13"/>
      <c r="F4592" s="13"/>
      <c r="G4592" s="13"/>
      <c r="H4592" s="13"/>
      <c r="I4592" s="13"/>
      <c r="J4592" s="13"/>
      <c r="K4592" s="13"/>
      <c r="L4592" s="13"/>
      <c r="M4592" s="13"/>
      <c r="N4592" s="13"/>
    </row>
    <row r="4593" ht="15.75" hidden="1" customHeight="1">
      <c r="A4593" s="13"/>
      <c r="B4593" s="13"/>
      <c r="C4593" s="13"/>
      <c r="D4593" s="13"/>
      <c r="E4593" s="13"/>
      <c r="F4593" s="13"/>
      <c r="G4593" s="13"/>
      <c r="H4593" s="13"/>
      <c r="I4593" s="13"/>
      <c r="J4593" s="13"/>
      <c r="K4593" s="13"/>
      <c r="L4593" s="13"/>
      <c r="M4593" s="13"/>
      <c r="N4593" s="13"/>
    </row>
    <row r="4594" ht="15.75" hidden="1" customHeight="1">
      <c r="A4594" s="13"/>
      <c r="B4594" s="13"/>
      <c r="C4594" s="13"/>
      <c r="D4594" s="13"/>
      <c r="E4594" s="13"/>
      <c r="F4594" s="13"/>
      <c r="G4594" s="13"/>
      <c r="H4594" s="13"/>
      <c r="I4594" s="13"/>
      <c r="J4594" s="13"/>
      <c r="K4594" s="13"/>
      <c r="L4594" s="13"/>
      <c r="M4594" s="13"/>
      <c r="N4594" s="13"/>
    </row>
    <row r="4595" ht="15.75" hidden="1" customHeight="1">
      <c r="A4595" s="13"/>
      <c r="B4595" s="13"/>
      <c r="C4595" s="13"/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</row>
    <row r="4596" ht="15.75" hidden="1" customHeight="1">
      <c r="A4596" s="13"/>
      <c r="B4596" s="13"/>
      <c r="C4596" s="13"/>
      <c r="D4596" s="13"/>
      <c r="E4596" s="13"/>
      <c r="F4596" s="13"/>
      <c r="G4596" s="13"/>
      <c r="H4596" s="13"/>
      <c r="I4596" s="13"/>
      <c r="J4596" s="13"/>
      <c r="K4596" s="13"/>
      <c r="L4596" s="13"/>
      <c r="M4596" s="13"/>
      <c r="N4596" s="13"/>
    </row>
    <row r="4597" ht="15.75" hidden="1" customHeight="1">
      <c r="A4597" s="13"/>
      <c r="B4597" s="13"/>
      <c r="C4597" s="13"/>
      <c r="D4597" s="13"/>
      <c r="E4597" s="13"/>
      <c r="F4597" s="13"/>
      <c r="G4597" s="13"/>
      <c r="H4597" s="13"/>
      <c r="I4597" s="13"/>
      <c r="J4597" s="13"/>
      <c r="K4597" s="13"/>
      <c r="L4597" s="13"/>
      <c r="M4597" s="13"/>
      <c r="N4597" s="13"/>
    </row>
    <row r="4598" ht="15.75" hidden="1" customHeight="1">
      <c r="A4598" s="13"/>
      <c r="B4598" s="13"/>
      <c r="C4598" s="13"/>
      <c r="D4598" s="13"/>
      <c r="E4598" s="13"/>
      <c r="F4598" s="13"/>
      <c r="G4598" s="13"/>
      <c r="H4598" s="13"/>
      <c r="I4598" s="13"/>
      <c r="J4598" s="13"/>
      <c r="K4598" s="13"/>
      <c r="L4598" s="13"/>
      <c r="M4598" s="13"/>
      <c r="N4598" s="13"/>
    </row>
    <row r="4599" ht="15.75" hidden="1" customHeight="1">
      <c r="A4599" s="13"/>
      <c r="B4599" s="13"/>
      <c r="C4599" s="13"/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</row>
    <row r="4600" ht="15.75" hidden="1" customHeight="1">
      <c r="A4600" s="13"/>
      <c r="B4600" s="13"/>
      <c r="C4600" s="13"/>
      <c r="D4600" s="13"/>
      <c r="E4600" s="13"/>
      <c r="F4600" s="13"/>
      <c r="G4600" s="13"/>
      <c r="H4600" s="13"/>
      <c r="I4600" s="13"/>
      <c r="J4600" s="13"/>
      <c r="K4600" s="13"/>
      <c r="L4600" s="13"/>
      <c r="M4600" s="13"/>
      <c r="N4600" s="13"/>
    </row>
    <row r="4601" ht="15.75" hidden="1" customHeight="1">
      <c r="A4601" s="13"/>
      <c r="B4601" s="13"/>
      <c r="C4601" s="13"/>
      <c r="D4601" s="13"/>
      <c r="E4601" s="13"/>
      <c r="F4601" s="13"/>
      <c r="G4601" s="13"/>
      <c r="H4601" s="13"/>
      <c r="I4601" s="13"/>
      <c r="J4601" s="13"/>
      <c r="K4601" s="13"/>
      <c r="L4601" s="13"/>
      <c r="M4601" s="13"/>
      <c r="N4601" s="13"/>
    </row>
    <row r="4602" ht="15.75" hidden="1" customHeight="1">
      <c r="A4602" s="13"/>
      <c r="B4602" s="13"/>
      <c r="C4602" s="13"/>
      <c r="D4602" s="13"/>
      <c r="E4602" s="13"/>
      <c r="F4602" s="13"/>
      <c r="G4602" s="13"/>
      <c r="H4602" s="13"/>
      <c r="I4602" s="13"/>
      <c r="J4602" s="13"/>
      <c r="K4602" s="13"/>
      <c r="L4602" s="13"/>
      <c r="M4602" s="13"/>
      <c r="N4602" s="13"/>
    </row>
    <row r="4603" ht="15.75" hidden="1" customHeight="1">
      <c r="A4603" s="13"/>
      <c r="B4603" s="13"/>
      <c r="C4603" s="13"/>
      <c r="D4603" s="13"/>
      <c r="E4603" s="13"/>
      <c r="F4603" s="13"/>
      <c r="G4603" s="13"/>
      <c r="H4603" s="13"/>
      <c r="I4603" s="13"/>
      <c r="J4603" s="13"/>
      <c r="K4603" s="13"/>
      <c r="L4603" s="13"/>
      <c r="M4603" s="13"/>
      <c r="N4603" s="13"/>
    </row>
    <row r="4604" ht="15.75" hidden="1" customHeight="1">
      <c r="A4604" s="13"/>
      <c r="B4604" s="13"/>
      <c r="C4604" s="13"/>
      <c r="D4604" s="13"/>
      <c r="E4604" s="13"/>
      <c r="F4604" s="13"/>
      <c r="G4604" s="13"/>
      <c r="H4604" s="13"/>
      <c r="I4604" s="13"/>
      <c r="J4604" s="13"/>
      <c r="K4604" s="13"/>
      <c r="L4604" s="13"/>
      <c r="M4604" s="13"/>
      <c r="N4604" s="13"/>
    </row>
    <row r="4605" ht="15.75" hidden="1" customHeight="1">
      <c r="A4605" s="13"/>
      <c r="B4605" s="13"/>
      <c r="C4605" s="13"/>
      <c r="D4605" s="13"/>
      <c r="E4605" s="13"/>
      <c r="F4605" s="13"/>
      <c r="G4605" s="13"/>
      <c r="H4605" s="13"/>
      <c r="I4605" s="13"/>
      <c r="J4605" s="13"/>
      <c r="K4605" s="13"/>
      <c r="L4605" s="13"/>
      <c r="M4605" s="13"/>
      <c r="N4605" s="13"/>
    </row>
    <row r="4606" ht="15.75" hidden="1" customHeight="1">
      <c r="A4606" s="13"/>
      <c r="B4606" s="13"/>
      <c r="C4606" s="13"/>
      <c r="D4606" s="13"/>
      <c r="E4606" s="13"/>
      <c r="F4606" s="13"/>
      <c r="G4606" s="13"/>
      <c r="H4606" s="13"/>
      <c r="I4606" s="13"/>
      <c r="J4606" s="13"/>
      <c r="K4606" s="13"/>
      <c r="L4606" s="13"/>
      <c r="M4606" s="13"/>
      <c r="N4606" s="13"/>
    </row>
    <row r="4607" ht="15.75" hidden="1" customHeight="1">
      <c r="A4607" s="13"/>
      <c r="B4607" s="13"/>
      <c r="C4607" s="13"/>
      <c r="D4607" s="13"/>
      <c r="E4607" s="13"/>
      <c r="F4607" s="13"/>
      <c r="G4607" s="13"/>
      <c r="H4607" s="13"/>
      <c r="I4607" s="13"/>
      <c r="J4607" s="13"/>
      <c r="K4607" s="13"/>
      <c r="L4607" s="13"/>
      <c r="M4607" s="13"/>
      <c r="N4607" s="13"/>
    </row>
    <row r="4608" ht="15.75" hidden="1" customHeight="1">
      <c r="A4608" s="13"/>
      <c r="B4608" s="13"/>
      <c r="C4608" s="13"/>
      <c r="D4608" s="13"/>
      <c r="E4608" s="13"/>
      <c r="F4608" s="13"/>
      <c r="G4608" s="13"/>
      <c r="H4608" s="13"/>
      <c r="I4608" s="13"/>
      <c r="J4608" s="13"/>
      <c r="K4608" s="13"/>
      <c r="L4608" s="13"/>
      <c r="M4608" s="13"/>
      <c r="N4608" s="13"/>
    </row>
    <row r="4609" ht="15.75" hidden="1" customHeight="1">
      <c r="A4609" s="13"/>
      <c r="B4609" s="13"/>
      <c r="C4609" s="13"/>
      <c r="D4609" s="13"/>
      <c r="E4609" s="13"/>
      <c r="F4609" s="13"/>
      <c r="G4609" s="13"/>
      <c r="H4609" s="13"/>
      <c r="I4609" s="13"/>
      <c r="J4609" s="13"/>
      <c r="K4609" s="13"/>
      <c r="L4609" s="13"/>
      <c r="M4609" s="13"/>
      <c r="N4609" s="13"/>
    </row>
    <row r="4610" ht="15.75" hidden="1" customHeight="1">
      <c r="A4610" s="13"/>
      <c r="B4610" s="13"/>
      <c r="C4610" s="13"/>
      <c r="D4610" s="13"/>
      <c r="E4610" s="13"/>
      <c r="F4610" s="13"/>
      <c r="G4610" s="13"/>
      <c r="H4610" s="13"/>
      <c r="I4610" s="13"/>
      <c r="J4610" s="13"/>
      <c r="K4610" s="13"/>
      <c r="L4610" s="13"/>
      <c r="M4610" s="13"/>
      <c r="N4610" s="13"/>
    </row>
    <row r="4611" ht="15.75" hidden="1" customHeight="1">
      <c r="A4611" s="13"/>
      <c r="B4611" s="13"/>
      <c r="C4611" s="13"/>
      <c r="D4611" s="13"/>
      <c r="E4611" s="13"/>
      <c r="F4611" s="13"/>
      <c r="G4611" s="13"/>
      <c r="H4611" s="13"/>
      <c r="I4611" s="13"/>
      <c r="J4611" s="13"/>
      <c r="K4611" s="13"/>
      <c r="L4611" s="13"/>
      <c r="M4611" s="13"/>
      <c r="N4611" s="13"/>
    </row>
    <row r="4612" ht="15.75" hidden="1" customHeight="1">
      <c r="A4612" s="13"/>
      <c r="B4612" s="13"/>
      <c r="C4612" s="13"/>
      <c r="D4612" s="13"/>
      <c r="E4612" s="13"/>
      <c r="F4612" s="13"/>
      <c r="G4612" s="13"/>
      <c r="H4612" s="13"/>
      <c r="I4612" s="13"/>
      <c r="J4612" s="13"/>
      <c r="K4612" s="13"/>
      <c r="L4612" s="13"/>
      <c r="M4612" s="13"/>
      <c r="N4612" s="13"/>
    </row>
    <row r="4613" ht="15.75" hidden="1" customHeight="1">
      <c r="A4613" s="13"/>
      <c r="B4613" s="13"/>
      <c r="C4613" s="13"/>
      <c r="D4613" s="13"/>
      <c r="E4613" s="13"/>
      <c r="F4613" s="13"/>
      <c r="G4613" s="13"/>
      <c r="H4613" s="13"/>
      <c r="I4613" s="13"/>
      <c r="J4613" s="13"/>
      <c r="K4613" s="13"/>
      <c r="L4613" s="13"/>
      <c r="M4613" s="13"/>
      <c r="N4613" s="13"/>
    </row>
    <row r="4614" ht="15.75" hidden="1" customHeight="1">
      <c r="A4614" s="13"/>
      <c r="B4614" s="13"/>
      <c r="C4614" s="13"/>
      <c r="D4614" s="13"/>
      <c r="E4614" s="13"/>
      <c r="F4614" s="13"/>
      <c r="G4614" s="13"/>
      <c r="H4614" s="13"/>
      <c r="I4614" s="13"/>
      <c r="J4614" s="13"/>
      <c r="K4614" s="13"/>
      <c r="L4614" s="13"/>
      <c r="M4614" s="13"/>
      <c r="N4614" s="13"/>
    </row>
    <row r="4615" ht="15.75" hidden="1" customHeight="1">
      <c r="A4615" s="13"/>
      <c r="B4615" s="13"/>
      <c r="C4615" s="13"/>
      <c r="D4615" s="13"/>
      <c r="E4615" s="13"/>
      <c r="F4615" s="13"/>
      <c r="G4615" s="13"/>
      <c r="H4615" s="13"/>
      <c r="I4615" s="13"/>
      <c r="J4615" s="13"/>
      <c r="K4615" s="13"/>
      <c r="L4615" s="13"/>
      <c r="M4615" s="13"/>
      <c r="N4615" s="13"/>
    </row>
    <row r="4616" ht="15.75" hidden="1" customHeight="1">
      <c r="A4616" s="13"/>
      <c r="B4616" s="13"/>
      <c r="C4616" s="13"/>
      <c r="D4616" s="13"/>
      <c r="E4616" s="13"/>
      <c r="F4616" s="13"/>
      <c r="G4616" s="13"/>
      <c r="H4616" s="13"/>
      <c r="I4616" s="13"/>
      <c r="J4616" s="13"/>
      <c r="K4616" s="13"/>
      <c r="L4616" s="13"/>
      <c r="M4616" s="13"/>
      <c r="N4616" s="13"/>
    </row>
    <row r="4617" ht="15.75" hidden="1" customHeight="1">
      <c r="A4617" s="13"/>
      <c r="B4617" s="13"/>
      <c r="C4617" s="13"/>
      <c r="D4617" s="13"/>
      <c r="E4617" s="13"/>
      <c r="F4617" s="13"/>
      <c r="G4617" s="13"/>
      <c r="H4617" s="13"/>
      <c r="I4617" s="13"/>
      <c r="J4617" s="13"/>
      <c r="K4617" s="13"/>
      <c r="L4617" s="13"/>
      <c r="M4617" s="13"/>
      <c r="N4617" s="13"/>
    </row>
    <row r="4618" ht="15.75" hidden="1" customHeight="1">
      <c r="A4618" s="13"/>
      <c r="B4618" s="13"/>
      <c r="C4618" s="13"/>
      <c r="D4618" s="13"/>
      <c r="E4618" s="13"/>
      <c r="F4618" s="13"/>
      <c r="G4618" s="13"/>
      <c r="H4618" s="13"/>
      <c r="I4618" s="13"/>
      <c r="J4618" s="13"/>
      <c r="K4618" s="13"/>
      <c r="L4618" s="13"/>
      <c r="M4618" s="13"/>
      <c r="N4618" s="13"/>
    </row>
    <row r="4619" ht="15.75" hidden="1" customHeight="1">
      <c r="A4619" s="13"/>
      <c r="B4619" s="13"/>
      <c r="C4619" s="13"/>
      <c r="D4619" s="13"/>
      <c r="E4619" s="13"/>
      <c r="F4619" s="13"/>
      <c r="G4619" s="13"/>
      <c r="H4619" s="13"/>
      <c r="I4619" s="13"/>
      <c r="J4619" s="13"/>
      <c r="K4619" s="13"/>
      <c r="L4619" s="13"/>
      <c r="M4619" s="13"/>
      <c r="N4619" s="13"/>
    </row>
    <row r="4620" ht="15.75" hidden="1" customHeight="1">
      <c r="A4620" s="13"/>
      <c r="B4620" s="13"/>
      <c r="C4620" s="13"/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</row>
    <row r="4621" ht="15.75" hidden="1" customHeight="1">
      <c r="A4621" s="13"/>
      <c r="B4621" s="13"/>
      <c r="C4621" s="13"/>
      <c r="D4621" s="13"/>
      <c r="E4621" s="13"/>
      <c r="F4621" s="13"/>
      <c r="G4621" s="13"/>
      <c r="H4621" s="13"/>
      <c r="I4621" s="13"/>
      <c r="J4621" s="13"/>
      <c r="K4621" s="13"/>
      <c r="L4621" s="13"/>
      <c r="M4621" s="13"/>
      <c r="N4621" s="13"/>
    </row>
    <row r="4622" ht="15.75" hidden="1" customHeight="1">
      <c r="A4622" s="13"/>
      <c r="B4622" s="13"/>
      <c r="C4622" s="13"/>
      <c r="D4622" s="13"/>
      <c r="E4622" s="13"/>
      <c r="F4622" s="13"/>
      <c r="G4622" s="13"/>
      <c r="H4622" s="13"/>
      <c r="I4622" s="13"/>
      <c r="J4622" s="13"/>
      <c r="K4622" s="13"/>
      <c r="L4622" s="13"/>
      <c r="M4622" s="13"/>
      <c r="N4622" s="13"/>
    </row>
    <row r="4623" ht="15.75" hidden="1" customHeight="1">
      <c r="A4623" s="13"/>
      <c r="B4623" s="13"/>
      <c r="C4623" s="13"/>
      <c r="D4623" s="13"/>
      <c r="E4623" s="13"/>
      <c r="F4623" s="13"/>
      <c r="G4623" s="13"/>
      <c r="H4623" s="13"/>
      <c r="I4623" s="13"/>
      <c r="J4623" s="13"/>
      <c r="K4623" s="13"/>
      <c r="L4623" s="13"/>
      <c r="M4623" s="13"/>
      <c r="N4623" s="13"/>
    </row>
    <row r="4624" ht="15.75" hidden="1" customHeight="1">
      <c r="A4624" s="13"/>
      <c r="B4624" s="13"/>
      <c r="C4624" s="13"/>
      <c r="D4624" s="13"/>
      <c r="E4624" s="13"/>
      <c r="F4624" s="13"/>
      <c r="G4624" s="13"/>
      <c r="H4624" s="13"/>
      <c r="I4624" s="13"/>
      <c r="J4624" s="13"/>
      <c r="K4624" s="13"/>
      <c r="L4624" s="13"/>
      <c r="M4624" s="13"/>
      <c r="N4624" s="13"/>
    </row>
    <row r="4625" ht="15.75" hidden="1" customHeight="1">
      <c r="A4625" s="13"/>
      <c r="B4625" s="13"/>
      <c r="C4625" s="13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</row>
    <row r="4626" ht="15.75" hidden="1" customHeight="1">
      <c r="A4626" s="13"/>
      <c r="B4626" s="13"/>
      <c r="C4626" s="13"/>
      <c r="D4626" s="13"/>
      <c r="E4626" s="13"/>
      <c r="F4626" s="13"/>
      <c r="G4626" s="13"/>
      <c r="H4626" s="13"/>
      <c r="I4626" s="13"/>
      <c r="J4626" s="13"/>
      <c r="K4626" s="13"/>
      <c r="L4626" s="13"/>
      <c r="M4626" s="13"/>
      <c r="N4626" s="13"/>
    </row>
    <row r="4627" ht="15.75" hidden="1" customHeight="1">
      <c r="A4627" s="13"/>
      <c r="B4627" s="13"/>
      <c r="C4627" s="13"/>
      <c r="D4627" s="13"/>
      <c r="E4627" s="13"/>
      <c r="F4627" s="13"/>
      <c r="G4627" s="13"/>
      <c r="H4627" s="13"/>
      <c r="I4627" s="13"/>
      <c r="J4627" s="13"/>
      <c r="K4627" s="13"/>
      <c r="L4627" s="13"/>
      <c r="M4627" s="13"/>
      <c r="N4627" s="13"/>
    </row>
    <row r="4628" ht="15.75" hidden="1" customHeight="1">
      <c r="A4628" s="13"/>
      <c r="B4628" s="13"/>
      <c r="C4628" s="13"/>
      <c r="D4628" s="13"/>
      <c r="E4628" s="13"/>
      <c r="F4628" s="13"/>
      <c r="G4628" s="13"/>
      <c r="H4628" s="13"/>
      <c r="I4628" s="13"/>
      <c r="J4628" s="13"/>
      <c r="K4628" s="13"/>
      <c r="L4628" s="13"/>
      <c r="M4628" s="13"/>
      <c r="N4628" s="13"/>
    </row>
    <row r="4629" ht="15.75" hidden="1" customHeight="1">
      <c r="A4629" s="13"/>
      <c r="B4629" s="13"/>
      <c r="C4629" s="13"/>
      <c r="D4629" s="13"/>
      <c r="E4629" s="13"/>
      <c r="F4629" s="13"/>
      <c r="G4629" s="13"/>
      <c r="H4629" s="13"/>
      <c r="I4629" s="13"/>
      <c r="J4629" s="13"/>
      <c r="K4629" s="13"/>
      <c r="L4629" s="13"/>
      <c r="M4629" s="13"/>
      <c r="N4629" s="13"/>
    </row>
    <row r="4630" ht="15.75" hidden="1" customHeight="1">
      <c r="A4630" s="13"/>
      <c r="B4630" s="13"/>
      <c r="C4630" s="13"/>
      <c r="D4630" s="13"/>
      <c r="E4630" s="13"/>
      <c r="F4630" s="13"/>
      <c r="G4630" s="13"/>
      <c r="H4630" s="13"/>
      <c r="I4630" s="13"/>
      <c r="J4630" s="13"/>
      <c r="K4630" s="13"/>
      <c r="L4630" s="13"/>
      <c r="M4630" s="13"/>
      <c r="N4630" s="13"/>
    </row>
    <row r="4631" ht="15.75" hidden="1" customHeight="1">
      <c r="A4631" s="13"/>
      <c r="B4631" s="13"/>
      <c r="C4631" s="13"/>
      <c r="D4631" s="13"/>
      <c r="E4631" s="13"/>
      <c r="F4631" s="13"/>
      <c r="G4631" s="13"/>
      <c r="H4631" s="13"/>
      <c r="I4631" s="13"/>
      <c r="J4631" s="13"/>
      <c r="K4631" s="13"/>
      <c r="L4631" s="13"/>
      <c r="M4631" s="13"/>
      <c r="N4631" s="13"/>
    </row>
    <row r="4632" ht="15.75" hidden="1" customHeight="1">
      <c r="A4632" s="13"/>
      <c r="B4632" s="13"/>
      <c r="C4632" s="13"/>
      <c r="D4632" s="13"/>
      <c r="E4632" s="13"/>
      <c r="F4632" s="13"/>
      <c r="G4632" s="13"/>
      <c r="H4632" s="13"/>
      <c r="I4632" s="13"/>
      <c r="J4632" s="13"/>
      <c r="K4632" s="13"/>
      <c r="L4632" s="13"/>
      <c r="M4632" s="13"/>
      <c r="N4632" s="13"/>
    </row>
    <row r="4633" ht="15.75" hidden="1" customHeight="1">
      <c r="A4633" s="13"/>
      <c r="B4633" s="13"/>
      <c r="C4633" s="13"/>
      <c r="D4633" s="13"/>
      <c r="E4633" s="13"/>
      <c r="F4633" s="13"/>
      <c r="G4633" s="13"/>
      <c r="H4633" s="13"/>
      <c r="I4633" s="13"/>
      <c r="J4633" s="13"/>
      <c r="K4633" s="13"/>
      <c r="L4633" s="13"/>
      <c r="M4633" s="13"/>
      <c r="N4633" s="13"/>
    </row>
    <row r="4634" ht="15.75" hidden="1" customHeight="1">
      <c r="A4634" s="13"/>
      <c r="B4634" s="13"/>
      <c r="C4634" s="13"/>
      <c r="D4634" s="13"/>
      <c r="E4634" s="13"/>
      <c r="F4634" s="13"/>
      <c r="G4634" s="13"/>
      <c r="H4634" s="13"/>
      <c r="I4634" s="13"/>
      <c r="J4634" s="13"/>
      <c r="K4634" s="13"/>
      <c r="L4634" s="13"/>
      <c r="M4634" s="13"/>
      <c r="N4634" s="13"/>
    </row>
    <row r="4635" ht="15.75" hidden="1" customHeight="1">
      <c r="A4635" s="13"/>
      <c r="B4635" s="13"/>
      <c r="C4635" s="13"/>
      <c r="D4635" s="13"/>
      <c r="E4635" s="13"/>
      <c r="F4635" s="13"/>
      <c r="G4635" s="13"/>
      <c r="H4635" s="13"/>
      <c r="I4635" s="13"/>
      <c r="J4635" s="13"/>
      <c r="K4635" s="13"/>
      <c r="L4635" s="13"/>
      <c r="M4635" s="13"/>
      <c r="N4635" s="13"/>
    </row>
    <row r="4636" ht="15.75" hidden="1" customHeight="1">
      <c r="A4636" s="13"/>
      <c r="B4636" s="13"/>
      <c r="C4636" s="13"/>
      <c r="D4636" s="13"/>
      <c r="E4636" s="13"/>
      <c r="F4636" s="13"/>
      <c r="G4636" s="13"/>
      <c r="H4636" s="13"/>
      <c r="I4636" s="13"/>
      <c r="J4636" s="13"/>
      <c r="K4636" s="13"/>
      <c r="L4636" s="13"/>
      <c r="M4636" s="13"/>
      <c r="N4636" s="13"/>
    </row>
    <row r="4637" ht="15.75" hidden="1" customHeight="1">
      <c r="A4637" s="13"/>
      <c r="B4637" s="13"/>
      <c r="C4637" s="13"/>
      <c r="D4637" s="13"/>
      <c r="E4637" s="13"/>
      <c r="F4637" s="13"/>
      <c r="G4637" s="13"/>
      <c r="H4637" s="13"/>
      <c r="I4637" s="13"/>
      <c r="J4637" s="13"/>
      <c r="K4637" s="13"/>
      <c r="L4637" s="13"/>
      <c r="M4637" s="13"/>
      <c r="N4637" s="13"/>
    </row>
    <row r="4638" ht="15.75" hidden="1" customHeight="1">
      <c r="A4638" s="13"/>
      <c r="B4638" s="13"/>
      <c r="C4638" s="13"/>
      <c r="D4638" s="13"/>
      <c r="E4638" s="13"/>
      <c r="F4638" s="13"/>
      <c r="G4638" s="13"/>
      <c r="H4638" s="13"/>
      <c r="I4638" s="13"/>
      <c r="J4638" s="13"/>
      <c r="K4638" s="13"/>
      <c r="L4638" s="13"/>
      <c r="M4638" s="13"/>
      <c r="N4638" s="13"/>
    </row>
    <row r="4639" ht="15.75" hidden="1" customHeight="1">
      <c r="A4639" s="13"/>
      <c r="B4639" s="13"/>
      <c r="C4639" s="13"/>
      <c r="D4639" s="13"/>
      <c r="E4639" s="13"/>
      <c r="F4639" s="13"/>
      <c r="G4639" s="13"/>
      <c r="H4639" s="13"/>
      <c r="I4639" s="13"/>
      <c r="J4639" s="13"/>
      <c r="K4639" s="13"/>
      <c r="L4639" s="13"/>
      <c r="M4639" s="13"/>
      <c r="N4639" s="13"/>
    </row>
    <row r="4640" ht="15.75" hidden="1" customHeight="1">
      <c r="A4640" s="13"/>
      <c r="B4640" s="13"/>
      <c r="C4640" s="13"/>
      <c r="D4640" s="13"/>
      <c r="E4640" s="13"/>
      <c r="F4640" s="13"/>
      <c r="G4640" s="13"/>
      <c r="H4640" s="13"/>
      <c r="I4640" s="13"/>
      <c r="J4640" s="13"/>
      <c r="K4640" s="13"/>
      <c r="L4640" s="13"/>
      <c r="M4640" s="13"/>
      <c r="N4640" s="13"/>
    </row>
    <row r="4641" ht="15.75" hidden="1" customHeight="1">
      <c r="A4641" s="13"/>
      <c r="B4641" s="13"/>
      <c r="C4641" s="13"/>
      <c r="D4641" s="13"/>
      <c r="E4641" s="13"/>
      <c r="F4641" s="13"/>
      <c r="G4641" s="13"/>
      <c r="H4641" s="13"/>
      <c r="I4641" s="13"/>
      <c r="J4641" s="13"/>
      <c r="K4641" s="13"/>
      <c r="L4641" s="13"/>
      <c r="M4641" s="13"/>
      <c r="N4641" s="13"/>
    </row>
    <row r="4642" ht="15.75" hidden="1" customHeight="1">
      <c r="A4642" s="13"/>
      <c r="B4642" s="13"/>
      <c r="C4642" s="13"/>
      <c r="D4642" s="13"/>
      <c r="E4642" s="13"/>
      <c r="F4642" s="13"/>
      <c r="G4642" s="13"/>
      <c r="H4642" s="13"/>
      <c r="I4642" s="13"/>
      <c r="J4642" s="13"/>
      <c r="K4642" s="13"/>
      <c r="L4642" s="13"/>
      <c r="M4642" s="13"/>
      <c r="N4642" s="13"/>
    </row>
    <row r="4643" ht="15.75" hidden="1" customHeight="1">
      <c r="A4643" s="13"/>
      <c r="B4643" s="13"/>
      <c r="C4643" s="13"/>
      <c r="D4643" s="13"/>
      <c r="E4643" s="13"/>
      <c r="F4643" s="13"/>
      <c r="G4643" s="13"/>
      <c r="H4643" s="13"/>
      <c r="I4643" s="13"/>
      <c r="J4643" s="13"/>
      <c r="K4643" s="13"/>
      <c r="L4643" s="13"/>
      <c r="M4643" s="13"/>
      <c r="N4643" s="13"/>
    </row>
    <row r="4644" ht="15.75" hidden="1" customHeight="1">
      <c r="A4644" s="13"/>
      <c r="B4644" s="13"/>
      <c r="C4644" s="13"/>
      <c r="D4644" s="13"/>
      <c r="E4644" s="13"/>
      <c r="F4644" s="13"/>
      <c r="G4644" s="13"/>
      <c r="H4644" s="13"/>
      <c r="I4644" s="13"/>
      <c r="J4644" s="13"/>
      <c r="K4644" s="13"/>
      <c r="L4644" s="13"/>
      <c r="M4644" s="13"/>
      <c r="N4644" s="13"/>
    </row>
    <row r="4645" ht="15.75" hidden="1" customHeight="1">
      <c r="A4645" s="13"/>
      <c r="B4645" s="13"/>
      <c r="C4645" s="13"/>
      <c r="D4645" s="13"/>
      <c r="E4645" s="13"/>
      <c r="F4645" s="13"/>
      <c r="G4645" s="13"/>
      <c r="H4645" s="13"/>
      <c r="I4645" s="13"/>
      <c r="J4645" s="13"/>
      <c r="K4645" s="13"/>
      <c r="L4645" s="13"/>
      <c r="M4645" s="13"/>
      <c r="N4645" s="13"/>
    </row>
    <row r="4646" ht="15.75" hidden="1" customHeight="1">
      <c r="A4646" s="13"/>
      <c r="B4646" s="13"/>
      <c r="C4646" s="13"/>
      <c r="D4646" s="13"/>
      <c r="E4646" s="13"/>
      <c r="F4646" s="13"/>
      <c r="G4646" s="13"/>
      <c r="H4646" s="13"/>
      <c r="I4646" s="13"/>
      <c r="J4646" s="13"/>
      <c r="K4646" s="13"/>
      <c r="L4646" s="13"/>
      <c r="M4646" s="13"/>
      <c r="N4646" s="13"/>
    </row>
    <row r="4647" ht="15.75" hidden="1" customHeight="1">
      <c r="A4647" s="13"/>
      <c r="B4647" s="13"/>
      <c r="C4647" s="13"/>
      <c r="D4647" s="13"/>
      <c r="E4647" s="13"/>
      <c r="F4647" s="13"/>
      <c r="G4647" s="13"/>
      <c r="H4647" s="13"/>
      <c r="I4647" s="13"/>
      <c r="J4647" s="13"/>
      <c r="K4647" s="13"/>
      <c r="L4647" s="13"/>
      <c r="M4647" s="13"/>
      <c r="N4647" s="13"/>
    </row>
    <row r="4648" ht="15.75" hidden="1" customHeight="1">
      <c r="A4648" s="13"/>
      <c r="B4648" s="13"/>
      <c r="C4648" s="13"/>
      <c r="D4648" s="13"/>
      <c r="E4648" s="13"/>
      <c r="F4648" s="13"/>
      <c r="G4648" s="13"/>
      <c r="H4648" s="13"/>
      <c r="I4648" s="13"/>
      <c r="J4648" s="13"/>
      <c r="K4648" s="13"/>
      <c r="L4648" s="13"/>
      <c r="M4648" s="13"/>
      <c r="N4648" s="13"/>
    </row>
    <row r="4649" ht="15.75" hidden="1" customHeight="1">
      <c r="A4649" s="13"/>
      <c r="B4649" s="13"/>
      <c r="C4649" s="13"/>
      <c r="D4649" s="13"/>
      <c r="E4649" s="13"/>
      <c r="F4649" s="13"/>
      <c r="G4649" s="13"/>
      <c r="H4649" s="13"/>
      <c r="I4649" s="13"/>
      <c r="J4649" s="13"/>
      <c r="K4649" s="13"/>
      <c r="L4649" s="13"/>
      <c r="M4649" s="13"/>
      <c r="N4649" s="13"/>
    </row>
    <row r="4650" ht="15.75" hidden="1" customHeight="1">
      <c r="A4650" s="13"/>
      <c r="B4650" s="13"/>
      <c r="C4650" s="13"/>
      <c r="D4650" s="13"/>
      <c r="E4650" s="13"/>
      <c r="F4650" s="13"/>
      <c r="G4650" s="13"/>
      <c r="H4650" s="13"/>
      <c r="I4650" s="13"/>
      <c r="J4650" s="13"/>
      <c r="K4650" s="13"/>
      <c r="L4650" s="13"/>
      <c r="M4650" s="13"/>
      <c r="N4650" s="13"/>
    </row>
    <row r="4651" ht="15.75" hidden="1" customHeight="1">
      <c r="A4651" s="13"/>
      <c r="B4651" s="13"/>
      <c r="C4651" s="13"/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</row>
    <row r="4652" ht="15.75" hidden="1" customHeight="1">
      <c r="A4652" s="13"/>
      <c r="B4652" s="13"/>
      <c r="C4652" s="13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</row>
    <row r="4653" ht="15.75" hidden="1" customHeight="1">
      <c r="A4653" s="13"/>
      <c r="B4653" s="13"/>
      <c r="C4653" s="13"/>
      <c r="D4653" s="13"/>
      <c r="E4653" s="13"/>
      <c r="F4653" s="13"/>
      <c r="G4653" s="13"/>
      <c r="H4653" s="13"/>
      <c r="I4653" s="13"/>
      <c r="J4653" s="13"/>
      <c r="K4653" s="13"/>
      <c r="L4653" s="13"/>
      <c r="M4653" s="13"/>
      <c r="N4653" s="13"/>
    </row>
    <row r="4654" ht="15.75" hidden="1" customHeight="1">
      <c r="A4654" s="13"/>
      <c r="B4654" s="13"/>
      <c r="C4654" s="13"/>
      <c r="D4654" s="13"/>
      <c r="E4654" s="13"/>
      <c r="F4654" s="13"/>
      <c r="G4654" s="13"/>
      <c r="H4654" s="13"/>
      <c r="I4654" s="13"/>
      <c r="J4654" s="13"/>
      <c r="K4654" s="13"/>
      <c r="L4654" s="13"/>
      <c r="M4654" s="13"/>
      <c r="N4654" s="13"/>
    </row>
    <row r="4655" ht="15.75" hidden="1" customHeight="1">
      <c r="A4655" s="13"/>
      <c r="B4655" s="13"/>
      <c r="C4655" s="13"/>
      <c r="D4655" s="13"/>
      <c r="E4655" s="13"/>
      <c r="F4655" s="13"/>
      <c r="G4655" s="13"/>
      <c r="H4655" s="13"/>
      <c r="I4655" s="13"/>
      <c r="J4655" s="13"/>
      <c r="K4655" s="13"/>
      <c r="L4655" s="13"/>
      <c r="M4655" s="13"/>
      <c r="N4655" s="13"/>
    </row>
    <row r="4656" ht="15.75" hidden="1" customHeight="1">
      <c r="A4656" s="13"/>
      <c r="B4656" s="13"/>
      <c r="C4656" s="13"/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</row>
    <row r="4657" ht="15.75" hidden="1" customHeight="1">
      <c r="A4657" s="13"/>
      <c r="B4657" s="13"/>
      <c r="C4657" s="13"/>
      <c r="D4657" s="13"/>
      <c r="E4657" s="13"/>
      <c r="F4657" s="13"/>
      <c r="G4657" s="13"/>
      <c r="H4657" s="13"/>
      <c r="I4657" s="13"/>
      <c r="J4657" s="13"/>
      <c r="K4657" s="13"/>
      <c r="L4657" s="13"/>
      <c r="M4657" s="13"/>
      <c r="N4657" s="13"/>
    </row>
    <row r="4658" ht="15.75" hidden="1" customHeight="1">
      <c r="A4658" s="13"/>
      <c r="B4658" s="13"/>
      <c r="C4658" s="13"/>
      <c r="D4658" s="13"/>
      <c r="E4658" s="13"/>
      <c r="F4658" s="13"/>
      <c r="G4658" s="13"/>
      <c r="H4658" s="13"/>
      <c r="I4658" s="13"/>
      <c r="J4658" s="13"/>
      <c r="K4658" s="13"/>
      <c r="L4658" s="13"/>
      <c r="M4658" s="13"/>
      <c r="N4658" s="13"/>
    </row>
    <row r="4659" ht="15.75" hidden="1" customHeight="1">
      <c r="A4659" s="13"/>
      <c r="B4659" s="13"/>
      <c r="C4659" s="13"/>
      <c r="D4659" s="13"/>
      <c r="E4659" s="13"/>
      <c r="F4659" s="13"/>
      <c r="G4659" s="13"/>
      <c r="H4659" s="13"/>
      <c r="I4659" s="13"/>
      <c r="J4659" s="13"/>
      <c r="K4659" s="13"/>
      <c r="L4659" s="13"/>
      <c r="M4659" s="13"/>
      <c r="N4659" s="13"/>
    </row>
    <row r="4660" ht="15.75" hidden="1" customHeight="1">
      <c r="A4660" s="13"/>
      <c r="B4660" s="13"/>
      <c r="C4660" s="13"/>
      <c r="D4660" s="13"/>
      <c r="E4660" s="13"/>
      <c r="F4660" s="13"/>
      <c r="G4660" s="13"/>
      <c r="H4660" s="13"/>
      <c r="I4660" s="13"/>
      <c r="J4660" s="13"/>
      <c r="K4660" s="13"/>
      <c r="L4660" s="13"/>
      <c r="M4660" s="13"/>
      <c r="N4660" s="13"/>
    </row>
    <row r="4661" ht="15.75" hidden="1" customHeight="1">
      <c r="A4661" s="13"/>
      <c r="B4661" s="13"/>
      <c r="C4661" s="13"/>
      <c r="D4661" s="13"/>
      <c r="E4661" s="13"/>
      <c r="F4661" s="13"/>
      <c r="G4661" s="13"/>
      <c r="H4661" s="13"/>
      <c r="I4661" s="13"/>
      <c r="J4661" s="13"/>
      <c r="K4661" s="13"/>
      <c r="L4661" s="13"/>
      <c r="M4661" s="13"/>
      <c r="N4661" s="13"/>
    </row>
    <row r="4662" ht="15.75" hidden="1" customHeight="1">
      <c r="A4662" s="13"/>
      <c r="B4662" s="13"/>
      <c r="C4662" s="13"/>
      <c r="D4662" s="13"/>
      <c r="E4662" s="13"/>
      <c r="F4662" s="13"/>
      <c r="G4662" s="13"/>
      <c r="H4662" s="13"/>
      <c r="I4662" s="13"/>
      <c r="J4662" s="13"/>
      <c r="K4662" s="13"/>
      <c r="L4662" s="13"/>
      <c r="M4662" s="13"/>
      <c r="N4662" s="13"/>
    </row>
    <row r="4663" ht="15.75" hidden="1" customHeight="1">
      <c r="A4663" s="13"/>
      <c r="B4663" s="13"/>
      <c r="C4663" s="13"/>
      <c r="D4663" s="13"/>
      <c r="E4663" s="13"/>
      <c r="F4663" s="13"/>
      <c r="G4663" s="13"/>
      <c r="H4663" s="13"/>
      <c r="I4663" s="13"/>
      <c r="J4663" s="13"/>
      <c r="K4663" s="13"/>
      <c r="L4663" s="13"/>
      <c r="M4663" s="13"/>
      <c r="N4663" s="13"/>
    </row>
    <row r="4664" ht="15.75" hidden="1" customHeight="1">
      <c r="A4664" s="13"/>
      <c r="B4664" s="13"/>
      <c r="C4664" s="13"/>
      <c r="D4664" s="13"/>
      <c r="E4664" s="13"/>
      <c r="F4664" s="13"/>
      <c r="G4664" s="13"/>
      <c r="H4664" s="13"/>
      <c r="I4664" s="13"/>
      <c r="J4664" s="13"/>
      <c r="K4664" s="13"/>
      <c r="L4664" s="13"/>
      <c r="M4664" s="13"/>
      <c r="N4664" s="13"/>
    </row>
    <row r="4665" ht="15.75" hidden="1" customHeight="1">
      <c r="A4665" s="13"/>
      <c r="B4665" s="13"/>
      <c r="C4665" s="13"/>
      <c r="D4665" s="13"/>
      <c r="E4665" s="13"/>
      <c r="F4665" s="13"/>
      <c r="G4665" s="13"/>
      <c r="H4665" s="13"/>
      <c r="I4665" s="13"/>
      <c r="J4665" s="13"/>
      <c r="K4665" s="13"/>
      <c r="L4665" s="13"/>
      <c r="M4665" s="13"/>
      <c r="N4665" s="13"/>
    </row>
    <row r="4666" ht="15.75" hidden="1" customHeight="1">
      <c r="A4666" s="13"/>
      <c r="B4666" s="13"/>
      <c r="C4666" s="13"/>
      <c r="D4666" s="13"/>
      <c r="E4666" s="13"/>
      <c r="F4666" s="13"/>
      <c r="G4666" s="13"/>
      <c r="H4666" s="13"/>
      <c r="I4666" s="13"/>
      <c r="J4666" s="13"/>
      <c r="K4666" s="13"/>
      <c r="L4666" s="13"/>
      <c r="M4666" s="13"/>
      <c r="N4666" s="13"/>
    </row>
    <row r="4667" ht="15.75" hidden="1" customHeight="1">
      <c r="A4667" s="13"/>
      <c r="B4667" s="13"/>
      <c r="C4667" s="13"/>
      <c r="D4667" s="13"/>
      <c r="E4667" s="13"/>
      <c r="F4667" s="13"/>
      <c r="G4667" s="13"/>
      <c r="H4667" s="13"/>
      <c r="I4667" s="13"/>
      <c r="J4667" s="13"/>
      <c r="K4667" s="13"/>
      <c r="L4667" s="13"/>
      <c r="M4667" s="13"/>
      <c r="N4667" s="13"/>
    </row>
    <row r="4668" ht="15.75" hidden="1" customHeight="1">
      <c r="A4668" s="13"/>
      <c r="B4668" s="13"/>
      <c r="C4668" s="13"/>
      <c r="D4668" s="13"/>
      <c r="E4668" s="13"/>
      <c r="F4668" s="13"/>
      <c r="G4668" s="13"/>
      <c r="H4668" s="13"/>
      <c r="I4668" s="13"/>
      <c r="J4668" s="13"/>
      <c r="K4668" s="13"/>
      <c r="L4668" s="13"/>
      <c r="M4668" s="13"/>
      <c r="N4668" s="13"/>
    </row>
    <row r="4669" ht="15.75" hidden="1" customHeight="1">
      <c r="A4669" s="13"/>
      <c r="B4669" s="13"/>
      <c r="C4669" s="13"/>
      <c r="D4669" s="13"/>
      <c r="E4669" s="13"/>
      <c r="F4669" s="13"/>
      <c r="G4669" s="13"/>
      <c r="H4669" s="13"/>
      <c r="I4669" s="13"/>
      <c r="J4669" s="13"/>
      <c r="K4669" s="13"/>
      <c r="L4669" s="13"/>
      <c r="M4669" s="13"/>
      <c r="N4669" s="13"/>
    </row>
    <row r="4670" ht="15.75" hidden="1" customHeight="1">
      <c r="A4670" s="13"/>
      <c r="B4670" s="13"/>
      <c r="C4670" s="13"/>
      <c r="D4670" s="13"/>
      <c r="E4670" s="13"/>
      <c r="F4670" s="13"/>
      <c r="G4670" s="13"/>
      <c r="H4670" s="13"/>
      <c r="I4670" s="13"/>
      <c r="J4670" s="13"/>
      <c r="K4670" s="13"/>
      <c r="L4670" s="13"/>
      <c r="M4670" s="13"/>
      <c r="N4670" s="13"/>
    </row>
    <row r="4671" ht="15.75" hidden="1" customHeight="1">
      <c r="A4671" s="13"/>
      <c r="B4671" s="13"/>
      <c r="C4671" s="13"/>
      <c r="D4671" s="13"/>
      <c r="E4671" s="13"/>
      <c r="F4671" s="13"/>
      <c r="G4671" s="13"/>
      <c r="H4671" s="13"/>
      <c r="I4671" s="13"/>
      <c r="J4671" s="13"/>
      <c r="K4671" s="13"/>
      <c r="L4671" s="13"/>
      <c r="M4671" s="13"/>
      <c r="N4671" s="13"/>
    </row>
    <row r="4672" ht="15.75" hidden="1" customHeight="1">
      <c r="A4672" s="13"/>
      <c r="B4672" s="13"/>
      <c r="C4672" s="13"/>
      <c r="D4672" s="13"/>
      <c r="E4672" s="13"/>
      <c r="F4672" s="13"/>
      <c r="G4672" s="13"/>
      <c r="H4672" s="13"/>
      <c r="I4672" s="13"/>
      <c r="J4672" s="13"/>
      <c r="K4672" s="13"/>
      <c r="L4672" s="13"/>
      <c r="M4672" s="13"/>
      <c r="N4672" s="13"/>
    </row>
    <row r="4673" ht="15.75" hidden="1" customHeight="1">
      <c r="A4673" s="13"/>
      <c r="B4673" s="13"/>
      <c r="C4673" s="13"/>
      <c r="D4673" s="13"/>
      <c r="E4673" s="13"/>
      <c r="F4673" s="13"/>
      <c r="G4673" s="13"/>
      <c r="H4673" s="13"/>
      <c r="I4673" s="13"/>
      <c r="J4673" s="13"/>
      <c r="K4673" s="13"/>
      <c r="L4673" s="13"/>
      <c r="M4673" s="13"/>
      <c r="N4673" s="13"/>
    </row>
    <row r="4674" ht="15.75" hidden="1" customHeight="1">
      <c r="A4674" s="13"/>
      <c r="B4674" s="13"/>
      <c r="C4674" s="13"/>
      <c r="D4674" s="13"/>
      <c r="E4674" s="13"/>
      <c r="F4674" s="13"/>
      <c r="G4674" s="13"/>
      <c r="H4674" s="13"/>
      <c r="I4674" s="13"/>
      <c r="J4674" s="13"/>
      <c r="K4674" s="13"/>
      <c r="L4674" s="13"/>
      <c r="M4674" s="13"/>
      <c r="N4674" s="13"/>
    </row>
    <row r="4675" ht="15.75" hidden="1" customHeight="1">
      <c r="A4675" s="13"/>
      <c r="B4675" s="13"/>
      <c r="C4675" s="13"/>
      <c r="D4675" s="13"/>
      <c r="E4675" s="13"/>
      <c r="F4675" s="13"/>
      <c r="G4675" s="13"/>
      <c r="H4675" s="13"/>
      <c r="I4675" s="13"/>
      <c r="J4675" s="13"/>
      <c r="K4675" s="13"/>
      <c r="L4675" s="13"/>
      <c r="M4675" s="13"/>
      <c r="N4675" s="13"/>
    </row>
    <row r="4676" ht="15.75" hidden="1" customHeight="1">
      <c r="A4676" s="13"/>
      <c r="B4676" s="13"/>
      <c r="C4676" s="13"/>
      <c r="D4676" s="13"/>
      <c r="E4676" s="13"/>
      <c r="F4676" s="13"/>
      <c r="G4676" s="13"/>
      <c r="H4676" s="13"/>
      <c r="I4676" s="13"/>
      <c r="J4676" s="13"/>
      <c r="K4676" s="13"/>
      <c r="L4676" s="13"/>
      <c r="M4676" s="13"/>
      <c r="N4676" s="13"/>
    </row>
    <row r="4677" ht="15.75" hidden="1" customHeight="1">
      <c r="A4677" s="13"/>
      <c r="B4677" s="13"/>
      <c r="C4677" s="13"/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</row>
    <row r="4678" ht="15.75" hidden="1" customHeight="1">
      <c r="A4678" s="13"/>
      <c r="B4678" s="13"/>
      <c r="C4678" s="13"/>
      <c r="D4678" s="13"/>
      <c r="E4678" s="13"/>
      <c r="F4678" s="13"/>
      <c r="G4678" s="13"/>
      <c r="H4678" s="13"/>
      <c r="I4678" s="13"/>
      <c r="J4678" s="13"/>
      <c r="K4678" s="13"/>
      <c r="L4678" s="13"/>
      <c r="M4678" s="13"/>
      <c r="N4678" s="13"/>
    </row>
    <row r="4679" ht="15.75" hidden="1" customHeight="1">
      <c r="A4679" s="13"/>
      <c r="B4679" s="13"/>
      <c r="C4679" s="13"/>
      <c r="D4679" s="13"/>
      <c r="E4679" s="13"/>
      <c r="F4679" s="13"/>
      <c r="G4679" s="13"/>
      <c r="H4679" s="13"/>
      <c r="I4679" s="13"/>
      <c r="J4679" s="13"/>
      <c r="K4679" s="13"/>
      <c r="L4679" s="13"/>
      <c r="M4679" s="13"/>
      <c r="N4679" s="13"/>
    </row>
    <row r="4680" ht="15.75" hidden="1" customHeight="1">
      <c r="A4680" s="13"/>
      <c r="B4680" s="13"/>
      <c r="C4680" s="13"/>
      <c r="D4680" s="13"/>
      <c r="E4680" s="13"/>
      <c r="F4680" s="13"/>
      <c r="G4680" s="13"/>
      <c r="H4680" s="13"/>
      <c r="I4680" s="13"/>
      <c r="J4680" s="13"/>
      <c r="K4680" s="13"/>
      <c r="L4680" s="13"/>
      <c r="M4680" s="13"/>
      <c r="N4680" s="13"/>
    </row>
    <row r="4681" ht="15.75" hidden="1" customHeight="1">
      <c r="A4681" s="13"/>
      <c r="B4681" s="13"/>
      <c r="C4681" s="13"/>
      <c r="D4681" s="13"/>
      <c r="E4681" s="13"/>
      <c r="F4681" s="13"/>
      <c r="G4681" s="13"/>
      <c r="H4681" s="13"/>
      <c r="I4681" s="13"/>
      <c r="J4681" s="13"/>
      <c r="K4681" s="13"/>
      <c r="L4681" s="13"/>
      <c r="M4681" s="13"/>
      <c r="N4681" s="13"/>
    </row>
    <row r="4682" ht="15.75" hidden="1" customHeight="1">
      <c r="A4682" s="13"/>
      <c r="B4682" s="13"/>
      <c r="C4682" s="13"/>
      <c r="D4682" s="13"/>
      <c r="E4682" s="13"/>
      <c r="F4682" s="13"/>
      <c r="G4682" s="13"/>
      <c r="H4682" s="13"/>
      <c r="I4682" s="13"/>
      <c r="J4682" s="13"/>
      <c r="K4682" s="13"/>
      <c r="L4682" s="13"/>
      <c r="M4682" s="13"/>
      <c r="N4682" s="13"/>
    </row>
    <row r="4683" ht="15.75" hidden="1" customHeight="1">
      <c r="A4683" s="13"/>
      <c r="B4683" s="13"/>
      <c r="C4683" s="13"/>
      <c r="D4683" s="13"/>
      <c r="E4683" s="13"/>
      <c r="F4683" s="13"/>
      <c r="G4683" s="13"/>
      <c r="H4683" s="13"/>
      <c r="I4683" s="13"/>
      <c r="J4683" s="13"/>
      <c r="K4683" s="13"/>
      <c r="L4683" s="13"/>
      <c r="M4683" s="13"/>
      <c r="N4683" s="13"/>
    </row>
    <row r="4684" ht="15.75" hidden="1" customHeight="1">
      <c r="A4684" s="13"/>
      <c r="B4684" s="13"/>
      <c r="C4684" s="13"/>
      <c r="D4684" s="13"/>
      <c r="E4684" s="13"/>
      <c r="F4684" s="13"/>
      <c r="G4684" s="13"/>
      <c r="H4684" s="13"/>
      <c r="I4684" s="13"/>
      <c r="J4684" s="13"/>
      <c r="K4684" s="13"/>
      <c r="L4684" s="13"/>
      <c r="M4684" s="13"/>
      <c r="N4684" s="13"/>
    </row>
    <row r="4685" ht="15.75" hidden="1" customHeight="1">
      <c r="A4685" s="13"/>
      <c r="B4685" s="13"/>
      <c r="C4685" s="13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</row>
    <row r="4686" ht="15.75" hidden="1" customHeight="1">
      <c r="A4686" s="13"/>
      <c r="B4686" s="13"/>
      <c r="C4686" s="13"/>
      <c r="D4686" s="13"/>
      <c r="E4686" s="13"/>
      <c r="F4686" s="13"/>
      <c r="G4686" s="13"/>
      <c r="H4686" s="13"/>
      <c r="I4686" s="13"/>
      <c r="J4686" s="13"/>
      <c r="K4686" s="13"/>
      <c r="L4686" s="13"/>
      <c r="M4686" s="13"/>
      <c r="N4686" s="13"/>
    </row>
    <row r="4687" ht="15.75" hidden="1" customHeight="1">
      <c r="A4687" s="13"/>
      <c r="B4687" s="13"/>
      <c r="C4687" s="13"/>
      <c r="D4687" s="13"/>
      <c r="E4687" s="13"/>
      <c r="F4687" s="13"/>
      <c r="G4687" s="13"/>
      <c r="H4687" s="13"/>
      <c r="I4687" s="13"/>
      <c r="J4687" s="13"/>
      <c r="K4687" s="13"/>
      <c r="L4687" s="13"/>
      <c r="M4687" s="13"/>
      <c r="N4687" s="13"/>
    </row>
    <row r="4688" ht="15.75" hidden="1" customHeight="1">
      <c r="A4688" s="13"/>
      <c r="B4688" s="13"/>
      <c r="C4688" s="13"/>
      <c r="D4688" s="13"/>
      <c r="E4688" s="13"/>
      <c r="F4688" s="13"/>
      <c r="G4688" s="13"/>
      <c r="H4688" s="13"/>
      <c r="I4688" s="13"/>
      <c r="J4688" s="13"/>
      <c r="K4688" s="13"/>
      <c r="L4688" s="13"/>
      <c r="M4688" s="13"/>
      <c r="N4688" s="13"/>
    </row>
    <row r="4689" ht="15.75" hidden="1" customHeight="1">
      <c r="A4689" s="13"/>
      <c r="B4689" s="13"/>
      <c r="C4689" s="13"/>
      <c r="D4689" s="13"/>
      <c r="E4689" s="13"/>
      <c r="F4689" s="13"/>
      <c r="G4689" s="13"/>
      <c r="H4689" s="13"/>
      <c r="I4689" s="13"/>
      <c r="J4689" s="13"/>
      <c r="K4689" s="13"/>
      <c r="L4689" s="13"/>
      <c r="M4689" s="13"/>
      <c r="N4689" s="13"/>
    </row>
    <row r="4690" ht="15.75" hidden="1" customHeight="1">
      <c r="A4690" s="13"/>
      <c r="B4690" s="13"/>
      <c r="C4690" s="13"/>
      <c r="D4690" s="13"/>
      <c r="E4690" s="13"/>
      <c r="F4690" s="13"/>
      <c r="G4690" s="13"/>
      <c r="H4690" s="13"/>
      <c r="I4690" s="13"/>
      <c r="J4690" s="13"/>
      <c r="K4690" s="13"/>
      <c r="L4690" s="13"/>
      <c r="M4690" s="13"/>
      <c r="N4690" s="13"/>
    </row>
    <row r="4691" ht="15.75" hidden="1" customHeight="1">
      <c r="A4691" s="13"/>
      <c r="B4691" s="13"/>
      <c r="C4691" s="13"/>
      <c r="D4691" s="13"/>
      <c r="E4691" s="13"/>
      <c r="F4691" s="13"/>
      <c r="G4691" s="13"/>
      <c r="H4691" s="13"/>
      <c r="I4691" s="13"/>
      <c r="J4691" s="13"/>
      <c r="K4691" s="13"/>
      <c r="L4691" s="13"/>
      <c r="M4691" s="13"/>
      <c r="N4691" s="13"/>
    </row>
    <row r="4692" ht="15.75" hidden="1" customHeight="1">
      <c r="A4692" s="13"/>
      <c r="B4692" s="13"/>
      <c r="C4692" s="13"/>
      <c r="D4692" s="13"/>
      <c r="E4692" s="13"/>
      <c r="F4692" s="13"/>
      <c r="G4692" s="13"/>
      <c r="H4692" s="13"/>
      <c r="I4692" s="13"/>
      <c r="J4692" s="13"/>
      <c r="K4692" s="13"/>
      <c r="L4692" s="13"/>
      <c r="M4692" s="13"/>
      <c r="N4692" s="13"/>
    </row>
    <row r="4693" ht="15.75" hidden="1" customHeight="1">
      <c r="A4693" s="13"/>
      <c r="B4693" s="13"/>
      <c r="C4693" s="13"/>
      <c r="D4693" s="13"/>
      <c r="E4693" s="13"/>
      <c r="F4693" s="13"/>
      <c r="G4693" s="13"/>
      <c r="H4693" s="13"/>
      <c r="I4693" s="13"/>
      <c r="J4693" s="13"/>
      <c r="K4693" s="13"/>
      <c r="L4693" s="13"/>
      <c r="M4693" s="13"/>
      <c r="N4693" s="13"/>
    </row>
    <row r="4694" ht="15.75" hidden="1" customHeight="1">
      <c r="A4694" s="13"/>
      <c r="B4694" s="13"/>
      <c r="C4694" s="13"/>
      <c r="D4694" s="13"/>
      <c r="E4694" s="13"/>
      <c r="F4694" s="13"/>
      <c r="G4694" s="13"/>
      <c r="H4694" s="13"/>
      <c r="I4694" s="13"/>
      <c r="J4694" s="13"/>
      <c r="K4694" s="13"/>
      <c r="L4694" s="13"/>
      <c r="M4694" s="13"/>
      <c r="N4694" s="13"/>
    </row>
    <row r="4695" ht="15.75" hidden="1" customHeight="1">
      <c r="A4695" s="13"/>
      <c r="B4695" s="13"/>
      <c r="C4695" s="13"/>
      <c r="D4695" s="13"/>
      <c r="E4695" s="13"/>
      <c r="F4695" s="13"/>
      <c r="G4695" s="13"/>
      <c r="H4695" s="13"/>
      <c r="I4695" s="13"/>
      <c r="J4695" s="13"/>
      <c r="K4695" s="13"/>
      <c r="L4695" s="13"/>
      <c r="M4695" s="13"/>
      <c r="N4695" s="13"/>
    </row>
    <row r="4696" ht="15.75" hidden="1" customHeight="1">
      <c r="A4696" s="13"/>
      <c r="B4696" s="13"/>
      <c r="C4696" s="13"/>
      <c r="D4696" s="13"/>
      <c r="E4696" s="13"/>
      <c r="F4696" s="13"/>
      <c r="G4696" s="13"/>
      <c r="H4696" s="13"/>
      <c r="I4696" s="13"/>
      <c r="J4696" s="13"/>
      <c r="K4696" s="13"/>
      <c r="L4696" s="13"/>
      <c r="M4696" s="13"/>
      <c r="N4696" s="13"/>
    </row>
    <row r="4697" ht="15.75" hidden="1" customHeight="1">
      <c r="A4697" s="13"/>
      <c r="B4697" s="13"/>
      <c r="C4697" s="13"/>
      <c r="D4697" s="13"/>
      <c r="E4697" s="13"/>
      <c r="F4697" s="13"/>
      <c r="G4697" s="13"/>
      <c r="H4697" s="13"/>
      <c r="I4697" s="13"/>
      <c r="J4697" s="13"/>
      <c r="K4697" s="13"/>
      <c r="L4697" s="13"/>
      <c r="M4697" s="13"/>
      <c r="N4697" s="13"/>
    </row>
    <row r="4698" ht="15.75" hidden="1" customHeight="1">
      <c r="A4698" s="13"/>
      <c r="B4698" s="13"/>
      <c r="C4698" s="13"/>
      <c r="D4698" s="13"/>
      <c r="E4698" s="13"/>
      <c r="F4698" s="13"/>
      <c r="G4698" s="13"/>
      <c r="H4698" s="13"/>
      <c r="I4698" s="13"/>
      <c r="J4698" s="13"/>
      <c r="K4698" s="13"/>
      <c r="L4698" s="13"/>
      <c r="M4698" s="13"/>
      <c r="N4698" s="13"/>
    </row>
    <row r="4699" ht="15.75" hidden="1" customHeight="1">
      <c r="A4699" s="13"/>
      <c r="B4699" s="13"/>
      <c r="C4699" s="13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</row>
    <row r="4700" ht="15.75" hidden="1" customHeight="1">
      <c r="A4700" s="13"/>
      <c r="B4700" s="13"/>
      <c r="C4700" s="13"/>
      <c r="D4700" s="13"/>
      <c r="E4700" s="13"/>
      <c r="F4700" s="13"/>
      <c r="G4700" s="13"/>
      <c r="H4700" s="13"/>
      <c r="I4700" s="13"/>
      <c r="J4700" s="13"/>
      <c r="K4700" s="13"/>
      <c r="L4700" s="13"/>
      <c r="M4700" s="13"/>
      <c r="N4700" s="13"/>
    </row>
    <row r="4701" ht="15.75" hidden="1" customHeight="1">
      <c r="A4701" s="13"/>
      <c r="B4701" s="13"/>
      <c r="C4701" s="13"/>
      <c r="D4701" s="13"/>
      <c r="E4701" s="13"/>
      <c r="F4701" s="13"/>
      <c r="G4701" s="13"/>
      <c r="H4701" s="13"/>
      <c r="I4701" s="13"/>
      <c r="J4701" s="13"/>
      <c r="K4701" s="13"/>
      <c r="L4701" s="13"/>
      <c r="M4701" s="13"/>
      <c r="N4701" s="13"/>
    </row>
    <row r="4702" ht="15.75" hidden="1" customHeight="1">
      <c r="A4702" s="13"/>
      <c r="B4702" s="13"/>
      <c r="C4702" s="13"/>
      <c r="D4702" s="13"/>
      <c r="E4702" s="13"/>
      <c r="F4702" s="13"/>
      <c r="G4702" s="13"/>
      <c r="H4702" s="13"/>
      <c r="I4702" s="13"/>
      <c r="J4702" s="13"/>
      <c r="K4702" s="13"/>
      <c r="L4702" s="13"/>
      <c r="M4702" s="13"/>
      <c r="N4702" s="13"/>
    </row>
    <row r="4703" ht="15.75" hidden="1" customHeight="1">
      <c r="A4703" s="13"/>
      <c r="B4703" s="13"/>
      <c r="C4703" s="13"/>
      <c r="D4703" s="13"/>
      <c r="E4703" s="13"/>
      <c r="F4703" s="13"/>
      <c r="G4703" s="13"/>
      <c r="H4703" s="13"/>
      <c r="I4703" s="13"/>
      <c r="J4703" s="13"/>
      <c r="K4703" s="13"/>
      <c r="L4703" s="13"/>
      <c r="M4703" s="13"/>
      <c r="N4703" s="13"/>
    </row>
    <row r="4704" ht="15.75" hidden="1" customHeight="1">
      <c r="A4704" s="13"/>
      <c r="B4704" s="13"/>
      <c r="C4704" s="13"/>
      <c r="D4704" s="13"/>
      <c r="E4704" s="13"/>
      <c r="F4704" s="13"/>
      <c r="G4704" s="13"/>
      <c r="H4704" s="13"/>
      <c r="I4704" s="13"/>
      <c r="J4704" s="13"/>
      <c r="K4704" s="13"/>
      <c r="L4704" s="13"/>
      <c r="M4704" s="13"/>
      <c r="N4704" s="13"/>
    </row>
    <row r="4705" ht="15.75" hidden="1" customHeight="1">
      <c r="A4705" s="13"/>
      <c r="B4705" s="13"/>
      <c r="C4705" s="13"/>
      <c r="D4705" s="13"/>
      <c r="E4705" s="13"/>
      <c r="F4705" s="13"/>
      <c r="G4705" s="13"/>
      <c r="H4705" s="13"/>
      <c r="I4705" s="13"/>
      <c r="J4705" s="13"/>
      <c r="K4705" s="13"/>
      <c r="L4705" s="13"/>
      <c r="M4705" s="13"/>
      <c r="N4705" s="13"/>
    </row>
    <row r="4706" ht="15.75" hidden="1" customHeight="1">
      <c r="A4706" s="13"/>
      <c r="B4706" s="13"/>
      <c r="C4706" s="13"/>
      <c r="D4706" s="13"/>
      <c r="E4706" s="13"/>
      <c r="F4706" s="13"/>
      <c r="G4706" s="13"/>
      <c r="H4706" s="13"/>
      <c r="I4706" s="13"/>
      <c r="J4706" s="13"/>
      <c r="K4706" s="13"/>
      <c r="L4706" s="13"/>
      <c r="M4706" s="13"/>
      <c r="N4706" s="13"/>
    </row>
    <row r="4707" ht="15.75" hidden="1" customHeight="1">
      <c r="A4707" s="13"/>
      <c r="B4707" s="13"/>
      <c r="C4707" s="13"/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</row>
    <row r="4708" ht="15.75" hidden="1" customHeight="1">
      <c r="A4708" s="13"/>
      <c r="B4708" s="13"/>
      <c r="C4708" s="13"/>
      <c r="D4708" s="13"/>
      <c r="E4708" s="13"/>
      <c r="F4708" s="13"/>
      <c r="G4708" s="13"/>
      <c r="H4708" s="13"/>
      <c r="I4708" s="13"/>
      <c r="J4708" s="13"/>
      <c r="K4708" s="13"/>
      <c r="L4708" s="13"/>
      <c r="M4708" s="13"/>
      <c r="N4708" s="13"/>
    </row>
    <row r="4709" ht="15.75" hidden="1" customHeight="1">
      <c r="A4709" s="13"/>
      <c r="B4709" s="13"/>
      <c r="C4709" s="13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</row>
    <row r="4710" ht="15.75" hidden="1" customHeight="1">
      <c r="A4710" s="13"/>
      <c r="B4710" s="13"/>
      <c r="C4710" s="13"/>
      <c r="D4710" s="13"/>
      <c r="E4710" s="13"/>
      <c r="F4710" s="13"/>
      <c r="G4710" s="13"/>
      <c r="H4710" s="13"/>
      <c r="I4710" s="13"/>
      <c r="J4710" s="13"/>
      <c r="K4710" s="13"/>
      <c r="L4710" s="13"/>
      <c r="M4710" s="13"/>
      <c r="N4710" s="13"/>
    </row>
    <row r="4711" ht="15.75" hidden="1" customHeight="1">
      <c r="A4711" s="13"/>
      <c r="B4711" s="13"/>
      <c r="C4711" s="13"/>
      <c r="D4711" s="13"/>
      <c r="E4711" s="13"/>
      <c r="F4711" s="13"/>
      <c r="G4711" s="13"/>
      <c r="H4711" s="13"/>
      <c r="I4711" s="13"/>
      <c r="J4711" s="13"/>
      <c r="K4711" s="13"/>
      <c r="L4711" s="13"/>
      <c r="M4711" s="13"/>
      <c r="N4711" s="13"/>
    </row>
    <row r="4712" ht="15.75" hidden="1" customHeight="1">
      <c r="A4712" s="13"/>
      <c r="B4712" s="13"/>
      <c r="C4712" s="13"/>
      <c r="D4712" s="13"/>
      <c r="E4712" s="13"/>
      <c r="F4712" s="13"/>
      <c r="G4712" s="13"/>
      <c r="H4712" s="13"/>
      <c r="I4712" s="13"/>
      <c r="J4712" s="13"/>
      <c r="K4712" s="13"/>
      <c r="L4712" s="13"/>
      <c r="M4712" s="13"/>
      <c r="N4712" s="13"/>
    </row>
    <row r="4713" ht="15.75" hidden="1" customHeight="1">
      <c r="A4713" s="13"/>
      <c r="B4713" s="13"/>
      <c r="C4713" s="13"/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</row>
    <row r="4714" ht="15.75" hidden="1" customHeight="1">
      <c r="A4714" s="13"/>
      <c r="B4714" s="13"/>
      <c r="C4714" s="13"/>
      <c r="D4714" s="13"/>
      <c r="E4714" s="13"/>
      <c r="F4714" s="13"/>
      <c r="G4714" s="13"/>
      <c r="H4714" s="13"/>
      <c r="I4714" s="13"/>
      <c r="J4714" s="13"/>
      <c r="K4714" s="13"/>
      <c r="L4714" s="13"/>
      <c r="M4714" s="13"/>
      <c r="N4714" s="13"/>
    </row>
    <row r="4715" ht="15.75" hidden="1" customHeight="1">
      <c r="A4715" s="13"/>
      <c r="B4715" s="13"/>
      <c r="C4715" s="13"/>
      <c r="D4715" s="13"/>
      <c r="E4715" s="13"/>
      <c r="F4715" s="13"/>
      <c r="G4715" s="13"/>
      <c r="H4715" s="13"/>
      <c r="I4715" s="13"/>
      <c r="J4715" s="13"/>
      <c r="K4715" s="13"/>
      <c r="L4715" s="13"/>
      <c r="M4715" s="13"/>
      <c r="N4715" s="13"/>
    </row>
    <row r="4716" ht="15.75" hidden="1" customHeight="1">
      <c r="A4716" s="13"/>
      <c r="B4716" s="13"/>
      <c r="C4716" s="13"/>
      <c r="D4716" s="13"/>
      <c r="E4716" s="13"/>
      <c r="F4716" s="13"/>
      <c r="G4716" s="13"/>
      <c r="H4716" s="13"/>
      <c r="I4716" s="13"/>
      <c r="J4716" s="13"/>
      <c r="K4716" s="13"/>
      <c r="L4716" s="13"/>
      <c r="M4716" s="13"/>
      <c r="N4716" s="13"/>
    </row>
    <row r="4717" ht="15.75" hidden="1" customHeight="1">
      <c r="A4717" s="13"/>
      <c r="B4717" s="13"/>
      <c r="C4717" s="13"/>
      <c r="D4717" s="13"/>
      <c r="E4717" s="13"/>
      <c r="F4717" s="13"/>
      <c r="G4717" s="13"/>
      <c r="H4717" s="13"/>
      <c r="I4717" s="13"/>
      <c r="J4717" s="13"/>
      <c r="K4717" s="13"/>
      <c r="L4717" s="13"/>
      <c r="M4717" s="13"/>
      <c r="N4717" s="13"/>
    </row>
    <row r="4718" ht="15.75" hidden="1" customHeight="1">
      <c r="A4718" s="13"/>
      <c r="B4718" s="13"/>
      <c r="C4718" s="13"/>
      <c r="D4718" s="13"/>
      <c r="E4718" s="13"/>
      <c r="F4718" s="13"/>
      <c r="G4718" s="13"/>
      <c r="H4718" s="13"/>
      <c r="I4718" s="13"/>
      <c r="J4718" s="13"/>
      <c r="K4718" s="13"/>
      <c r="L4718" s="13"/>
      <c r="M4718" s="13"/>
      <c r="N4718" s="13"/>
    </row>
    <row r="4719" ht="15.75" hidden="1" customHeight="1">
      <c r="A4719" s="13"/>
      <c r="B4719" s="13"/>
      <c r="C4719" s="13"/>
      <c r="D4719" s="13"/>
      <c r="E4719" s="13"/>
      <c r="F4719" s="13"/>
      <c r="G4719" s="13"/>
      <c r="H4719" s="13"/>
      <c r="I4719" s="13"/>
      <c r="J4719" s="13"/>
      <c r="K4719" s="13"/>
      <c r="L4719" s="13"/>
      <c r="M4719" s="13"/>
      <c r="N4719" s="13"/>
    </row>
    <row r="4720" ht="15.75" hidden="1" customHeight="1">
      <c r="A4720" s="13"/>
      <c r="B4720" s="13"/>
      <c r="C4720" s="13"/>
      <c r="D4720" s="13"/>
      <c r="E4720" s="13"/>
      <c r="F4720" s="13"/>
      <c r="G4720" s="13"/>
      <c r="H4720" s="13"/>
      <c r="I4720" s="13"/>
      <c r="J4720" s="13"/>
      <c r="K4720" s="13"/>
      <c r="L4720" s="13"/>
      <c r="M4720" s="13"/>
      <c r="N4720" s="13"/>
    </row>
    <row r="4721" ht="15.75" hidden="1" customHeight="1">
      <c r="A4721" s="13"/>
      <c r="B4721" s="13"/>
      <c r="C4721" s="13"/>
      <c r="D4721" s="13"/>
      <c r="E4721" s="13"/>
      <c r="F4721" s="13"/>
      <c r="G4721" s="13"/>
      <c r="H4721" s="13"/>
      <c r="I4721" s="13"/>
      <c r="J4721" s="13"/>
      <c r="K4721" s="13"/>
      <c r="L4721" s="13"/>
      <c r="M4721" s="13"/>
      <c r="N4721" s="13"/>
    </row>
    <row r="4722" ht="15.75" hidden="1" customHeight="1">
      <c r="A4722" s="13"/>
      <c r="B4722" s="13"/>
      <c r="C4722" s="13"/>
      <c r="D4722" s="13"/>
      <c r="E4722" s="13"/>
      <c r="F4722" s="13"/>
      <c r="G4722" s="13"/>
      <c r="H4722" s="13"/>
      <c r="I4722" s="13"/>
      <c r="J4722" s="13"/>
      <c r="K4722" s="13"/>
      <c r="L4722" s="13"/>
      <c r="M4722" s="13"/>
      <c r="N4722" s="13"/>
    </row>
    <row r="4723" ht="15.75" hidden="1" customHeight="1">
      <c r="A4723" s="13"/>
      <c r="B4723" s="13"/>
      <c r="C4723" s="13"/>
      <c r="D4723" s="13"/>
      <c r="E4723" s="13"/>
      <c r="F4723" s="13"/>
      <c r="G4723" s="13"/>
      <c r="H4723" s="13"/>
      <c r="I4723" s="13"/>
      <c r="J4723" s="13"/>
      <c r="K4723" s="13"/>
      <c r="L4723" s="13"/>
      <c r="M4723" s="13"/>
      <c r="N4723" s="13"/>
    </row>
    <row r="4724" ht="15.75" hidden="1" customHeight="1">
      <c r="A4724" s="13"/>
      <c r="B4724" s="13"/>
      <c r="C4724" s="13"/>
      <c r="D4724" s="13"/>
      <c r="E4724" s="13"/>
      <c r="F4724" s="13"/>
      <c r="G4724" s="13"/>
      <c r="H4724" s="13"/>
      <c r="I4724" s="13"/>
      <c r="J4724" s="13"/>
      <c r="K4724" s="13"/>
      <c r="L4724" s="13"/>
      <c r="M4724" s="13"/>
      <c r="N4724" s="13"/>
    </row>
    <row r="4725" ht="15.75" hidden="1" customHeight="1">
      <c r="A4725" s="13"/>
      <c r="B4725" s="13"/>
      <c r="C4725" s="13"/>
      <c r="D4725" s="13"/>
      <c r="E4725" s="13"/>
      <c r="F4725" s="13"/>
      <c r="G4725" s="13"/>
      <c r="H4725" s="13"/>
      <c r="I4725" s="13"/>
      <c r="J4725" s="13"/>
      <c r="K4725" s="13"/>
      <c r="L4725" s="13"/>
      <c r="M4725" s="13"/>
      <c r="N4725" s="13"/>
    </row>
    <row r="4726" ht="15.75" hidden="1" customHeight="1">
      <c r="A4726" s="13"/>
      <c r="B4726" s="13"/>
      <c r="C4726" s="13"/>
      <c r="D4726" s="13"/>
      <c r="E4726" s="13"/>
      <c r="F4726" s="13"/>
      <c r="G4726" s="13"/>
      <c r="H4726" s="13"/>
      <c r="I4726" s="13"/>
      <c r="J4726" s="13"/>
      <c r="K4726" s="13"/>
      <c r="L4726" s="13"/>
      <c r="M4726" s="13"/>
      <c r="N4726" s="13"/>
    </row>
    <row r="4727" ht="15.75" hidden="1" customHeight="1">
      <c r="A4727" s="13"/>
      <c r="B4727" s="13"/>
      <c r="C4727" s="13"/>
      <c r="D4727" s="13"/>
      <c r="E4727" s="13"/>
      <c r="F4727" s="13"/>
      <c r="G4727" s="13"/>
      <c r="H4727" s="13"/>
      <c r="I4727" s="13"/>
      <c r="J4727" s="13"/>
      <c r="K4727" s="13"/>
      <c r="L4727" s="13"/>
      <c r="M4727" s="13"/>
      <c r="N4727" s="13"/>
    </row>
    <row r="4728" ht="15.75" hidden="1" customHeight="1">
      <c r="A4728" s="13"/>
      <c r="B4728" s="13"/>
      <c r="C4728" s="13"/>
      <c r="D4728" s="13"/>
      <c r="E4728" s="13"/>
      <c r="F4728" s="13"/>
      <c r="G4728" s="13"/>
      <c r="H4728" s="13"/>
      <c r="I4728" s="13"/>
      <c r="J4728" s="13"/>
      <c r="K4728" s="13"/>
      <c r="L4728" s="13"/>
      <c r="M4728" s="13"/>
      <c r="N4728" s="13"/>
    </row>
    <row r="4729" ht="15.75" hidden="1" customHeight="1">
      <c r="A4729" s="13"/>
      <c r="B4729" s="13"/>
      <c r="C4729" s="13"/>
      <c r="D4729" s="13"/>
      <c r="E4729" s="13"/>
      <c r="F4729" s="13"/>
      <c r="G4729" s="13"/>
      <c r="H4729" s="13"/>
      <c r="I4729" s="13"/>
      <c r="J4729" s="13"/>
      <c r="K4729" s="13"/>
      <c r="L4729" s="13"/>
      <c r="M4729" s="13"/>
      <c r="N4729" s="13"/>
    </row>
    <row r="4730" ht="15.75" hidden="1" customHeight="1">
      <c r="A4730" s="13"/>
      <c r="B4730" s="13"/>
      <c r="C4730" s="13"/>
      <c r="D4730" s="13"/>
      <c r="E4730" s="13"/>
      <c r="F4730" s="13"/>
      <c r="G4730" s="13"/>
      <c r="H4730" s="13"/>
      <c r="I4730" s="13"/>
      <c r="J4730" s="13"/>
      <c r="K4730" s="13"/>
      <c r="L4730" s="13"/>
      <c r="M4730" s="13"/>
      <c r="N4730" s="13"/>
    </row>
    <row r="4731" ht="15.75" hidden="1" customHeight="1">
      <c r="A4731" s="13"/>
      <c r="B4731" s="13"/>
      <c r="C4731" s="13"/>
      <c r="D4731" s="13"/>
      <c r="E4731" s="13"/>
      <c r="F4731" s="13"/>
      <c r="G4731" s="13"/>
      <c r="H4731" s="13"/>
      <c r="I4731" s="13"/>
      <c r="J4731" s="13"/>
      <c r="K4731" s="13"/>
      <c r="L4731" s="13"/>
      <c r="M4731" s="13"/>
      <c r="N4731" s="13"/>
    </row>
    <row r="4732" ht="15.75" hidden="1" customHeight="1">
      <c r="A4732" s="13"/>
      <c r="B4732" s="13"/>
      <c r="C4732" s="13"/>
      <c r="D4732" s="13"/>
      <c r="E4732" s="13"/>
      <c r="F4732" s="13"/>
      <c r="G4732" s="13"/>
      <c r="H4732" s="13"/>
      <c r="I4732" s="13"/>
      <c r="J4732" s="13"/>
      <c r="K4732" s="13"/>
      <c r="L4732" s="13"/>
      <c r="M4732" s="13"/>
      <c r="N4732" s="13"/>
    </row>
    <row r="4733" ht="15.75" hidden="1" customHeight="1">
      <c r="A4733" s="13"/>
      <c r="B4733" s="13"/>
      <c r="C4733" s="13"/>
      <c r="D4733" s="13"/>
      <c r="E4733" s="13"/>
      <c r="F4733" s="13"/>
      <c r="G4733" s="13"/>
      <c r="H4733" s="13"/>
      <c r="I4733" s="13"/>
      <c r="J4733" s="13"/>
      <c r="K4733" s="13"/>
      <c r="L4733" s="13"/>
      <c r="M4733" s="13"/>
      <c r="N4733" s="13"/>
    </row>
    <row r="4734" ht="15.75" hidden="1" customHeight="1">
      <c r="A4734" s="13"/>
      <c r="B4734" s="13"/>
      <c r="C4734" s="13"/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</row>
    <row r="4735" ht="15.75" hidden="1" customHeight="1">
      <c r="A4735" s="13"/>
      <c r="B4735" s="13"/>
      <c r="C4735" s="13"/>
      <c r="D4735" s="13"/>
      <c r="E4735" s="13"/>
      <c r="F4735" s="13"/>
      <c r="G4735" s="13"/>
      <c r="H4735" s="13"/>
      <c r="I4735" s="13"/>
      <c r="J4735" s="13"/>
      <c r="K4735" s="13"/>
      <c r="L4735" s="13"/>
      <c r="M4735" s="13"/>
      <c r="N4735" s="13"/>
    </row>
    <row r="4736" ht="15.75" hidden="1" customHeight="1">
      <c r="A4736" s="13"/>
      <c r="B4736" s="13"/>
      <c r="C4736" s="13"/>
      <c r="D4736" s="13"/>
      <c r="E4736" s="13"/>
      <c r="F4736" s="13"/>
      <c r="G4736" s="13"/>
      <c r="H4736" s="13"/>
      <c r="I4736" s="13"/>
      <c r="J4736" s="13"/>
      <c r="K4736" s="13"/>
      <c r="L4736" s="13"/>
      <c r="M4736" s="13"/>
      <c r="N4736" s="13"/>
    </row>
    <row r="4737" ht="15.75" hidden="1" customHeight="1">
      <c r="A4737" s="13"/>
      <c r="B4737" s="13"/>
      <c r="C4737" s="13"/>
      <c r="D4737" s="13"/>
      <c r="E4737" s="13"/>
      <c r="F4737" s="13"/>
      <c r="G4737" s="13"/>
      <c r="H4737" s="13"/>
      <c r="I4737" s="13"/>
      <c r="J4737" s="13"/>
      <c r="K4737" s="13"/>
      <c r="L4737" s="13"/>
      <c r="M4737" s="13"/>
      <c r="N4737" s="13"/>
    </row>
    <row r="4738" ht="15.75" hidden="1" customHeight="1">
      <c r="A4738" s="13"/>
      <c r="B4738" s="13"/>
      <c r="C4738" s="13"/>
      <c r="D4738" s="13"/>
      <c r="E4738" s="13"/>
      <c r="F4738" s="13"/>
      <c r="G4738" s="13"/>
      <c r="H4738" s="13"/>
      <c r="I4738" s="13"/>
      <c r="J4738" s="13"/>
      <c r="K4738" s="13"/>
      <c r="L4738" s="13"/>
      <c r="M4738" s="13"/>
      <c r="N4738" s="13"/>
    </row>
    <row r="4739" ht="15.75" hidden="1" customHeight="1">
      <c r="A4739" s="13"/>
      <c r="B4739" s="13"/>
      <c r="C4739" s="13"/>
      <c r="D4739" s="13"/>
      <c r="E4739" s="13"/>
      <c r="F4739" s="13"/>
      <c r="G4739" s="13"/>
      <c r="H4739" s="13"/>
      <c r="I4739" s="13"/>
      <c r="J4739" s="13"/>
      <c r="K4739" s="13"/>
      <c r="L4739" s="13"/>
      <c r="M4739" s="13"/>
      <c r="N4739" s="13"/>
    </row>
    <row r="4740" ht="15.75" hidden="1" customHeight="1">
      <c r="A4740" s="13"/>
      <c r="B4740" s="13"/>
      <c r="C4740" s="13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</row>
    <row r="4741" ht="15.75" hidden="1" customHeight="1">
      <c r="A4741" s="13"/>
      <c r="B4741" s="13"/>
      <c r="C4741" s="13"/>
      <c r="D4741" s="13"/>
      <c r="E4741" s="13"/>
      <c r="F4741" s="13"/>
      <c r="G4741" s="13"/>
      <c r="H4741" s="13"/>
      <c r="I4741" s="13"/>
      <c r="J4741" s="13"/>
      <c r="K4741" s="13"/>
      <c r="L4741" s="13"/>
      <c r="M4741" s="13"/>
      <c r="N4741" s="13"/>
    </row>
    <row r="4742" ht="15.75" hidden="1" customHeight="1">
      <c r="A4742" s="13"/>
      <c r="B4742" s="13"/>
      <c r="C4742" s="13"/>
      <c r="D4742" s="13"/>
      <c r="E4742" s="13"/>
      <c r="F4742" s="13"/>
      <c r="G4742" s="13"/>
      <c r="H4742" s="13"/>
      <c r="I4742" s="13"/>
      <c r="J4742" s="13"/>
      <c r="K4742" s="13"/>
      <c r="L4742" s="13"/>
      <c r="M4742" s="13"/>
      <c r="N4742" s="13"/>
    </row>
    <row r="4743" ht="15.75" hidden="1" customHeight="1">
      <c r="A4743" s="13"/>
      <c r="B4743" s="13"/>
      <c r="C4743" s="13"/>
      <c r="D4743" s="13"/>
      <c r="E4743" s="13"/>
      <c r="F4743" s="13"/>
      <c r="G4743" s="13"/>
      <c r="H4743" s="13"/>
      <c r="I4743" s="13"/>
      <c r="J4743" s="13"/>
      <c r="K4743" s="13"/>
      <c r="L4743" s="13"/>
      <c r="M4743" s="13"/>
      <c r="N4743" s="13"/>
    </row>
    <row r="4744" ht="15.75" hidden="1" customHeight="1">
      <c r="A4744" s="13"/>
      <c r="B4744" s="13"/>
      <c r="C4744" s="13"/>
      <c r="D4744" s="13"/>
      <c r="E4744" s="13"/>
      <c r="F4744" s="13"/>
      <c r="G4744" s="13"/>
      <c r="H4744" s="13"/>
      <c r="I4744" s="13"/>
      <c r="J4744" s="13"/>
      <c r="K4744" s="13"/>
      <c r="L4744" s="13"/>
      <c r="M4744" s="13"/>
      <c r="N4744" s="13"/>
    </row>
    <row r="4745" ht="15.75" hidden="1" customHeight="1">
      <c r="A4745" s="13"/>
      <c r="B4745" s="13"/>
      <c r="C4745" s="13"/>
      <c r="D4745" s="13"/>
      <c r="E4745" s="13"/>
      <c r="F4745" s="13"/>
      <c r="G4745" s="13"/>
      <c r="H4745" s="13"/>
      <c r="I4745" s="13"/>
      <c r="J4745" s="13"/>
      <c r="K4745" s="13"/>
      <c r="L4745" s="13"/>
      <c r="M4745" s="13"/>
      <c r="N4745" s="13"/>
    </row>
    <row r="4746" ht="15.75" hidden="1" customHeight="1">
      <c r="A4746" s="13"/>
      <c r="B4746" s="13"/>
      <c r="C4746" s="13"/>
      <c r="D4746" s="13"/>
      <c r="E4746" s="13"/>
      <c r="F4746" s="13"/>
      <c r="G4746" s="13"/>
      <c r="H4746" s="13"/>
      <c r="I4746" s="13"/>
      <c r="J4746" s="13"/>
      <c r="K4746" s="13"/>
      <c r="L4746" s="13"/>
      <c r="M4746" s="13"/>
      <c r="N4746" s="13"/>
    </row>
    <row r="4747" ht="15.75" hidden="1" customHeight="1">
      <c r="A4747" s="13"/>
      <c r="B4747" s="13"/>
      <c r="C4747" s="13"/>
      <c r="D4747" s="13"/>
      <c r="E4747" s="13"/>
      <c r="F4747" s="13"/>
      <c r="G4747" s="13"/>
      <c r="H4747" s="13"/>
      <c r="I4747" s="13"/>
      <c r="J4747" s="13"/>
      <c r="K4747" s="13"/>
      <c r="L4747" s="13"/>
      <c r="M4747" s="13"/>
      <c r="N4747" s="13"/>
    </row>
    <row r="4748" ht="15.75" hidden="1" customHeight="1">
      <c r="A4748" s="13"/>
      <c r="B4748" s="13"/>
      <c r="C4748" s="13"/>
      <c r="D4748" s="13"/>
      <c r="E4748" s="13"/>
      <c r="F4748" s="13"/>
      <c r="G4748" s="13"/>
      <c r="H4748" s="13"/>
      <c r="I4748" s="13"/>
      <c r="J4748" s="13"/>
      <c r="K4748" s="13"/>
      <c r="L4748" s="13"/>
      <c r="M4748" s="13"/>
      <c r="N4748" s="13"/>
    </row>
    <row r="4749" ht="15.75" hidden="1" customHeight="1">
      <c r="A4749" s="13"/>
      <c r="B4749" s="13"/>
      <c r="C4749" s="13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</row>
    <row r="4750" ht="15.75" hidden="1" customHeight="1">
      <c r="A4750" s="13"/>
      <c r="B4750" s="13"/>
      <c r="C4750" s="13"/>
      <c r="D4750" s="13"/>
      <c r="E4750" s="13"/>
      <c r="F4750" s="13"/>
      <c r="G4750" s="13"/>
      <c r="H4750" s="13"/>
      <c r="I4750" s="13"/>
      <c r="J4750" s="13"/>
      <c r="K4750" s="13"/>
      <c r="L4750" s="13"/>
      <c r="M4750" s="13"/>
      <c r="N4750" s="13"/>
    </row>
    <row r="4751" ht="15.75" hidden="1" customHeight="1">
      <c r="A4751" s="13"/>
      <c r="B4751" s="13"/>
      <c r="C4751" s="13"/>
      <c r="D4751" s="13"/>
      <c r="E4751" s="13"/>
      <c r="F4751" s="13"/>
      <c r="G4751" s="13"/>
      <c r="H4751" s="13"/>
      <c r="I4751" s="13"/>
      <c r="J4751" s="13"/>
      <c r="K4751" s="13"/>
      <c r="L4751" s="13"/>
      <c r="M4751" s="13"/>
      <c r="N4751" s="13"/>
    </row>
    <row r="4752" ht="15.75" hidden="1" customHeight="1">
      <c r="A4752" s="13"/>
      <c r="B4752" s="13"/>
      <c r="C4752" s="13"/>
      <c r="D4752" s="13"/>
      <c r="E4752" s="13"/>
      <c r="F4752" s="13"/>
      <c r="G4752" s="13"/>
      <c r="H4752" s="13"/>
      <c r="I4752" s="13"/>
      <c r="J4752" s="13"/>
      <c r="K4752" s="13"/>
      <c r="L4752" s="13"/>
      <c r="M4752" s="13"/>
      <c r="N4752" s="13"/>
    </row>
    <row r="4753" ht="15.75" hidden="1" customHeight="1">
      <c r="A4753" s="13"/>
      <c r="B4753" s="13"/>
      <c r="C4753" s="13"/>
      <c r="D4753" s="13"/>
      <c r="E4753" s="13"/>
      <c r="F4753" s="13"/>
      <c r="G4753" s="13"/>
      <c r="H4753" s="13"/>
      <c r="I4753" s="13"/>
      <c r="J4753" s="13"/>
      <c r="K4753" s="13"/>
      <c r="L4753" s="13"/>
      <c r="M4753" s="13"/>
      <c r="N4753" s="13"/>
    </row>
    <row r="4754" ht="15.75" hidden="1" customHeight="1">
      <c r="A4754" s="13"/>
      <c r="B4754" s="13"/>
      <c r="C4754" s="13"/>
      <c r="D4754" s="13"/>
      <c r="E4754" s="13"/>
      <c r="F4754" s="13"/>
      <c r="G4754" s="13"/>
      <c r="H4754" s="13"/>
      <c r="I4754" s="13"/>
      <c r="J4754" s="13"/>
      <c r="K4754" s="13"/>
      <c r="L4754" s="13"/>
      <c r="M4754" s="13"/>
      <c r="N4754" s="13"/>
    </row>
    <row r="4755" ht="15.75" hidden="1" customHeight="1">
      <c r="A4755" s="13"/>
      <c r="B4755" s="13"/>
      <c r="C4755" s="13"/>
      <c r="D4755" s="13"/>
      <c r="E4755" s="13"/>
      <c r="F4755" s="13"/>
      <c r="G4755" s="13"/>
      <c r="H4755" s="13"/>
      <c r="I4755" s="13"/>
      <c r="J4755" s="13"/>
      <c r="K4755" s="13"/>
      <c r="L4755" s="13"/>
      <c r="M4755" s="13"/>
      <c r="N4755" s="13"/>
    </row>
    <row r="4756" ht="15.75" hidden="1" customHeight="1">
      <c r="A4756" s="13"/>
      <c r="B4756" s="13"/>
      <c r="C4756" s="13"/>
      <c r="D4756" s="13"/>
      <c r="E4756" s="13"/>
      <c r="F4756" s="13"/>
      <c r="G4756" s="13"/>
      <c r="H4756" s="13"/>
      <c r="I4756" s="13"/>
      <c r="J4756" s="13"/>
      <c r="K4756" s="13"/>
      <c r="L4756" s="13"/>
      <c r="M4756" s="13"/>
      <c r="N4756" s="13"/>
    </row>
    <row r="4757" ht="15.75" hidden="1" customHeight="1">
      <c r="A4757" s="13"/>
      <c r="B4757" s="13"/>
      <c r="C4757" s="13"/>
      <c r="D4757" s="13"/>
      <c r="E4757" s="13"/>
      <c r="F4757" s="13"/>
      <c r="G4757" s="13"/>
      <c r="H4757" s="13"/>
      <c r="I4757" s="13"/>
      <c r="J4757" s="13"/>
      <c r="K4757" s="13"/>
      <c r="L4757" s="13"/>
      <c r="M4757" s="13"/>
      <c r="N4757" s="13"/>
    </row>
    <row r="4758" ht="15.75" hidden="1" customHeight="1">
      <c r="A4758" s="13"/>
      <c r="B4758" s="13"/>
      <c r="C4758" s="13"/>
      <c r="D4758" s="13"/>
      <c r="E4758" s="13"/>
      <c r="F4758" s="13"/>
      <c r="G4758" s="13"/>
      <c r="H4758" s="13"/>
      <c r="I4758" s="13"/>
      <c r="J4758" s="13"/>
      <c r="K4758" s="13"/>
      <c r="L4758" s="13"/>
      <c r="M4758" s="13"/>
      <c r="N4758" s="13"/>
    </row>
    <row r="4759" ht="15.75" hidden="1" customHeight="1">
      <c r="A4759" s="13"/>
      <c r="B4759" s="13"/>
      <c r="C4759" s="13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</row>
    <row r="4760" ht="15.75" hidden="1" customHeight="1">
      <c r="A4760" s="13"/>
      <c r="B4760" s="13"/>
      <c r="C4760" s="13"/>
      <c r="D4760" s="13"/>
      <c r="E4760" s="13"/>
      <c r="F4760" s="13"/>
      <c r="G4760" s="13"/>
      <c r="H4760" s="13"/>
      <c r="I4760" s="13"/>
      <c r="J4760" s="13"/>
      <c r="K4760" s="13"/>
      <c r="L4760" s="13"/>
      <c r="M4760" s="13"/>
      <c r="N4760" s="13"/>
    </row>
    <row r="4761" ht="15.75" hidden="1" customHeight="1">
      <c r="A4761" s="13"/>
      <c r="B4761" s="13"/>
      <c r="C4761" s="13"/>
      <c r="D4761" s="13"/>
      <c r="E4761" s="13"/>
      <c r="F4761" s="13"/>
      <c r="G4761" s="13"/>
      <c r="H4761" s="13"/>
      <c r="I4761" s="13"/>
      <c r="J4761" s="13"/>
      <c r="K4761" s="13"/>
      <c r="L4761" s="13"/>
      <c r="M4761" s="13"/>
      <c r="N4761" s="13"/>
    </row>
    <row r="4762" ht="15.75" hidden="1" customHeight="1">
      <c r="A4762" s="13"/>
      <c r="B4762" s="13"/>
      <c r="C4762" s="13"/>
      <c r="D4762" s="13"/>
      <c r="E4762" s="13"/>
      <c r="F4762" s="13"/>
      <c r="G4762" s="13"/>
      <c r="H4762" s="13"/>
      <c r="I4762" s="13"/>
      <c r="J4762" s="13"/>
      <c r="K4762" s="13"/>
      <c r="L4762" s="13"/>
      <c r="M4762" s="13"/>
      <c r="N4762" s="13"/>
    </row>
    <row r="4763" ht="15.75" hidden="1" customHeight="1">
      <c r="A4763" s="13"/>
      <c r="B4763" s="13"/>
      <c r="C4763" s="13"/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</row>
    <row r="4764" ht="15.75" hidden="1" customHeight="1">
      <c r="A4764" s="13"/>
      <c r="B4764" s="13"/>
      <c r="C4764" s="13"/>
      <c r="D4764" s="13"/>
      <c r="E4764" s="13"/>
      <c r="F4764" s="13"/>
      <c r="G4764" s="13"/>
      <c r="H4764" s="13"/>
      <c r="I4764" s="13"/>
      <c r="J4764" s="13"/>
      <c r="K4764" s="13"/>
      <c r="L4764" s="13"/>
      <c r="M4764" s="13"/>
      <c r="N4764" s="13"/>
    </row>
    <row r="4765" ht="15.75" hidden="1" customHeight="1">
      <c r="A4765" s="13"/>
      <c r="B4765" s="13"/>
      <c r="C4765" s="13"/>
      <c r="D4765" s="13"/>
      <c r="E4765" s="13"/>
      <c r="F4765" s="13"/>
      <c r="G4765" s="13"/>
      <c r="H4765" s="13"/>
      <c r="I4765" s="13"/>
      <c r="J4765" s="13"/>
      <c r="K4765" s="13"/>
      <c r="L4765" s="13"/>
      <c r="M4765" s="13"/>
      <c r="N4765" s="13"/>
    </row>
    <row r="4766" ht="15.75" hidden="1" customHeight="1">
      <c r="A4766" s="13"/>
      <c r="B4766" s="13"/>
      <c r="C4766" s="13"/>
      <c r="D4766" s="13"/>
      <c r="E4766" s="13"/>
      <c r="F4766" s="13"/>
      <c r="G4766" s="13"/>
      <c r="H4766" s="13"/>
      <c r="I4766" s="13"/>
      <c r="J4766" s="13"/>
      <c r="K4766" s="13"/>
      <c r="L4766" s="13"/>
      <c r="M4766" s="13"/>
      <c r="N4766" s="13"/>
    </row>
    <row r="4767" ht="15.75" hidden="1" customHeight="1">
      <c r="A4767" s="13"/>
      <c r="B4767" s="13"/>
      <c r="C4767" s="13"/>
      <c r="D4767" s="13"/>
      <c r="E4767" s="13"/>
      <c r="F4767" s="13"/>
      <c r="G4767" s="13"/>
      <c r="H4767" s="13"/>
      <c r="I4767" s="13"/>
      <c r="J4767" s="13"/>
      <c r="K4767" s="13"/>
      <c r="L4767" s="13"/>
      <c r="M4767" s="13"/>
      <c r="N4767" s="13"/>
    </row>
    <row r="4768" ht="15.75" hidden="1" customHeight="1">
      <c r="A4768" s="13"/>
      <c r="B4768" s="13"/>
      <c r="C4768" s="13"/>
      <c r="D4768" s="13"/>
      <c r="E4768" s="13"/>
      <c r="F4768" s="13"/>
      <c r="G4768" s="13"/>
      <c r="H4768" s="13"/>
      <c r="I4768" s="13"/>
      <c r="J4768" s="13"/>
      <c r="K4768" s="13"/>
      <c r="L4768" s="13"/>
      <c r="M4768" s="13"/>
      <c r="N4768" s="13"/>
    </row>
    <row r="4769" ht="15.75" hidden="1" customHeight="1">
      <c r="A4769" s="13"/>
      <c r="B4769" s="13"/>
      <c r="C4769" s="13"/>
      <c r="D4769" s="13"/>
      <c r="E4769" s="13"/>
      <c r="F4769" s="13"/>
      <c r="G4769" s="13"/>
      <c r="H4769" s="13"/>
      <c r="I4769" s="13"/>
      <c r="J4769" s="13"/>
      <c r="K4769" s="13"/>
      <c r="L4769" s="13"/>
      <c r="M4769" s="13"/>
      <c r="N4769" s="13"/>
    </row>
    <row r="4770" ht="15.75" hidden="1" customHeight="1">
      <c r="A4770" s="13"/>
      <c r="B4770" s="13"/>
      <c r="C4770" s="13"/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</row>
    <row r="4771" ht="15.75" hidden="1" customHeight="1">
      <c r="A4771" s="13"/>
      <c r="B4771" s="13"/>
      <c r="C4771" s="13"/>
      <c r="D4771" s="13"/>
      <c r="E4771" s="13"/>
      <c r="F4771" s="13"/>
      <c r="G4771" s="13"/>
      <c r="H4771" s="13"/>
      <c r="I4771" s="13"/>
      <c r="J4771" s="13"/>
      <c r="K4771" s="13"/>
      <c r="L4771" s="13"/>
      <c r="M4771" s="13"/>
      <c r="N4771" s="13"/>
    </row>
    <row r="4772" ht="15.75" hidden="1" customHeight="1">
      <c r="A4772" s="13"/>
      <c r="B4772" s="13"/>
      <c r="C4772" s="13"/>
      <c r="D4772" s="13"/>
      <c r="E4772" s="13"/>
      <c r="F4772" s="13"/>
      <c r="G4772" s="13"/>
      <c r="H4772" s="13"/>
      <c r="I4772" s="13"/>
      <c r="J4772" s="13"/>
      <c r="K4772" s="13"/>
      <c r="L4772" s="13"/>
      <c r="M4772" s="13"/>
      <c r="N4772" s="13"/>
    </row>
    <row r="4773" ht="15.75" hidden="1" customHeight="1">
      <c r="A4773" s="13"/>
      <c r="B4773" s="13"/>
      <c r="C4773" s="13"/>
      <c r="D4773" s="13"/>
      <c r="E4773" s="13"/>
      <c r="F4773" s="13"/>
      <c r="G4773" s="13"/>
      <c r="H4773" s="13"/>
      <c r="I4773" s="13"/>
      <c r="J4773" s="13"/>
      <c r="K4773" s="13"/>
      <c r="L4773" s="13"/>
      <c r="M4773" s="13"/>
      <c r="N4773" s="13"/>
    </row>
    <row r="4774" ht="15.75" hidden="1" customHeight="1">
      <c r="A4774" s="13"/>
      <c r="B4774" s="13"/>
      <c r="C4774" s="13"/>
      <c r="D4774" s="13"/>
      <c r="E4774" s="13"/>
      <c r="F4774" s="13"/>
      <c r="G4774" s="13"/>
      <c r="H4774" s="13"/>
      <c r="I4774" s="13"/>
      <c r="J4774" s="13"/>
      <c r="K4774" s="13"/>
      <c r="L4774" s="13"/>
      <c r="M4774" s="13"/>
      <c r="N4774" s="13"/>
    </row>
    <row r="4775" ht="15.75" hidden="1" customHeight="1">
      <c r="A4775" s="13"/>
      <c r="B4775" s="13"/>
      <c r="C4775" s="13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</row>
    <row r="4776" ht="15.75" hidden="1" customHeight="1">
      <c r="A4776" s="13"/>
      <c r="B4776" s="13"/>
      <c r="C4776" s="13"/>
      <c r="D4776" s="13"/>
      <c r="E4776" s="13"/>
      <c r="F4776" s="13"/>
      <c r="G4776" s="13"/>
      <c r="H4776" s="13"/>
      <c r="I4776" s="13"/>
      <c r="J4776" s="13"/>
      <c r="K4776" s="13"/>
      <c r="L4776" s="13"/>
      <c r="M4776" s="13"/>
      <c r="N4776" s="13"/>
    </row>
    <row r="4777" ht="15.75" hidden="1" customHeight="1">
      <c r="A4777" s="13"/>
      <c r="B4777" s="13"/>
      <c r="C4777" s="13"/>
      <c r="D4777" s="13"/>
      <c r="E4777" s="13"/>
      <c r="F4777" s="13"/>
      <c r="G4777" s="13"/>
      <c r="H4777" s="13"/>
      <c r="I4777" s="13"/>
      <c r="J4777" s="13"/>
      <c r="K4777" s="13"/>
      <c r="L4777" s="13"/>
      <c r="M4777" s="13"/>
      <c r="N4777" s="13"/>
    </row>
    <row r="4778" ht="15.75" hidden="1" customHeight="1">
      <c r="A4778" s="13"/>
      <c r="B4778" s="13"/>
      <c r="C4778" s="13"/>
      <c r="D4778" s="13"/>
      <c r="E4778" s="13"/>
      <c r="F4778" s="13"/>
      <c r="G4778" s="13"/>
      <c r="H4778" s="13"/>
      <c r="I4778" s="13"/>
      <c r="J4778" s="13"/>
      <c r="K4778" s="13"/>
      <c r="L4778" s="13"/>
      <c r="M4778" s="13"/>
      <c r="N4778" s="13"/>
    </row>
    <row r="4779" ht="15.75" hidden="1" customHeight="1">
      <c r="A4779" s="13"/>
      <c r="B4779" s="13"/>
      <c r="C4779" s="13"/>
      <c r="D4779" s="13"/>
      <c r="E4779" s="13"/>
      <c r="F4779" s="13"/>
      <c r="G4779" s="13"/>
      <c r="H4779" s="13"/>
      <c r="I4779" s="13"/>
      <c r="J4779" s="13"/>
      <c r="K4779" s="13"/>
      <c r="L4779" s="13"/>
      <c r="M4779" s="13"/>
      <c r="N4779" s="13"/>
    </row>
    <row r="4780" ht="15.75" hidden="1" customHeight="1">
      <c r="A4780" s="13"/>
      <c r="B4780" s="13"/>
      <c r="C4780" s="13"/>
      <c r="D4780" s="13"/>
      <c r="E4780" s="13"/>
      <c r="F4780" s="13"/>
      <c r="G4780" s="13"/>
      <c r="H4780" s="13"/>
      <c r="I4780" s="13"/>
      <c r="J4780" s="13"/>
      <c r="K4780" s="13"/>
      <c r="L4780" s="13"/>
      <c r="M4780" s="13"/>
      <c r="N4780" s="13"/>
    </row>
    <row r="4781" ht="15.75" hidden="1" customHeight="1">
      <c r="A4781" s="13"/>
      <c r="B4781" s="13"/>
      <c r="C4781" s="13"/>
      <c r="D4781" s="13"/>
      <c r="E4781" s="13"/>
      <c r="F4781" s="13"/>
      <c r="G4781" s="13"/>
      <c r="H4781" s="13"/>
      <c r="I4781" s="13"/>
      <c r="J4781" s="13"/>
      <c r="K4781" s="13"/>
      <c r="L4781" s="13"/>
      <c r="M4781" s="13"/>
      <c r="N4781" s="13"/>
    </row>
    <row r="4782" ht="15.75" hidden="1" customHeight="1">
      <c r="A4782" s="13"/>
      <c r="B4782" s="13"/>
      <c r="C4782" s="13"/>
      <c r="D4782" s="13"/>
      <c r="E4782" s="13"/>
      <c r="F4782" s="13"/>
      <c r="G4782" s="13"/>
      <c r="H4782" s="13"/>
      <c r="I4782" s="13"/>
      <c r="J4782" s="13"/>
      <c r="K4782" s="13"/>
      <c r="L4782" s="13"/>
      <c r="M4782" s="13"/>
      <c r="N4782" s="13"/>
    </row>
    <row r="4783" ht="15.75" hidden="1" customHeight="1">
      <c r="A4783" s="13"/>
      <c r="B4783" s="13"/>
      <c r="C4783" s="13"/>
      <c r="D4783" s="13"/>
      <c r="E4783" s="13"/>
      <c r="F4783" s="13"/>
      <c r="G4783" s="13"/>
      <c r="H4783" s="13"/>
      <c r="I4783" s="13"/>
      <c r="J4783" s="13"/>
      <c r="K4783" s="13"/>
      <c r="L4783" s="13"/>
      <c r="M4783" s="13"/>
      <c r="N4783" s="13"/>
    </row>
    <row r="4784" ht="15.75" hidden="1" customHeight="1">
      <c r="A4784" s="13"/>
      <c r="B4784" s="13"/>
      <c r="C4784" s="13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</row>
    <row r="4785" ht="15.75" hidden="1" customHeight="1">
      <c r="A4785" s="13"/>
      <c r="B4785" s="13"/>
      <c r="C4785" s="13"/>
      <c r="D4785" s="13"/>
      <c r="E4785" s="13"/>
      <c r="F4785" s="13"/>
      <c r="G4785" s="13"/>
      <c r="H4785" s="13"/>
      <c r="I4785" s="13"/>
      <c r="J4785" s="13"/>
      <c r="K4785" s="13"/>
      <c r="L4785" s="13"/>
      <c r="M4785" s="13"/>
      <c r="N4785" s="13"/>
    </row>
    <row r="4786" ht="15.75" hidden="1" customHeight="1">
      <c r="A4786" s="13"/>
      <c r="B4786" s="13"/>
      <c r="C4786" s="13"/>
      <c r="D4786" s="13"/>
      <c r="E4786" s="13"/>
      <c r="F4786" s="13"/>
      <c r="G4786" s="13"/>
      <c r="H4786" s="13"/>
      <c r="I4786" s="13"/>
      <c r="J4786" s="13"/>
      <c r="K4786" s="13"/>
      <c r="L4786" s="13"/>
      <c r="M4786" s="13"/>
      <c r="N4786" s="13"/>
    </row>
    <row r="4787" ht="15.75" hidden="1" customHeight="1">
      <c r="A4787" s="13"/>
      <c r="B4787" s="13"/>
      <c r="C4787" s="13"/>
      <c r="D4787" s="13"/>
      <c r="E4787" s="13"/>
      <c r="F4787" s="13"/>
      <c r="G4787" s="13"/>
      <c r="H4787" s="13"/>
      <c r="I4787" s="13"/>
      <c r="J4787" s="13"/>
      <c r="K4787" s="13"/>
      <c r="L4787" s="13"/>
      <c r="M4787" s="13"/>
      <c r="N4787" s="13"/>
    </row>
    <row r="4788" ht="15.75" hidden="1" customHeight="1">
      <c r="A4788" s="13"/>
      <c r="B4788" s="13"/>
      <c r="C4788" s="13"/>
      <c r="D4788" s="13"/>
      <c r="E4788" s="13"/>
      <c r="F4788" s="13"/>
      <c r="G4788" s="13"/>
      <c r="H4788" s="13"/>
      <c r="I4788" s="13"/>
      <c r="J4788" s="13"/>
      <c r="K4788" s="13"/>
      <c r="L4788" s="13"/>
      <c r="M4788" s="13"/>
      <c r="N4788" s="13"/>
    </row>
    <row r="4789" ht="15.75" hidden="1" customHeight="1">
      <c r="A4789" s="13"/>
      <c r="B4789" s="13"/>
      <c r="C4789" s="13"/>
      <c r="D4789" s="13"/>
      <c r="E4789" s="13"/>
      <c r="F4789" s="13"/>
      <c r="G4789" s="13"/>
      <c r="H4789" s="13"/>
      <c r="I4789" s="13"/>
      <c r="J4789" s="13"/>
      <c r="K4789" s="13"/>
      <c r="L4789" s="13"/>
      <c r="M4789" s="13"/>
      <c r="N4789" s="13"/>
    </row>
    <row r="4790" ht="15.75" hidden="1" customHeight="1">
      <c r="A4790" s="13"/>
      <c r="B4790" s="13"/>
      <c r="C4790" s="13"/>
      <c r="D4790" s="13"/>
      <c r="E4790" s="13"/>
      <c r="F4790" s="13"/>
      <c r="G4790" s="13"/>
      <c r="H4790" s="13"/>
      <c r="I4790" s="13"/>
      <c r="J4790" s="13"/>
      <c r="K4790" s="13"/>
      <c r="L4790" s="13"/>
      <c r="M4790" s="13"/>
      <c r="N4790" s="13"/>
    </row>
    <row r="4791" ht="15.75" hidden="1" customHeight="1">
      <c r="A4791" s="13"/>
      <c r="B4791" s="13"/>
      <c r="C4791" s="13"/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</row>
    <row r="4792" ht="15.75" hidden="1" customHeight="1">
      <c r="A4792" s="13"/>
      <c r="B4792" s="13"/>
      <c r="C4792" s="13"/>
      <c r="D4792" s="13"/>
      <c r="E4792" s="13"/>
      <c r="F4792" s="13"/>
      <c r="G4792" s="13"/>
      <c r="H4792" s="13"/>
      <c r="I4792" s="13"/>
      <c r="J4792" s="13"/>
      <c r="K4792" s="13"/>
      <c r="L4792" s="13"/>
      <c r="M4792" s="13"/>
      <c r="N4792" s="13"/>
    </row>
    <row r="4793" ht="15.75" hidden="1" customHeight="1">
      <c r="A4793" s="13"/>
      <c r="B4793" s="13"/>
      <c r="C4793" s="13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</row>
    <row r="4794" ht="15.75" hidden="1" customHeight="1">
      <c r="A4794" s="13"/>
      <c r="B4794" s="13"/>
      <c r="C4794" s="13"/>
      <c r="D4794" s="13"/>
      <c r="E4794" s="13"/>
      <c r="F4794" s="13"/>
      <c r="G4794" s="13"/>
      <c r="H4794" s="13"/>
      <c r="I4794" s="13"/>
      <c r="J4794" s="13"/>
      <c r="K4794" s="13"/>
      <c r="L4794" s="13"/>
      <c r="M4794" s="13"/>
      <c r="N4794" s="13"/>
    </row>
    <row r="4795" ht="15.75" hidden="1" customHeight="1">
      <c r="A4795" s="13"/>
      <c r="B4795" s="13"/>
      <c r="C4795" s="13"/>
      <c r="D4795" s="13"/>
      <c r="E4795" s="13"/>
      <c r="F4795" s="13"/>
      <c r="G4795" s="13"/>
      <c r="H4795" s="13"/>
      <c r="I4795" s="13"/>
      <c r="J4795" s="13"/>
      <c r="K4795" s="13"/>
      <c r="L4795" s="13"/>
      <c r="M4795" s="13"/>
      <c r="N4795" s="13"/>
    </row>
    <row r="4796" ht="15.75" hidden="1" customHeight="1">
      <c r="A4796" s="13"/>
      <c r="B4796" s="13"/>
      <c r="C4796" s="13"/>
      <c r="D4796" s="13"/>
      <c r="E4796" s="13"/>
      <c r="F4796" s="13"/>
      <c r="G4796" s="13"/>
      <c r="H4796" s="13"/>
      <c r="I4796" s="13"/>
      <c r="J4796" s="13"/>
      <c r="K4796" s="13"/>
      <c r="L4796" s="13"/>
      <c r="M4796" s="13"/>
      <c r="N4796" s="13"/>
    </row>
    <row r="4797" ht="15.75" hidden="1" customHeight="1">
      <c r="A4797" s="13"/>
      <c r="B4797" s="13"/>
      <c r="C4797" s="13"/>
      <c r="D4797" s="13"/>
      <c r="E4797" s="13"/>
      <c r="F4797" s="13"/>
      <c r="G4797" s="13"/>
      <c r="H4797" s="13"/>
      <c r="I4797" s="13"/>
      <c r="J4797" s="13"/>
      <c r="K4797" s="13"/>
      <c r="L4797" s="13"/>
      <c r="M4797" s="13"/>
      <c r="N4797" s="13"/>
    </row>
    <row r="4798" ht="15.75" hidden="1" customHeight="1">
      <c r="A4798" s="13"/>
      <c r="B4798" s="13"/>
      <c r="C4798" s="13"/>
      <c r="D4798" s="13"/>
      <c r="E4798" s="13"/>
      <c r="F4798" s="13"/>
      <c r="G4798" s="13"/>
      <c r="H4798" s="13"/>
      <c r="I4798" s="13"/>
      <c r="J4798" s="13"/>
      <c r="K4798" s="13"/>
      <c r="L4798" s="13"/>
      <c r="M4798" s="13"/>
      <c r="N4798" s="13"/>
    </row>
    <row r="4799" ht="15.75" hidden="1" customHeight="1">
      <c r="A4799" s="13"/>
      <c r="B4799" s="13"/>
      <c r="C4799" s="13"/>
      <c r="D4799" s="13"/>
      <c r="E4799" s="13"/>
      <c r="F4799" s="13"/>
      <c r="G4799" s="13"/>
      <c r="H4799" s="13"/>
      <c r="I4799" s="13"/>
      <c r="J4799" s="13"/>
      <c r="K4799" s="13"/>
      <c r="L4799" s="13"/>
      <c r="M4799" s="13"/>
      <c r="N4799" s="13"/>
    </row>
    <row r="4800" ht="15.75" hidden="1" customHeight="1">
      <c r="A4800" s="13"/>
      <c r="B4800" s="13"/>
      <c r="C4800" s="13"/>
      <c r="D4800" s="13"/>
      <c r="E4800" s="13"/>
      <c r="F4800" s="13"/>
      <c r="G4800" s="13"/>
      <c r="H4800" s="13"/>
      <c r="I4800" s="13"/>
      <c r="J4800" s="13"/>
      <c r="K4800" s="13"/>
      <c r="L4800" s="13"/>
      <c r="M4800" s="13"/>
      <c r="N4800" s="13"/>
    </row>
    <row r="4801" ht="15.75" hidden="1" customHeight="1">
      <c r="A4801" s="13"/>
      <c r="B4801" s="13"/>
      <c r="C4801" s="13"/>
      <c r="D4801" s="13"/>
      <c r="E4801" s="13"/>
      <c r="F4801" s="13"/>
      <c r="G4801" s="13"/>
      <c r="H4801" s="13"/>
      <c r="I4801" s="13"/>
      <c r="J4801" s="13"/>
      <c r="K4801" s="13"/>
      <c r="L4801" s="13"/>
      <c r="M4801" s="13"/>
      <c r="N4801" s="13"/>
    </row>
    <row r="4802" ht="15.75" hidden="1" customHeight="1">
      <c r="A4802" s="13"/>
      <c r="B4802" s="13"/>
      <c r="C4802" s="13"/>
      <c r="D4802" s="13"/>
      <c r="E4802" s="13"/>
      <c r="F4802" s="13"/>
      <c r="G4802" s="13"/>
      <c r="H4802" s="13"/>
      <c r="I4802" s="13"/>
      <c r="J4802" s="13"/>
      <c r="K4802" s="13"/>
      <c r="L4802" s="13"/>
      <c r="M4802" s="13"/>
      <c r="N4802" s="13"/>
    </row>
    <row r="4803" ht="15.75" hidden="1" customHeight="1">
      <c r="A4803" s="13"/>
      <c r="B4803" s="13"/>
      <c r="C4803" s="13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</row>
    <row r="4804" ht="15.75" hidden="1" customHeight="1">
      <c r="A4804" s="13"/>
      <c r="B4804" s="13"/>
      <c r="C4804" s="13"/>
      <c r="D4804" s="13"/>
      <c r="E4804" s="13"/>
      <c r="F4804" s="13"/>
      <c r="G4804" s="13"/>
      <c r="H4804" s="13"/>
      <c r="I4804" s="13"/>
      <c r="J4804" s="13"/>
      <c r="K4804" s="13"/>
      <c r="L4804" s="13"/>
      <c r="M4804" s="13"/>
      <c r="N4804" s="13"/>
    </row>
    <row r="4805" ht="15.75" hidden="1" customHeight="1">
      <c r="A4805" s="13"/>
      <c r="B4805" s="13"/>
      <c r="C4805" s="13"/>
      <c r="D4805" s="13"/>
      <c r="E4805" s="13"/>
      <c r="F4805" s="13"/>
      <c r="G4805" s="13"/>
      <c r="H4805" s="13"/>
      <c r="I4805" s="13"/>
      <c r="J4805" s="13"/>
      <c r="K4805" s="13"/>
      <c r="L4805" s="13"/>
      <c r="M4805" s="13"/>
      <c r="N4805" s="13"/>
    </row>
    <row r="4806" ht="15.75" hidden="1" customHeight="1">
      <c r="A4806" s="13"/>
      <c r="B4806" s="13"/>
      <c r="C4806" s="13"/>
      <c r="D4806" s="13"/>
      <c r="E4806" s="13"/>
      <c r="F4806" s="13"/>
      <c r="G4806" s="13"/>
      <c r="H4806" s="13"/>
      <c r="I4806" s="13"/>
      <c r="J4806" s="13"/>
      <c r="K4806" s="13"/>
      <c r="L4806" s="13"/>
      <c r="M4806" s="13"/>
      <c r="N4806" s="13"/>
    </row>
    <row r="4807" ht="15.75" hidden="1" customHeight="1">
      <c r="A4807" s="13"/>
      <c r="B4807" s="13"/>
      <c r="C4807" s="13"/>
      <c r="D4807" s="13"/>
      <c r="E4807" s="13"/>
      <c r="F4807" s="13"/>
      <c r="G4807" s="13"/>
      <c r="H4807" s="13"/>
      <c r="I4807" s="13"/>
      <c r="J4807" s="13"/>
      <c r="K4807" s="13"/>
      <c r="L4807" s="13"/>
      <c r="M4807" s="13"/>
      <c r="N4807" s="13"/>
    </row>
    <row r="4808" ht="15.75" hidden="1" customHeight="1">
      <c r="A4808" s="13"/>
      <c r="B4808" s="13"/>
      <c r="C4808" s="13"/>
      <c r="D4808" s="13"/>
      <c r="E4808" s="13"/>
      <c r="F4808" s="13"/>
      <c r="G4808" s="13"/>
      <c r="H4808" s="13"/>
      <c r="I4808" s="13"/>
      <c r="J4808" s="13"/>
      <c r="K4808" s="13"/>
      <c r="L4808" s="13"/>
      <c r="M4808" s="13"/>
      <c r="N4808" s="13"/>
    </row>
    <row r="4809" ht="15.75" hidden="1" customHeight="1">
      <c r="A4809" s="13"/>
      <c r="B4809" s="13"/>
      <c r="C4809" s="13"/>
      <c r="D4809" s="13"/>
      <c r="E4809" s="13"/>
      <c r="F4809" s="13"/>
      <c r="G4809" s="13"/>
      <c r="H4809" s="13"/>
      <c r="I4809" s="13"/>
      <c r="J4809" s="13"/>
      <c r="K4809" s="13"/>
      <c r="L4809" s="13"/>
      <c r="M4809" s="13"/>
      <c r="N4809" s="13"/>
    </row>
    <row r="4810" ht="15.75" hidden="1" customHeight="1">
      <c r="A4810" s="13"/>
      <c r="B4810" s="13"/>
      <c r="C4810" s="13"/>
      <c r="D4810" s="13"/>
      <c r="E4810" s="13"/>
      <c r="F4810" s="13"/>
      <c r="G4810" s="13"/>
      <c r="H4810" s="13"/>
      <c r="I4810" s="13"/>
      <c r="J4810" s="13"/>
      <c r="K4810" s="13"/>
      <c r="L4810" s="13"/>
      <c r="M4810" s="13"/>
      <c r="N4810" s="13"/>
    </row>
    <row r="4811" ht="15.75" hidden="1" customHeight="1">
      <c r="A4811" s="13"/>
      <c r="B4811" s="13"/>
      <c r="C4811" s="13"/>
      <c r="D4811" s="13"/>
      <c r="E4811" s="13"/>
      <c r="F4811" s="13"/>
      <c r="G4811" s="13"/>
      <c r="H4811" s="13"/>
      <c r="I4811" s="13"/>
      <c r="J4811" s="13"/>
      <c r="K4811" s="13"/>
      <c r="L4811" s="13"/>
      <c r="M4811" s="13"/>
      <c r="N4811" s="13"/>
    </row>
    <row r="4812" ht="15.75" hidden="1" customHeight="1">
      <c r="A4812" s="13"/>
      <c r="B4812" s="13"/>
      <c r="C4812" s="13"/>
      <c r="D4812" s="13"/>
      <c r="E4812" s="13"/>
      <c r="F4812" s="13"/>
      <c r="G4812" s="13"/>
      <c r="H4812" s="13"/>
      <c r="I4812" s="13"/>
      <c r="J4812" s="13"/>
      <c r="K4812" s="13"/>
      <c r="L4812" s="13"/>
      <c r="M4812" s="13"/>
      <c r="N4812" s="13"/>
    </row>
    <row r="4813" ht="15.75" hidden="1" customHeight="1">
      <c r="A4813" s="13"/>
      <c r="B4813" s="13"/>
      <c r="C4813" s="13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</row>
    <row r="4814" ht="15.75" hidden="1" customHeight="1">
      <c r="A4814" s="13"/>
      <c r="B4814" s="13"/>
      <c r="C4814" s="13"/>
      <c r="D4814" s="13"/>
      <c r="E4814" s="13"/>
      <c r="F4814" s="13"/>
      <c r="G4814" s="13"/>
      <c r="H4814" s="13"/>
      <c r="I4814" s="13"/>
      <c r="J4814" s="13"/>
      <c r="K4814" s="13"/>
      <c r="L4814" s="13"/>
      <c r="M4814" s="13"/>
      <c r="N4814" s="13"/>
    </row>
    <row r="4815" ht="15.75" hidden="1" customHeight="1">
      <c r="A4815" s="13"/>
      <c r="B4815" s="13"/>
      <c r="C4815" s="13"/>
      <c r="D4815" s="13"/>
      <c r="E4815" s="13"/>
      <c r="F4815" s="13"/>
      <c r="G4815" s="13"/>
      <c r="H4815" s="13"/>
      <c r="I4815" s="13"/>
      <c r="J4815" s="13"/>
      <c r="K4815" s="13"/>
      <c r="L4815" s="13"/>
      <c r="M4815" s="13"/>
      <c r="N4815" s="13"/>
    </row>
    <row r="4816" ht="15.75" hidden="1" customHeight="1">
      <c r="A4816" s="13"/>
      <c r="B4816" s="13"/>
      <c r="C4816" s="13"/>
      <c r="D4816" s="13"/>
      <c r="E4816" s="13"/>
      <c r="F4816" s="13"/>
      <c r="G4816" s="13"/>
      <c r="H4816" s="13"/>
      <c r="I4816" s="13"/>
      <c r="J4816" s="13"/>
      <c r="K4816" s="13"/>
      <c r="L4816" s="13"/>
      <c r="M4816" s="13"/>
      <c r="N4816" s="13"/>
    </row>
    <row r="4817" ht="15.75" hidden="1" customHeight="1">
      <c r="A4817" s="13"/>
      <c r="B4817" s="13"/>
      <c r="C4817" s="13"/>
      <c r="D4817" s="13"/>
      <c r="E4817" s="13"/>
      <c r="F4817" s="13"/>
      <c r="G4817" s="13"/>
      <c r="H4817" s="13"/>
      <c r="I4817" s="13"/>
      <c r="J4817" s="13"/>
      <c r="K4817" s="13"/>
      <c r="L4817" s="13"/>
      <c r="M4817" s="13"/>
      <c r="N4817" s="13"/>
    </row>
    <row r="4818" ht="15.75" hidden="1" customHeight="1">
      <c r="A4818" s="13"/>
      <c r="B4818" s="13"/>
      <c r="C4818" s="13"/>
      <c r="D4818" s="13"/>
      <c r="E4818" s="13"/>
      <c r="F4818" s="13"/>
      <c r="G4818" s="13"/>
      <c r="H4818" s="13"/>
      <c r="I4818" s="13"/>
      <c r="J4818" s="13"/>
      <c r="K4818" s="13"/>
      <c r="L4818" s="13"/>
      <c r="M4818" s="13"/>
      <c r="N4818" s="13"/>
    </row>
    <row r="4819" ht="15.75" hidden="1" customHeight="1">
      <c r="A4819" s="13"/>
      <c r="B4819" s="13"/>
      <c r="C4819" s="13"/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</row>
    <row r="4820" ht="15.75" hidden="1" customHeight="1">
      <c r="A4820" s="13"/>
      <c r="B4820" s="13"/>
      <c r="C4820" s="13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</row>
    <row r="4821" ht="15.75" hidden="1" customHeight="1">
      <c r="A4821" s="13"/>
      <c r="B4821" s="13"/>
      <c r="C4821" s="13"/>
      <c r="D4821" s="13"/>
      <c r="E4821" s="13"/>
      <c r="F4821" s="13"/>
      <c r="G4821" s="13"/>
      <c r="H4821" s="13"/>
      <c r="I4821" s="13"/>
      <c r="J4821" s="13"/>
      <c r="K4821" s="13"/>
      <c r="L4821" s="13"/>
      <c r="M4821" s="13"/>
      <c r="N4821" s="13"/>
    </row>
    <row r="4822" ht="15.75" hidden="1" customHeight="1">
      <c r="A4822" s="13"/>
      <c r="B4822" s="13"/>
      <c r="C4822" s="13"/>
      <c r="D4822" s="13"/>
      <c r="E4822" s="13"/>
      <c r="F4822" s="13"/>
      <c r="G4822" s="13"/>
      <c r="H4822" s="13"/>
      <c r="I4822" s="13"/>
      <c r="J4822" s="13"/>
      <c r="K4822" s="13"/>
      <c r="L4822" s="13"/>
      <c r="M4822" s="13"/>
      <c r="N4822" s="13"/>
    </row>
    <row r="4823" ht="15.75" hidden="1" customHeight="1">
      <c r="A4823" s="13"/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</row>
    <row r="4824" ht="15.75" hidden="1" customHeight="1">
      <c r="A4824" s="13"/>
      <c r="B4824" s="13"/>
      <c r="C4824" s="13"/>
      <c r="D4824" s="13"/>
      <c r="E4824" s="13"/>
      <c r="F4824" s="13"/>
      <c r="G4824" s="13"/>
      <c r="H4824" s="13"/>
      <c r="I4824" s="13"/>
      <c r="J4824" s="13"/>
      <c r="K4824" s="13"/>
      <c r="L4824" s="13"/>
      <c r="M4824" s="13"/>
      <c r="N4824" s="13"/>
    </row>
    <row r="4825" ht="15.75" hidden="1" customHeight="1">
      <c r="A4825" s="13"/>
      <c r="B4825" s="13"/>
      <c r="C4825" s="13"/>
      <c r="D4825" s="13"/>
      <c r="E4825" s="13"/>
      <c r="F4825" s="13"/>
      <c r="G4825" s="13"/>
      <c r="H4825" s="13"/>
      <c r="I4825" s="13"/>
      <c r="J4825" s="13"/>
      <c r="K4825" s="13"/>
      <c r="L4825" s="13"/>
      <c r="M4825" s="13"/>
      <c r="N4825" s="13"/>
    </row>
    <row r="4826" ht="15.75" hidden="1" customHeight="1">
      <c r="A4826" s="13"/>
      <c r="B4826" s="13"/>
      <c r="C4826" s="13"/>
      <c r="D4826" s="13"/>
      <c r="E4826" s="13"/>
      <c r="F4826" s="13"/>
      <c r="G4826" s="13"/>
      <c r="H4826" s="13"/>
      <c r="I4826" s="13"/>
      <c r="J4826" s="13"/>
      <c r="K4826" s="13"/>
      <c r="L4826" s="13"/>
      <c r="M4826" s="13"/>
      <c r="N4826" s="13"/>
    </row>
    <row r="4827" ht="15.75" hidden="1" customHeight="1">
      <c r="A4827" s="13"/>
      <c r="B4827" s="13"/>
      <c r="C4827" s="13"/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</row>
    <row r="4828" ht="15.75" hidden="1" customHeight="1">
      <c r="A4828" s="13"/>
      <c r="B4828" s="13"/>
      <c r="C4828" s="13"/>
      <c r="D4828" s="13"/>
      <c r="E4828" s="13"/>
      <c r="F4828" s="13"/>
      <c r="G4828" s="13"/>
      <c r="H4828" s="13"/>
      <c r="I4828" s="13"/>
      <c r="J4828" s="13"/>
      <c r="K4828" s="13"/>
      <c r="L4828" s="13"/>
      <c r="M4828" s="13"/>
      <c r="N4828" s="13"/>
    </row>
    <row r="4829" ht="15.75" hidden="1" customHeight="1">
      <c r="A4829" s="13"/>
      <c r="B4829" s="13"/>
      <c r="C4829" s="13"/>
      <c r="D4829" s="13"/>
      <c r="E4829" s="13"/>
      <c r="F4829" s="13"/>
      <c r="G4829" s="13"/>
      <c r="H4829" s="13"/>
      <c r="I4829" s="13"/>
      <c r="J4829" s="13"/>
      <c r="K4829" s="13"/>
      <c r="L4829" s="13"/>
      <c r="M4829" s="13"/>
      <c r="N4829" s="13"/>
    </row>
    <row r="4830" ht="15.75" hidden="1" customHeight="1">
      <c r="A4830" s="13"/>
      <c r="B4830" s="13"/>
      <c r="C4830" s="13"/>
      <c r="D4830" s="13"/>
      <c r="E4830" s="13"/>
      <c r="F4830" s="13"/>
      <c r="G4830" s="13"/>
      <c r="H4830" s="13"/>
      <c r="I4830" s="13"/>
      <c r="J4830" s="13"/>
      <c r="K4830" s="13"/>
      <c r="L4830" s="13"/>
      <c r="M4830" s="13"/>
      <c r="N4830" s="13"/>
    </row>
    <row r="4831" ht="15.75" hidden="1" customHeight="1">
      <c r="A4831" s="13"/>
      <c r="B4831" s="13"/>
      <c r="C4831" s="13"/>
      <c r="D4831" s="13"/>
      <c r="E4831" s="13"/>
      <c r="F4831" s="13"/>
      <c r="G4831" s="13"/>
      <c r="H4831" s="13"/>
      <c r="I4831" s="13"/>
      <c r="J4831" s="13"/>
      <c r="K4831" s="13"/>
      <c r="L4831" s="13"/>
      <c r="M4831" s="13"/>
      <c r="N4831" s="13"/>
    </row>
    <row r="4832" ht="15.75" hidden="1" customHeight="1">
      <c r="A4832" s="13"/>
      <c r="B4832" s="13"/>
      <c r="C4832" s="13"/>
      <c r="D4832" s="13"/>
      <c r="E4832" s="13"/>
      <c r="F4832" s="13"/>
      <c r="G4832" s="13"/>
      <c r="H4832" s="13"/>
      <c r="I4832" s="13"/>
      <c r="J4832" s="13"/>
      <c r="K4832" s="13"/>
      <c r="L4832" s="13"/>
      <c r="M4832" s="13"/>
      <c r="N4832" s="13"/>
    </row>
    <row r="4833" ht="15.75" hidden="1" customHeight="1">
      <c r="A4833" s="13"/>
      <c r="B4833" s="13"/>
      <c r="C4833" s="13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</row>
    <row r="4834" ht="15.75" hidden="1" customHeight="1">
      <c r="A4834" s="13"/>
      <c r="B4834" s="13"/>
      <c r="C4834" s="13"/>
      <c r="D4834" s="13"/>
      <c r="E4834" s="13"/>
      <c r="F4834" s="13"/>
      <c r="G4834" s="13"/>
      <c r="H4834" s="13"/>
      <c r="I4834" s="13"/>
      <c r="J4834" s="13"/>
      <c r="K4834" s="13"/>
      <c r="L4834" s="13"/>
      <c r="M4834" s="13"/>
      <c r="N4834" s="13"/>
    </row>
    <row r="4835" ht="15.75" hidden="1" customHeight="1">
      <c r="A4835" s="13"/>
      <c r="B4835" s="13"/>
      <c r="C4835" s="13"/>
      <c r="D4835" s="13"/>
      <c r="E4835" s="13"/>
      <c r="F4835" s="13"/>
      <c r="G4835" s="13"/>
      <c r="H4835" s="13"/>
      <c r="I4835" s="13"/>
      <c r="J4835" s="13"/>
      <c r="K4835" s="13"/>
      <c r="L4835" s="13"/>
      <c r="M4835" s="13"/>
      <c r="N4835" s="13"/>
    </row>
    <row r="4836" ht="15.75" hidden="1" customHeight="1">
      <c r="A4836" s="13"/>
      <c r="B4836" s="13"/>
      <c r="C4836" s="13"/>
      <c r="D4836" s="13"/>
      <c r="E4836" s="13"/>
      <c r="F4836" s="13"/>
      <c r="G4836" s="13"/>
      <c r="H4836" s="13"/>
      <c r="I4836" s="13"/>
      <c r="J4836" s="13"/>
      <c r="K4836" s="13"/>
      <c r="L4836" s="13"/>
      <c r="M4836" s="13"/>
      <c r="N4836" s="13"/>
    </row>
    <row r="4837" ht="15.75" hidden="1" customHeight="1">
      <c r="A4837" s="13"/>
      <c r="B4837" s="13"/>
      <c r="C4837" s="13"/>
      <c r="D4837" s="13"/>
      <c r="E4837" s="13"/>
      <c r="F4837" s="13"/>
      <c r="G4837" s="13"/>
      <c r="H4837" s="13"/>
      <c r="I4837" s="13"/>
      <c r="J4837" s="13"/>
      <c r="K4837" s="13"/>
      <c r="L4837" s="13"/>
      <c r="M4837" s="13"/>
      <c r="N4837" s="13"/>
    </row>
    <row r="4838" ht="15.75" hidden="1" customHeight="1">
      <c r="A4838" s="13"/>
      <c r="B4838" s="13"/>
      <c r="C4838" s="13"/>
      <c r="D4838" s="13"/>
      <c r="E4838" s="13"/>
      <c r="F4838" s="13"/>
      <c r="G4838" s="13"/>
      <c r="H4838" s="13"/>
      <c r="I4838" s="13"/>
      <c r="J4838" s="13"/>
      <c r="K4838" s="13"/>
      <c r="L4838" s="13"/>
      <c r="M4838" s="13"/>
      <c r="N4838" s="13"/>
    </row>
    <row r="4839" ht="15.75" hidden="1" customHeight="1">
      <c r="A4839" s="13"/>
      <c r="B4839" s="13"/>
      <c r="C4839" s="13"/>
      <c r="D4839" s="13"/>
      <c r="E4839" s="13"/>
      <c r="F4839" s="13"/>
      <c r="G4839" s="13"/>
      <c r="H4839" s="13"/>
      <c r="I4839" s="13"/>
      <c r="J4839" s="13"/>
      <c r="K4839" s="13"/>
      <c r="L4839" s="13"/>
      <c r="M4839" s="13"/>
      <c r="N4839" s="13"/>
    </row>
    <row r="4840" ht="15.75" hidden="1" customHeight="1">
      <c r="A4840" s="13"/>
      <c r="B4840" s="13"/>
      <c r="C4840" s="13"/>
      <c r="D4840" s="13"/>
      <c r="E4840" s="13"/>
      <c r="F4840" s="13"/>
      <c r="G4840" s="13"/>
      <c r="H4840" s="13"/>
      <c r="I4840" s="13"/>
      <c r="J4840" s="13"/>
      <c r="K4840" s="13"/>
      <c r="L4840" s="13"/>
      <c r="M4840" s="13"/>
      <c r="N4840" s="13"/>
    </row>
    <row r="4841" ht="15.75" hidden="1" customHeight="1">
      <c r="A4841" s="13"/>
      <c r="B4841" s="13"/>
      <c r="C4841" s="13"/>
      <c r="D4841" s="13"/>
      <c r="E4841" s="13"/>
      <c r="F4841" s="13"/>
      <c r="G4841" s="13"/>
      <c r="H4841" s="13"/>
      <c r="I4841" s="13"/>
      <c r="J4841" s="13"/>
      <c r="K4841" s="13"/>
      <c r="L4841" s="13"/>
      <c r="M4841" s="13"/>
      <c r="N4841" s="13"/>
    </row>
    <row r="4842" ht="15.75" hidden="1" customHeight="1">
      <c r="A4842" s="13"/>
      <c r="B4842" s="13"/>
      <c r="C4842" s="13"/>
      <c r="D4842" s="13"/>
      <c r="E4842" s="13"/>
      <c r="F4842" s="13"/>
      <c r="G4842" s="13"/>
      <c r="H4842" s="13"/>
      <c r="I4842" s="13"/>
      <c r="J4842" s="13"/>
      <c r="K4842" s="13"/>
      <c r="L4842" s="13"/>
      <c r="M4842" s="13"/>
      <c r="N4842" s="13"/>
    </row>
    <row r="4843" ht="15.75" hidden="1" customHeight="1">
      <c r="A4843" s="13"/>
      <c r="B4843" s="13"/>
      <c r="C4843" s="13"/>
      <c r="D4843" s="13"/>
      <c r="E4843" s="13"/>
      <c r="F4843" s="13"/>
      <c r="G4843" s="13"/>
      <c r="H4843" s="13"/>
      <c r="I4843" s="13"/>
      <c r="J4843" s="13"/>
      <c r="K4843" s="13"/>
      <c r="L4843" s="13"/>
      <c r="M4843" s="13"/>
      <c r="N4843" s="13"/>
    </row>
    <row r="4844" ht="15.75" hidden="1" customHeight="1">
      <c r="A4844" s="13"/>
      <c r="B4844" s="13"/>
      <c r="C4844" s="13"/>
      <c r="D4844" s="13"/>
      <c r="E4844" s="13"/>
      <c r="F4844" s="13"/>
      <c r="G4844" s="13"/>
      <c r="H4844" s="13"/>
      <c r="I4844" s="13"/>
      <c r="J4844" s="13"/>
      <c r="K4844" s="13"/>
      <c r="L4844" s="13"/>
      <c r="M4844" s="13"/>
      <c r="N4844" s="13"/>
    </row>
    <row r="4845" ht="15.75" hidden="1" customHeight="1">
      <c r="A4845" s="13"/>
      <c r="B4845" s="13"/>
      <c r="C4845" s="13"/>
      <c r="D4845" s="13"/>
      <c r="E4845" s="13"/>
      <c r="F4845" s="13"/>
      <c r="G4845" s="13"/>
      <c r="H4845" s="13"/>
      <c r="I4845" s="13"/>
      <c r="J4845" s="13"/>
      <c r="K4845" s="13"/>
      <c r="L4845" s="13"/>
      <c r="M4845" s="13"/>
      <c r="N4845" s="13"/>
    </row>
    <row r="4846" ht="15.75" hidden="1" customHeight="1">
      <c r="A4846" s="13"/>
      <c r="B4846" s="13"/>
      <c r="C4846" s="13"/>
      <c r="D4846" s="13"/>
      <c r="E4846" s="13"/>
      <c r="F4846" s="13"/>
      <c r="G4846" s="13"/>
      <c r="H4846" s="13"/>
      <c r="I4846" s="13"/>
      <c r="J4846" s="13"/>
      <c r="K4846" s="13"/>
      <c r="L4846" s="13"/>
      <c r="M4846" s="13"/>
      <c r="N4846" s="13"/>
    </row>
    <row r="4847" ht="15.75" hidden="1" customHeight="1">
      <c r="A4847" s="13"/>
      <c r="B4847" s="13"/>
      <c r="C4847" s="13"/>
      <c r="D4847" s="13"/>
      <c r="E4847" s="13"/>
      <c r="F4847" s="13"/>
      <c r="G4847" s="13"/>
      <c r="H4847" s="13"/>
      <c r="I4847" s="13"/>
      <c r="J4847" s="13"/>
      <c r="K4847" s="13"/>
      <c r="L4847" s="13"/>
      <c r="M4847" s="13"/>
      <c r="N4847" s="13"/>
    </row>
    <row r="4848" ht="15.75" hidden="1" customHeight="1">
      <c r="A4848" s="13"/>
      <c r="B4848" s="13"/>
      <c r="C4848" s="13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</row>
    <row r="4849" ht="15.75" hidden="1" customHeight="1">
      <c r="A4849" s="13"/>
      <c r="B4849" s="13"/>
      <c r="C4849" s="13"/>
      <c r="D4849" s="13"/>
      <c r="E4849" s="13"/>
      <c r="F4849" s="13"/>
      <c r="G4849" s="13"/>
      <c r="H4849" s="13"/>
      <c r="I4849" s="13"/>
      <c r="J4849" s="13"/>
      <c r="K4849" s="13"/>
      <c r="L4849" s="13"/>
      <c r="M4849" s="13"/>
      <c r="N4849" s="13"/>
    </row>
    <row r="4850" ht="15.75" hidden="1" customHeight="1">
      <c r="A4850" s="13"/>
      <c r="B4850" s="13"/>
      <c r="C4850" s="13"/>
      <c r="D4850" s="13"/>
      <c r="E4850" s="13"/>
      <c r="F4850" s="13"/>
      <c r="G4850" s="13"/>
      <c r="H4850" s="13"/>
      <c r="I4850" s="13"/>
      <c r="J4850" s="13"/>
      <c r="K4850" s="13"/>
      <c r="L4850" s="13"/>
      <c r="M4850" s="13"/>
      <c r="N4850" s="13"/>
    </row>
    <row r="4851" ht="15.75" hidden="1" customHeight="1">
      <c r="A4851" s="13"/>
      <c r="B4851" s="13"/>
      <c r="C4851" s="13"/>
      <c r="D4851" s="13"/>
      <c r="E4851" s="13"/>
      <c r="F4851" s="13"/>
      <c r="G4851" s="13"/>
      <c r="H4851" s="13"/>
      <c r="I4851" s="13"/>
      <c r="J4851" s="13"/>
      <c r="K4851" s="13"/>
      <c r="L4851" s="13"/>
      <c r="M4851" s="13"/>
      <c r="N4851" s="13"/>
    </row>
    <row r="4852" ht="15.75" hidden="1" customHeight="1">
      <c r="A4852" s="13"/>
      <c r="B4852" s="13"/>
      <c r="C4852" s="13"/>
      <c r="D4852" s="13"/>
      <c r="E4852" s="13"/>
      <c r="F4852" s="13"/>
      <c r="G4852" s="13"/>
      <c r="H4852" s="13"/>
      <c r="I4852" s="13"/>
      <c r="J4852" s="13"/>
      <c r="K4852" s="13"/>
      <c r="L4852" s="13"/>
      <c r="M4852" s="13"/>
      <c r="N4852" s="13"/>
    </row>
    <row r="4853" ht="15.75" hidden="1" customHeight="1">
      <c r="A4853" s="13"/>
      <c r="B4853" s="13"/>
      <c r="C4853" s="13"/>
      <c r="D4853" s="13"/>
      <c r="E4853" s="13"/>
      <c r="F4853" s="13"/>
      <c r="G4853" s="13"/>
      <c r="H4853" s="13"/>
      <c r="I4853" s="13"/>
      <c r="J4853" s="13"/>
      <c r="K4853" s="13"/>
      <c r="L4853" s="13"/>
      <c r="M4853" s="13"/>
      <c r="N4853" s="13"/>
    </row>
    <row r="4854" ht="15.75" hidden="1" customHeight="1">
      <c r="A4854" s="13"/>
      <c r="B4854" s="13"/>
      <c r="C4854" s="13"/>
      <c r="D4854" s="13"/>
      <c r="E4854" s="13"/>
      <c r="F4854" s="13"/>
      <c r="G4854" s="13"/>
      <c r="H4854" s="13"/>
      <c r="I4854" s="13"/>
      <c r="J4854" s="13"/>
      <c r="K4854" s="13"/>
      <c r="L4854" s="13"/>
      <c r="M4854" s="13"/>
      <c r="N4854" s="13"/>
    </row>
    <row r="4855" ht="15.75" hidden="1" customHeight="1">
      <c r="A4855" s="13"/>
      <c r="B4855" s="13"/>
      <c r="C4855" s="13"/>
      <c r="D4855" s="13"/>
      <c r="E4855" s="13"/>
      <c r="F4855" s="13"/>
      <c r="G4855" s="13"/>
      <c r="H4855" s="13"/>
      <c r="I4855" s="13"/>
      <c r="J4855" s="13"/>
      <c r="K4855" s="13"/>
      <c r="L4855" s="13"/>
      <c r="M4855" s="13"/>
      <c r="N4855" s="13"/>
    </row>
    <row r="4856" ht="15.75" hidden="1" customHeight="1">
      <c r="A4856" s="13"/>
      <c r="B4856" s="13"/>
      <c r="C4856" s="13"/>
      <c r="D4856" s="13"/>
      <c r="E4856" s="13"/>
      <c r="F4856" s="13"/>
      <c r="G4856" s="13"/>
      <c r="H4856" s="13"/>
      <c r="I4856" s="13"/>
      <c r="J4856" s="13"/>
      <c r="K4856" s="13"/>
      <c r="L4856" s="13"/>
      <c r="M4856" s="13"/>
      <c r="N4856" s="13"/>
    </row>
    <row r="4857" ht="15.75" hidden="1" customHeight="1">
      <c r="A4857" s="13"/>
      <c r="B4857" s="13"/>
      <c r="C4857" s="13"/>
      <c r="D4857" s="13"/>
      <c r="E4857" s="13"/>
      <c r="F4857" s="13"/>
      <c r="G4857" s="13"/>
      <c r="H4857" s="13"/>
      <c r="I4857" s="13"/>
      <c r="J4857" s="13"/>
      <c r="K4857" s="13"/>
      <c r="L4857" s="13"/>
      <c r="M4857" s="13"/>
      <c r="N4857" s="13"/>
    </row>
    <row r="4858" ht="15.75" hidden="1" customHeight="1">
      <c r="A4858" s="13"/>
      <c r="B4858" s="13"/>
      <c r="C4858" s="13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</row>
    <row r="4859" ht="15.75" hidden="1" customHeight="1">
      <c r="A4859" s="13"/>
      <c r="B4859" s="13"/>
      <c r="C4859" s="13"/>
      <c r="D4859" s="13"/>
      <c r="E4859" s="13"/>
      <c r="F4859" s="13"/>
      <c r="G4859" s="13"/>
      <c r="H4859" s="13"/>
      <c r="I4859" s="13"/>
      <c r="J4859" s="13"/>
      <c r="K4859" s="13"/>
      <c r="L4859" s="13"/>
      <c r="M4859" s="13"/>
      <c r="N4859" s="13"/>
    </row>
    <row r="4860" ht="15.75" hidden="1" customHeight="1">
      <c r="A4860" s="13"/>
      <c r="B4860" s="13"/>
      <c r="C4860" s="13"/>
      <c r="D4860" s="13"/>
      <c r="E4860" s="13"/>
      <c r="F4860" s="13"/>
      <c r="G4860" s="13"/>
      <c r="H4860" s="13"/>
      <c r="I4860" s="13"/>
      <c r="J4860" s="13"/>
      <c r="K4860" s="13"/>
      <c r="L4860" s="13"/>
      <c r="M4860" s="13"/>
      <c r="N4860" s="13"/>
    </row>
    <row r="4861" ht="15.75" hidden="1" customHeight="1">
      <c r="A4861" s="13"/>
      <c r="B4861" s="13"/>
      <c r="C4861" s="13"/>
      <c r="D4861" s="13"/>
      <c r="E4861" s="13"/>
      <c r="F4861" s="13"/>
      <c r="G4861" s="13"/>
      <c r="H4861" s="13"/>
      <c r="I4861" s="13"/>
      <c r="J4861" s="13"/>
      <c r="K4861" s="13"/>
      <c r="L4861" s="13"/>
      <c r="M4861" s="13"/>
      <c r="N4861" s="13"/>
    </row>
    <row r="4862" ht="15.75" hidden="1" customHeight="1">
      <c r="A4862" s="13"/>
      <c r="B4862" s="13"/>
      <c r="C4862" s="13"/>
      <c r="D4862" s="13"/>
      <c r="E4862" s="13"/>
      <c r="F4862" s="13"/>
      <c r="G4862" s="13"/>
      <c r="H4862" s="13"/>
      <c r="I4862" s="13"/>
      <c r="J4862" s="13"/>
      <c r="K4862" s="13"/>
      <c r="L4862" s="13"/>
      <c r="M4862" s="13"/>
      <c r="N4862" s="13"/>
    </row>
    <row r="4863" ht="15.75" hidden="1" customHeight="1">
      <c r="A4863" s="13"/>
      <c r="B4863" s="13"/>
      <c r="C4863" s="13"/>
      <c r="D4863" s="13"/>
      <c r="E4863" s="13"/>
      <c r="F4863" s="13"/>
      <c r="G4863" s="13"/>
      <c r="H4863" s="13"/>
      <c r="I4863" s="13"/>
      <c r="J4863" s="13"/>
      <c r="K4863" s="13"/>
      <c r="L4863" s="13"/>
      <c r="M4863" s="13"/>
      <c r="N4863" s="13"/>
    </row>
    <row r="4864" ht="15.75" hidden="1" customHeight="1">
      <c r="A4864" s="13"/>
      <c r="B4864" s="13"/>
      <c r="C4864" s="13"/>
      <c r="D4864" s="13"/>
      <c r="E4864" s="13"/>
      <c r="F4864" s="13"/>
      <c r="G4864" s="13"/>
      <c r="H4864" s="13"/>
      <c r="I4864" s="13"/>
      <c r="J4864" s="13"/>
      <c r="K4864" s="13"/>
      <c r="L4864" s="13"/>
      <c r="M4864" s="13"/>
      <c r="N4864" s="13"/>
    </row>
    <row r="4865" ht="15.75" hidden="1" customHeight="1">
      <c r="A4865" s="13"/>
      <c r="B4865" s="13"/>
      <c r="C4865" s="13"/>
      <c r="D4865" s="13"/>
      <c r="E4865" s="13"/>
      <c r="F4865" s="13"/>
      <c r="G4865" s="13"/>
      <c r="H4865" s="13"/>
      <c r="I4865" s="13"/>
      <c r="J4865" s="13"/>
      <c r="K4865" s="13"/>
      <c r="L4865" s="13"/>
      <c r="M4865" s="13"/>
      <c r="N4865" s="13"/>
    </row>
    <row r="4866" ht="15.75" hidden="1" customHeight="1">
      <c r="A4866" s="13"/>
      <c r="B4866" s="13"/>
      <c r="C4866" s="13"/>
      <c r="D4866" s="13"/>
      <c r="E4866" s="13"/>
      <c r="F4866" s="13"/>
      <c r="G4866" s="13"/>
      <c r="H4866" s="13"/>
      <c r="I4866" s="13"/>
      <c r="J4866" s="13"/>
      <c r="K4866" s="13"/>
      <c r="L4866" s="13"/>
      <c r="M4866" s="13"/>
      <c r="N4866" s="13"/>
    </row>
    <row r="4867" ht="15.75" hidden="1" customHeight="1">
      <c r="A4867" s="13"/>
      <c r="B4867" s="13"/>
      <c r="C4867" s="13"/>
      <c r="D4867" s="13"/>
      <c r="E4867" s="13"/>
      <c r="F4867" s="13"/>
      <c r="G4867" s="13"/>
      <c r="H4867" s="13"/>
      <c r="I4867" s="13"/>
      <c r="J4867" s="13"/>
      <c r="K4867" s="13"/>
      <c r="L4867" s="13"/>
      <c r="M4867" s="13"/>
      <c r="N4867" s="13"/>
    </row>
    <row r="4868" ht="15.75" hidden="1" customHeight="1">
      <c r="A4868" s="13"/>
      <c r="B4868" s="13"/>
      <c r="C4868" s="13"/>
      <c r="D4868" s="13"/>
      <c r="E4868" s="13"/>
      <c r="F4868" s="13"/>
      <c r="G4868" s="13"/>
      <c r="H4868" s="13"/>
      <c r="I4868" s="13"/>
      <c r="J4868" s="13"/>
      <c r="K4868" s="13"/>
      <c r="L4868" s="13"/>
      <c r="M4868" s="13"/>
      <c r="N4868" s="13"/>
    </row>
    <row r="4869" ht="15.75" hidden="1" customHeight="1">
      <c r="A4869" s="13"/>
      <c r="B4869" s="13"/>
      <c r="C4869" s="13"/>
      <c r="D4869" s="13"/>
      <c r="E4869" s="13"/>
      <c r="F4869" s="13"/>
      <c r="G4869" s="13"/>
      <c r="H4869" s="13"/>
      <c r="I4869" s="13"/>
      <c r="J4869" s="13"/>
      <c r="K4869" s="13"/>
      <c r="L4869" s="13"/>
      <c r="M4869" s="13"/>
      <c r="N4869" s="13"/>
    </row>
    <row r="4870" ht="15.75" hidden="1" customHeight="1">
      <c r="A4870" s="13"/>
      <c r="B4870" s="13"/>
      <c r="C4870" s="13"/>
      <c r="D4870" s="13"/>
      <c r="E4870" s="13"/>
      <c r="F4870" s="13"/>
      <c r="G4870" s="13"/>
      <c r="H4870" s="13"/>
      <c r="I4870" s="13"/>
      <c r="J4870" s="13"/>
      <c r="K4870" s="13"/>
      <c r="L4870" s="13"/>
      <c r="M4870" s="13"/>
      <c r="N4870" s="13"/>
    </row>
    <row r="4871" ht="15.75" hidden="1" customHeight="1">
      <c r="A4871" s="13"/>
      <c r="B4871" s="13"/>
      <c r="C4871" s="13"/>
      <c r="D4871" s="13"/>
      <c r="E4871" s="13"/>
      <c r="F4871" s="13"/>
      <c r="G4871" s="13"/>
      <c r="H4871" s="13"/>
      <c r="I4871" s="13"/>
      <c r="J4871" s="13"/>
      <c r="K4871" s="13"/>
      <c r="L4871" s="13"/>
      <c r="M4871" s="13"/>
      <c r="N4871" s="13"/>
    </row>
    <row r="4872" ht="15.75" hidden="1" customHeight="1">
      <c r="A4872" s="13"/>
      <c r="B4872" s="13"/>
      <c r="C4872" s="13"/>
      <c r="D4872" s="13"/>
      <c r="E4872" s="13"/>
      <c r="F4872" s="13"/>
      <c r="G4872" s="13"/>
      <c r="H4872" s="13"/>
      <c r="I4872" s="13"/>
      <c r="J4872" s="13"/>
      <c r="K4872" s="13"/>
      <c r="L4872" s="13"/>
      <c r="M4872" s="13"/>
      <c r="N4872" s="13"/>
    </row>
    <row r="4873" ht="15.75" hidden="1" customHeight="1">
      <c r="A4873" s="13"/>
      <c r="B4873" s="13"/>
      <c r="C4873" s="13"/>
      <c r="D4873" s="13"/>
      <c r="E4873" s="13"/>
      <c r="F4873" s="13"/>
      <c r="G4873" s="13"/>
      <c r="H4873" s="13"/>
      <c r="I4873" s="13"/>
      <c r="J4873" s="13"/>
      <c r="K4873" s="13"/>
      <c r="L4873" s="13"/>
      <c r="M4873" s="13"/>
      <c r="N4873" s="13"/>
    </row>
    <row r="4874" ht="15.75" hidden="1" customHeight="1">
      <c r="A4874" s="13"/>
      <c r="B4874" s="13"/>
      <c r="C4874" s="13"/>
      <c r="D4874" s="13"/>
      <c r="E4874" s="13"/>
      <c r="F4874" s="13"/>
      <c r="G4874" s="13"/>
      <c r="H4874" s="13"/>
      <c r="I4874" s="13"/>
      <c r="J4874" s="13"/>
      <c r="K4874" s="13"/>
      <c r="L4874" s="13"/>
      <c r="M4874" s="13"/>
      <c r="N4874" s="13"/>
    </row>
    <row r="4875" ht="15.75" hidden="1" customHeight="1">
      <c r="A4875" s="13"/>
      <c r="B4875" s="13"/>
      <c r="C4875" s="13"/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</row>
    <row r="4876" ht="15.75" hidden="1" customHeight="1">
      <c r="A4876" s="13"/>
      <c r="B4876" s="13"/>
      <c r="C4876" s="13"/>
      <c r="D4876" s="13"/>
      <c r="E4876" s="13"/>
      <c r="F4876" s="13"/>
      <c r="G4876" s="13"/>
      <c r="H4876" s="13"/>
      <c r="I4876" s="13"/>
      <c r="J4876" s="13"/>
      <c r="K4876" s="13"/>
      <c r="L4876" s="13"/>
      <c r="M4876" s="13"/>
      <c r="N4876" s="13"/>
    </row>
    <row r="4877" ht="15.75" hidden="1" customHeight="1">
      <c r="A4877" s="13"/>
      <c r="B4877" s="13"/>
      <c r="C4877" s="13"/>
      <c r="D4877" s="13"/>
      <c r="E4877" s="13"/>
      <c r="F4877" s="13"/>
      <c r="G4877" s="13"/>
      <c r="H4877" s="13"/>
      <c r="I4877" s="13"/>
      <c r="J4877" s="13"/>
      <c r="K4877" s="13"/>
      <c r="L4877" s="13"/>
      <c r="M4877" s="13"/>
      <c r="N4877" s="13"/>
    </row>
    <row r="4878" ht="15.75" hidden="1" customHeight="1">
      <c r="A4878" s="13"/>
      <c r="B4878" s="13"/>
      <c r="C4878" s="13"/>
      <c r="D4878" s="13"/>
      <c r="E4878" s="13"/>
      <c r="F4878" s="13"/>
      <c r="G4878" s="13"/>
      <c r="H4878" s="13"/>
      <c r="I4878" s="13"/>
      <c r="J4878" s="13"/>
      <c r="K4878" s="13"/>
      <c r="L4878" s="13"/>
      <c r="M4878" s="13"/>
      <c r="N4878" s="13"/>
    </row>
    <row r="4879" ht="15.75" hidden="1" customHeight="1">
      <c r="A4879" s="13"/>
      <c r="B4879" s="13"/>
      <c r="C4879" s="13"/>
      <c r="D4879" s="13"/>
      <c r="E4879" s="13"/>
      <c r="F4879" s="13"/>
      <c r="G4879" s="13"/>
      <c r="H4879" s="13"/>
      <c r="I4879" s="13"/>
      <c r="J4879" s="13"/>
      <c r="K4879" s="13"/>
      <c r="L4879" s="13"/>
      <c r="M4879" s="13"/>
      <c r="N4879" s="13"/>
    </row>
    <row r="4880" ht="15.75" hidden="1" customHeight="1">
      <c r="A4880" s="13"/>
      <c r="B4880" s="13"/>
      <c r="C4880" s="13"/>
      <c r="D4880" s="13"/>
      <c r="E4880" s="13"/>
      <c r="F4880" s="13"/>
      <c r="G4880" s="13"/>
      <c r="H4880" s="13"/>
      <c r="I4880" s="13"/>
      <c r="J4880" s="13"/>
      <c r="K4880" s="13"/>
      <c r="L4880" s="13"/>
      <c r="M4880" s="13"/>
      <c r="N4880" s="13"/>
    </row>
    <row r="4881" ht="15.75" hidden="1" customHeight="1">
      <c r="A4881" s="13"/>
      <c r="B4881" s="13"/>
      <c r="C4881" s="13"/>
      <c r="D4881" s="13"/>
      <c r="E4881" s="13"/>
      <c r="F4881" s="13"/>
      <c r="G4881" s="13"/>
      <c r="H4881" s="13"/>
      <c r="I4881" s="13"/>
      <c r="J4881" s="13"/>
      <c r="K4881" s="13"/>
      <c r="L4881" s="13"/>
      <c r="M4881" s="13"/>
      <c r="N4881" s="13"/>
    </row>
    <row r="4882" ht="15.75" hidden="1" customHeight="1">
      <c r="A4882" s="13"/>
      <c r="B4882" s="13"/>
      <c r="C4882" s="13"/>
      <c r="D4882" s="13"/>
      <c r="E4882" s="13"/>
      <c r="F4882" s="13"/>
      <c r="G4882" s="13"/>
      <c r="H4882" s="13"/>
      <c r="I4882" s="13"/>
      <c r="J4882" s="13"/>
      <c r="K4882" s="13"/>
      <c r="L4882" s="13"/>
      <c r="M4882" s="13"/>
      <c r="N4882" s="13"/>
    </row>
    <row r="4883" ht="15.75" hidden="1" customHeight="1">
      <c r="A4883" s="13"/>
      <c r="B4883" s="13"/>
      <c r="C4883" s="13"/>
      <c r="D4883" s="13"/>
      <c r="E4883" s="13"/>
      <c r="F4883" s="13"/>
      <c r="G4883" s="13"/>
      <c r="H4883" s="13"/>
      <c r="I4883" s="13"/>
      <c r="J4883" s="13"/>
      <c r="K4883" s="13"/>
      <c r="L4883" s="13"/>
      <c r="M4883" s="13"/>
      <c r="N4883" s="13"/>
    </row>
    <row r="4884" ht="15.75" hidden="1" customHeight="1">
      <c r="A4884" s="13"/>
      <c r="B4884" s="13"/>
      <c r="C4884" s="13"/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</row>
    <row r="4885" ht="15.75" hidden="1" customHeight="1">
      <c r="A4885" s="13"/>
      <c r="B4885" s="13"/>
      <c r="C4885" s="13"/>
      <c r="D4885" s="13"/>
      <c r="E4885" s="13"/>
      <c r="F4885" s="13"/>
      <c r="G4885" s="13"/>
      <c r="H4885" s="13"/>
      <c r="I4885" s="13"/>
      <c r="J4885" s="13"/>
      <c r="K4885" s="13"/>
      <c r="L4885" s="13"/>
      <c r="M4885" s="13"/>
      <c r="N4885" s="13"/>
    </row>
    <row r="4886" ht="15.75" hidden="1" customHeight="1">
      <c r="A4886" s="13"/>
      <c r="B4886" s="13"/>
      <c r="C4886" s="13"/>
      <c r="D4886" s="13"/>
      <c r="E4886" s="13"/>
      <c r="F4886" s="13"/>
      <c r="G4886" s="13"/>
      <c r="H4886" s="13"/>
      <c r="I4886" s="13"/>
      <c r="J4886" s="13"/>
      <c r="K4886" s="13"/>
      <c r="L4886" s="13"/>
      <c r="M4886" s="13"/>
      <c r="N4886" s="13"/>
    </row>
    <row r="4887" ht="15.75" hidden="1" customHeight="1">
      <c r="A4887" s="13"/>
      <c r="B4887" s="13"/>
      <c r="C4887" s="13"/>
      <c r="D4887" s="13"/>
      <c r="E4887" s="13"/>
      <c r="F4887" s="13"/>
      <c r="G4887" s="13"/>
      <c r="H4887" s="13"/>
      <c r="I4887" s="13"/>
      <c r="J4887" s="13"/>
      <c r="K4887" s="13"/>
      <c r="L4887" s="13"/>
      <c r="M4887" s="13"/>
      <c r="N4887" s="13"/>
    </row>
    <row r="4888" ht="15.75" hidden="1" customHeight="1">
      <c r="A4888" s="13"/>
      <c r="B4888" s="13"/>
      <c r="C4888" s="13"/>
      <c r="D4888" s="13"/>
      <c r="E4888" s="13"/>
      <c r="F4888" s="13"/>
      <c r="G4888" s="13"/>
      <c r="H4888" s="13"/>
      <c r="I4888" s="13"/>
      <c r="J4888" s="13"/>
      <c r="K4888" s="13"/>
      <c r="L4888" s="13"/>
      <c r="M4888" s="13"/>
      <c r="N4888" s="13"/>
    </row>
    <row r="4889" ht="15.75" hidden="1" customHeight="1">
      <c r="A4889" s="13"/>
      <c r="B4889" s="13"/>
      <c r="C4889" s="13"/>
      <c r="D4889" s="13"/>
      <c r="E4889" s="13"/>
      <c r="F4889" s="13"/>
      <c r="G4889" s="13"/>
      <c r="H4889" s="13"/>
      <c r="I4889" s="13"/>
      <c r="J4889" s="13"/>
      <c r="K4889" s="13"/>
      <c r="L4889" s="13"/>
      <c r="M4889" s="13"/>
      <c r="N4889" s="13"/>
    </row>
    <row r="4890" ht="15.75" hidden="1" customHeight="1">
      <c r="A4890" s="13"/>
      <c r="B4890" s="13"/>
      <c r="C4890" s="13"/>
      <c r="D4890" s="13"/>
      <c r="E4890" s="13"/>
      <c r="F4890" s="13"/>
      <c r="G4890" s="13"/>
      <c r="H4890" s="13"/>
      <c r="I4890" s="13"/>
      <c r="J4890" s="13"/>
      <c r="K4890" s="13"/>
      <c r="L4890" s="13"/>
      <c r="M4890" s="13"/>
      <c r="N4890" s="13"/>
    </row>
    <row r="4891" ht="15.75" hidden="1" customHeight="1">
      <c r="A4891" s="13"/>
      <c r="B4891" s="13"/>
      <c r="C4891" s="13"/>
      <c r="D4891" s="13"/>
      <c r="E4891" s="13"/>
      <c r="F4891" s="13"/>
      <c r="G4891" s="13"/>
      <c r="H4891" s="13"/>
      <c r="I4891" s="13"/>
      <c r="J4891" s="13"/>
      <c r="K4891" s="13"/>
      <c r="L4891" s="13"/>
      <c r="M4891" s="13"/>
      <c r="N4891" s="13"/>
    </row>
    <row r="4892" ht="15.75" hidden="1" customHeight="1">
      <c r="A4892" s="13"/>
      <c r="B4892" s="13"/>
      <c r="C4892" s="13"/>
      <c r="D4892" s="13"/>
      <c r="E4892" s="13"/>
      <c r="F4892" s="13"/>
      <c r="G4892" s="13"/>
      <c r="H4892" s="13"/>
      <c r="I4892" s="13"/>
      <c r="J4892" s="13"/>
      <c r="K4892" s="13"/>
      <c r="L4892" s="13"/>
      <c r="M4892" s="13"/>
      <c r="N4892" s="13"/>
    </row>
    <row r="4893" ht="15.75" hidden="1" customHeight="1">
      <c r="A4893" s="13"/>
      <c r="B4893" s="13"/>
      <c r="C4893" s="13"/>
      <c r="D4893" s="13"/>
      <c r="E4893" s="13"/>
      <c r="F4893" s="13"/>
      <c r="G4893" s="13"/>
      <c r="H4893" s="13"/>
      <c r="I4893" s="13"/>
      <c r="J4893" s="13"/>
      <c r="K4893" s="13"/>
      <c r="L4893" s="13"/>
      <c r="M4893" s="13"/>
      <c r="N4893" s="13"/>
    </row>
    <row r="4894" ht="15.75" hidden="1" customHeight="1">
      <c r="A4894" s="13"/>
      <c r="B4894" s="13"/>
      <c r="C4894" s="13"/>
      <c r="D4894" s="13"/>
      <c r="E4894" s="13"/>
      <c r="F4894" s="13"/>
      <c r="G4894" s="13"/>
      <c r="H4894" s="13"/>
      <c r="I4894" s="13"/>
      <c r="J4894" s="13"/>
      <c r="K4894" s="13"/>
      <c r="L4894" s="13"/>
      <c r="M4894" s="13"/>
      <c r="N4894" s="13"/>
    </row>
    <row r="4895" ht="15.75" hidden="1" customHeight="1">
      <c r="A4895" s="13"/>
      <c r="B4895" s="13"/>
      <c r="C4895" s="13"/>
      <c r="D4895" s="13"/>
      <c r="E4895" s="13"/>
      <c r="F4895" s="13"/>
      <c r="G4895" s="13"/>
      <c r="H4895" s="13"/>
      <c r="I4895" s="13"/>
      <c r="J4895" s="13"/>
      <c r="K4895" s="13"/>
      <c r="L4895" s="13"/>
      <c r="M4895" s="13"/>
      <c r="N4895" s="13"/>
    </row>
    <row r="4896" ht="15.75" hidden="1" customHeight="1">
      <c r="A4896" s="13"/>
      <c r="B4896" s="13"/>
      <c r="C4896" s="13"/>
      <c r="D4896" s="13"/>
      <c r="E4896" s="13"/>
      <c r="F4896" s="13"/>
      <c r="G4896" s="13"/>
      <c r="H4896" s="13"/>
      <c r="I4896" s="13"/>
      <c r="J4896" s="13"/>
      <c r="K4896" s="13"/>
      <c r="L4896" s="13"/>
      <c r="M4896" s="13"/>
      <c r="N4896" s="13"/>
    </row>
    <row r="4897" ht="15.75" hidden="1" customHeight="1">
      <c r="A4897" s="13"/>
      <c r="B4897" s="13"/>
      <c r="C4897" s="13"/>
      <c r="D4897" s="13"/>
      <c r="E4897" s="13"/>
      <c r="F4897" s="13"/>
      <c r="G4897" s="13"/>
      <c r="H4897" s="13"/>
      <c r="I4897" s="13"/>
      <c r="J4897" s="13"/>
      <c r="K4897" s="13"/>
      <c r="L4897" s="13"/>
      <c r="M4897" s="13"/>
      <c r="N4897" s="13"/>
    </row>
    <row r="4898" ht="15.75" hidden="1" customHeight="1">
      <c r="A4898" s="13"/>
      <c r="B4898" s="13"/>
      <c r="C4898" s="13"/>
      <c r="D4898" s="13"/>
      <c r="E4898" s="13"/>
      <c r="F4898" s="13"/>
      <c r="G4898" s="13"/>
      <c r="H4898" s="13"/>
      <c r="I4898" s="13"/>
      <c r="J4898" s="13"/>
      <c r="K4898" s="13"/>
      <c r="L4898" s="13"/>
      <c r="M4898" s="13"/>
      <c r="N4898" s="13"/>
    </row>
    <row r="4899" ht="15.75" hidden="1" customHeight="1">
      <c r="A4899" s="13"/>
      <c r="B4899" s="13"/>
      <c r="C4899" s="13"/>
      <c r="D4899" s="13"/>
      <c r="E4899" s="13"/>
      <c r="F4899" s="13"/>
      <c r="G4899" s="13"/>
      <c r="H4899" s="13"/>
      <c r="I4899" s="13"/>
      <c r="J4899" s="13"/>
      <c r="K4899" s="13"/>
      <c r="L4899" s="13"/>
      <c r="M4899" s="13"/>
      <c r="N4899" s="13"/>
    </row>
    <row r="4900" ht="15.75" hidden="1" customHeight="1">
      <c r="A4900" s="13"/>
      <c r="B4900" s="13"/>
      <c r="C4900" s="13"/>
      <c r="D4900" s="13"/>
      <c r="E4900" s="13"/>
      <c r="F4900" s="13"/>
      <c r="G4900" s="13"/>
      <c r="H4900" s="13"/>
      <c r="I4900" s="13"/>
      <c r="J4900" s="13"/>
      <c r="K4900" s="13"/>
      <c r="L4900" s="13"/>
      <c r="M4900" s="13"/>
      <c r="N4900" s="13"/>
    </row>
    <row r="4901" ht="15.75" hidden="1" customHeight="1">
      <c r="A4901" s="13"/>
      <c r="B4901" s="13"/>
      <c r="C4901" s="13"/>
      <c r="D4901" s="13"/>
      <c r="E4901" s="13"/>
      <c r="F4901" s="13"/>
      <c r="G4901" s="13"/>
      <c r="H4901" s="13"/>
      <c r="I4901" s="13"/>
      <c r="J4901" s="13"/>
      <c r="K4901" s="13"/>
      <c r="L4901" s="13"/>
      <c r="M4901" s="13"/>
      <c r="N4901" s="13"/>
    </row>
    <row r="4902" ht="15.75" hidden="1" customHeight="1">
      <c r="A4902" s="13"/>
      <c r="B4902" s="13"/>
      <c r="C4902" s="13"/>
      <c r="D4902" s="13"/>
      <c r="E4902" s="13"/>
      <c r="F4902" s="13"/>
      <c r="G4902" s="13"/>
      <c r="H4902" s="13"/>
      <c r="I4902" s="13"/>
      <c r="J4902" s="13"/>
      <c r="K4902" s="13"/>
      <c r="L4902" s="13"/>
      <c r="M4902" s="13"/>
      <c r="N4902" s="13"/>
    </row>
    <row r="4903" ht="15.75" hidden="1" customHeight="1">
      <c r="A4903" s="13"/>
      <c r="B4903" s="13"/>
      <c r="C4903" s="13"/>
      <c r="D4903" s="13"/>
      <c r="E4903" s="13"/>
      <c r="F4903" s="13"/>
      <c r="G4903" s="13"/>
      <c r="H4903" s="13"/>
      <c r="I4903" s="13"/>
      <c r="J4903" s="13"/>
      <c r="K4903" s="13"/>
      <c r="L4903" s="13"/>
      <c r="M4903" s="13"/>
      <c r="N4903" s="13"/>
    </row>
    <row r="4904" ht="15.75" hidden="1" customHeight="1">
      <c r="A4904" s="13"/>
      <c r="B4904" s="13"/>
      <c r="C4904" s="13"/>
      <c r="D4904" s="13"/>
      <c r="E4904" s="13"/>
      <c r="F4904" s="13"/>
      <c r="G4904" s="13"/>
      <c r="H4904" s="13"/>
      <c r="I4904" s="13"/>
      <c r="J4904" s="13"/>
      <c r="K4904" s="13"/>
      <c r="L4904" s="13"/>
      <c r="M4904" s="13"/>
      <c r="N4904" s="13"/>
    </row>
    <row r="4905" ht="15.75" hidden="1" customHeight="1">
      <c r="A4905" s="13"/>
      <c r="B4905" s="13"/>
      <c r="C4905" s="13"/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</row>
    <row r="4906" ht="15.75" hidden="1" customHeight="1">
      <c r="A4906" s="13"/>
      <c r="B4906" s="13"/>
      <c r="C4906" s="13"/>
      <c r="D4906" s="13"/>
      <c r="E4906" s="13"/>
      <c r="F4906" s="13"/>
      <c r="G4906" s="13"/>
      <c r="H4906" s="13"/>
      <c r="I4906" s="13"/>
      <c r="J4906" s="13"/>
      <c r="K4906" s="13"/>
      <c r="L4906" s="13"/>
      <c r="M4906" s="13"/>
      <c r="N4906" s="13"/>
    </row>
    <row r="4907" ht="15.75" hidden="1" customHeight="1">
      <c r="A4907" s="13"/>
      <c r="B4907" s="13"/>
      <c r="C4907" s="13"/>
      <c r="D4907" s="13"/>
      <c r="E4907" s="13"/>
      <c r="F4907" s="13"/>
      <c r="G4907" s="13"/>
      <c r="H4907" s="13"/>
      <c r="I4907" s="13"/>
      <c r="J4907" s="13"/>
      <c r="K4907" s="13"/>
      <c r="L4907" s="13"/>
      <c r="M4907" s="13"/>
      <c r="N4907" s="13"/>
    </row>
    <row r="4908" ht="15.75" hidden="1" customHeight="1">
      <c r="A4908" s="13"/>
      <c r="B4908" s="13"/>
      <c r="C4908" s="13"/>
      <c r="D4908" s="13"/>
      <c r="E4908" s="13"/>
      <c r="F4908" s="13"/>
      <c r="G4908" s="13"/>
      <c r="H4908" s="13"/>
      <c r="I4908" s="13"/>
      <c r="J4908" s="13"/>
      <c r="K4908" s="13"/>
      <c r="L4908" s="13"/>
      <c r="M4908" s="13"/>
      <c r="N4908" s="13"/>
    </row>
    <row r="4909" ht="15.75" hidden="1" customHeight="1">
      <c r="A4909" s="13"/>
      <c r="B4909" s="13"/>
      <c r="C4909" s="13"/>
      <c r="D4909" s="13"/>
      <c r="E4909" s="13"/>
      <c r="F4909" s="13"/>
      <c r="G4909" s="13"/>
      <c r="H4909" s="13"/>
      <c r="I4909" s="13"/>
      <c r="J4909" s="13"/>
      <c r="K4909" s="13"/>
      <c r="L4909" s="13"/>
      <c r="M4909" s="13"/>
      <c r="N4909" s="13"/>
    </row>
    <row r="4910" ht="15.75" hidden="1" customHeight="1">
      <c r="A4910" s="13"/>
      <c r="B4910" s="13"/>
      <c r="C4910" s="13"/>
      <c r="D4910" s="13"/>
      <c r="E4910" s="13"/>
      <c r="F4910" s="13"/>
      <c r="G4910" s="13"/>
      <c r="H4910" s="13"/>
      <c r="I4910" s="13"/>
      <c r="J4910" s="13"/>
      <c r="K4910" s="13"/>
      <c r="L4910" s="13"/>
      <c r="M4910" s="13"/>
      <c r="N4910" s="13"/>
    </row>
    <row r="4911" ht="15.75" hidden="1" customHeight="1">
      <c r="A4911" s="13"/>
      <c r="B4911" s="13"/>
      <c r="C4911" s="13"/>
      <c r="D4911" s="13"/>
      <c r="E4911" s="13"/>
      <c r="F4911" s="13"/>
      <c r="G4911" s="13"/>
      <c r="H4911" s="13"/>
      <c r="I4911" s="13"/>
      <c r="J4911" s="13"/>
      <c r="K4911" s="13"/>
      <c r="L4911" s="13"/>
      <c r="M4911" s="13"/>
      <c r="N4911" s="13"/>
    </row>
    <row r="4912" ht="15.75" hidden="1" customHeight="1">
      <c r="A4912" s="13"/>
      <c r="B4912" s="13"/>
      <c r="C4912" s="13"/>
      <c r="D4912" s="13"/>
      <c r="E4912" s="13"/>
      <c r="F4912" s="13"/>
      <c r="G4912" s="13"/>
      <c r="H4912" s="13"/>
      <c r="I4912" s="13"/>
      <c r="J4912" s="13"/>
      <c r="K4912" s="13"/>
      <c r="L4912" s="13"/>
      <c r="M4912" s="13"/>
      <c r="N4912" s="13"/>
    </row>
    <row r="4913" ht="15.75" hidden="1" customHeight="1">
      <c r="A4913" s="13"/>
      <c r="B4913" s="13"/>
      <c r="C4913" s="13"/>
      <c r="D4913" s="13"/>
      <c r="E4913" s="13"/>
      <c r="F4913" s="13"/>
      <c r="G4913" s="13"/>
      <c r="H4913" s="13"/>
      <c r="I4913" s="13"/>
      <c r="J4913" s="13"/>
      <c r="K4913" s="13"/>
      <c r="L4913" s="13"/>
      <c r="M4913" s="13"/>
      <c r="N4913" s="13"/>
    </row>
    <row r="4914" ht="15.75" hidden="1" customHeight="1">
      <c r="A4914" s="13"/>
      <c r="B4914" s="13"/>
      <c r="C4914" s="13"/>
      <c r="D4914" s="13"/>
      <c r="E4914" s="13"/>
      <c r="F4914" s="13"/>
      <c r="G4914" s="13"/>
      <c r="H4914" s="13"/>
      <c r="I4914" s="13"/>
      <c r="J4914" s="13"/>
      <c r="K4914" s="13"/>
      <c r="L4914" s="13"/>
      <c r="M4914" s="13"/>
      <c r="N4914" s="13"/>
    </row>
    <row r="4915" ht="15.75" hidden="1" customHeight="1">
      <c r="A4915" s="13"/>
      <c r="B4915" s="13"/>
      <c r="C4915" s="13"/>
      <c r="D4915" s="13"/>
      <c r="E4915" s="13"/>
      <c r="F4915" s="13"/>
      <c r="G4915" s="13"/>
      <c r="H4915" s="13"/>
      <c r="I4915" s="13"/>
      <c r="J4915" s="13"/>
      <c r="K4915" s="13"/>
      <c r="L4915" s="13"/>
      <c r="M4915" s="13"/>
      <c r="N4915" s="13"/>
    </row>
    <row r="4916" ht="15.75" hidden="1" customHeight="1">
      <c r="A4916" s="13"/>
      <c r="B4916" s="13"/>
      <c r="C4916" s="13"/>
      <c r="D4916" s="13"/>
      <c r="E4916" s="13"/>
      <c r="F4916" s="13"/>
      <c r="G4916" s="13"/>
      <c r="H4916" s="13"/>
      <c r="I4916" s="13"/>
      <c r="J4916" s="13"/>
      <c r="K4916" s="13"/>
      <c r="L4916" s="13"/>
      <c r="M4916" s="13"/>
      <c r="N4916" s="13"/>
    </row>
    <row r="4917" ht="15.75" hidden="1" customHeight="1">
      <c r="A4917" s="13"/>
      <c r="B4917" s="13"/>
      <c r="C4917" s="13"/>
      <c r="D4917" s="13"/>
      <c r="E4917" s="13"/>
      <c r="F4917" s="13"/>
      <c r="G4917" s="13"/>
      <c r="H4917" s="13"/>
      <c r="I4917" s="13"/>
      <c r="J4917" s="13"/>
      <c r="K4917" s="13"/>
      <c r="L4917" s="13"/>
      <c r="M4917" s="13"/>
      <c r="N4917" s="13"/>
    </row>
    <row r="4918" ht="15.75" hidden="1" customHeight="1">
      <c r="A4918" s="13"/>
      <c r="B4918" s="13"/>
      <c r="C4918" s="13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</row>
    <row r="4919" ht="15.75" hidden="1" customHeight="1">
      <c r="A4919" s="13"/>
      <c r="B4919" s="13"/>
      <c r="C4919" s="13"/>
      <c r="D4919" s="13"/>
      <c r="E4919" s="13"/>
      <c r="F4919" s="13"/>
      <c r="G4919" s="13"/>
      <c r="H4919" s="13"/>
      <c r="I4919" s="13"/>
      <c r="J4919" s="13"/>
      <c r="K4919" s="13"/>
      <c r="L4919" s="13"/>
      <c r="M4919" s="13"/>
      <c r="N4919" s="13"/>
    </row>
    <row r="4920" ht="15.75" hidden="1" customHeight="1">
      <c r="A4920" s="13"/>
      <c r="B4920" s="13"/>
      <c r="C4920" s="13"/>
      <c r="D4920" s="13"/>
      <c r="E4920" s="13"/>
      <c r="F4920" s="13"/>
      <c r="G4920" s="13"/>
      <c r="H4920" s="13"/>
      <c r="I4920" s="13"/>
      <c r="J4920" s="13"/>
      <c r="K4920" s="13"/>
      <c r="L4920" s="13"/>
      <c r="M4920" s="13"/>
      <c r="N4920" s="13"/>
    </row>
    <row r="4921" ht="15.75" hidden="1" customHeight="1">
      <c r="A4921" s="13"/>
      <c r="B4921" s="13"/>
      <c r="C4921" s="13"/>
      <c r="D4921" s="13"/>
      <c r="E4921" s="13"/>
      <c r="F4921" s="13"/>
      <c r="G4921" s="13"/>
      <c r="H4921" s="13"/>
      <c r="I4921" s="13"/>
      <c r="J4921" s="13"/>
      <c r="K4921" s="13"/>
      <c r="L4921" s="13"/>
      <c r="M4921" s="13"/>
      <c r="N4921" s="13"/>
    </row>
    <row r="4922" ht="15.75" hidden="1" customHeight="1">
      <c r="A4922" s="13"/>
      <c r="B4922" s="13"/>
      <c r="C4922" s="13"/>
      <c r="D4922" s="13"/>
      <c r="E4922" s="13"/>
      <c r="F4922" s="13"/>
      <c r="G4922" s="13"/>
      <c r="H4922" s="13"/>
      <c r="I4922" s="13"/>
      <c r="J4922" s="13"/>
      <c r="K4922" s="13"/>
      <c r="L4922" s="13"/>
      <c r="M4922" s="13"/>
      <c r="N4922" s="13"/>
    </row>
    <row r="4923" ht="15.75" hidden="1" customHeight="1">
      <c r="A4923" s="13"/>
      <c r="B4923" s="13"/>
      <c r="C4923" s="13"/>
      <c r="D4923" s="13"/>
      <c r="E4923" s="13"/>
      <c r="F4923" s="13"/>
      <c r="G4923" s="13"/>
      <c r="H4923" s="13"/>
      <c r="I4923" s="13"/>
      <c r="J4923" s="13"/>
      <c r="K4923" s="13"/>
      <c r="L4923" s="13"/>
      <c r="M4923" s="13"/>
      <c r="N4923" s="13"/>
    </row>
    <row r="4924" ht="15.75" hidden="1" customHeight="1">
      <c r="A4924" s="13"/>
      <c r="B4924" s="13"/>
      <c r="C4924" s="13"/>
      <c r="D4924" s="13"/>
      <c r="E4924" s="13"/>
      <c r="F4924" s="13"/>
      <c r="G4924" s="13"/>
      <c r="H4924" s="13"/>
      <c r="I4924" s="13"/>
      <c r="J4924" s="13"/>
      <c r="K4924" s="13"/>
      <c r="L4924" s="13"/>
      <c r="M4924" s="13"/>
      <c r="N4924" s="13"/>
    </row>
    <row r="4925" ht="15.75" hidden="1" customHeight="1">
      <c r="A4925" s="13"/>
      <c r="B4925" s="13"/>
      <c r="C4925" s="13"/>
      <c r="D4925" s="13"/>
      <c r="E4925" s="13"/>
      <c r="F4925" s="13"/>
      <c r="G4925" s="13"/>
      <c r="H4925" s="13"/>
      <c r="I4925" s="13"/>
      <c r="J4925" s="13"/>
      <c r="K4925" s="13"/>
      <c r="L4925" s="13"/>
      <c r="M4925" s="13"/>
      <c r="N4925" s="13"/>
    </row>
    <row r="4926" ht="15.75" hidden="1" customHeight="1">
      <c r="A4926" s="13"/>
      <c r="B4926" s="13"/>
      <c r="C4926" s="13"/>
      <c r="D4926" s="13"/>
      <c r="E4926" s="13"/>
      <c r="F4926" s="13"/>
      <c r="G4926" s="13"/>
      <c r="H4926" s="13"/>
      <c r="I4926" s="13"/>
      <c r="J4926" s="13"/>
      <c r="K4926" s="13"/>
      <c r="L4926" s="13"/>
      <c r="M4926" s="13"/>
      <c r="N4926" s="13"/>
    </row>
    <row r="4927" ht="15.75" hidden="1" customHeight="1">
      <c r="A4927" s="13"/>
      <c r="B4927" s="13"/>
      <c r="C4927" s="13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</row>
    <row r="4928" ht="15.75" hidden="1" customHeight="1">
      <c r="A4928" s="13"/>
      <c r="B4928" s="13"/>
      <c r="C4928" s="13"/>
      <c r="D4928" s="13"/>
      <c r="E4928" s="13"/>
      <c r="F4928" s="13"/>
      <c r="G4928" s="13"/>
      <c r="H4928" s="13"/>
      <c r="I4928" s="13"/>
      <c r="J4928" s="13"/>
      <c r="K4928" s="13"/>
      <c r="L4928" s="13"/>
      <c r="M4928" s="13"/>
      <c r="N4928" s="13"/>
    </row>
    <row r="4929" ht="15.75" hidden="1" customHeight="1">
      <c r="A4929" s="13"/>
      <c r="B4929" s="13"/>
      <c r="C4929" s="13"/>
      <c r="D4929" s="13"/>
      <c r="E4929" s="13"/>
      <c r="F4929" s="13"/>
      <c r="G4929" s="13"/>
      <c r="H4929" s="13"/>
      <c r="I4929" s="13"/>
      <c r="J4929" s="13"/>
      <c r="K4929" s="13"/>
      <c r="L4929" s="13"/>
      <c r="M4929" s="13"/>
      <c r="N4929" s="13"/>
    </row>
    <row r="4930" ht="15.75" hidden="1" customHeight="1">
      <c r="A4930" s="13"/>
      <c r="B4930" s="13"/>
      <c r="C4930" s="13"/>
      <c r="D4930" s="13"/>
      <c r="E4930" s="13"/>
      <c r="F4930" s="13"/>
      <c r="G4930" s="13"/>
      <c r="H4930" s="13"/>
      <c r="I4930" s="13"/>
      <c r="J4930" s="13"/>
      <c r="K4930" s="13"/>
      <c r="L4930" s="13"/>
      <c r="M4930" s="13"/>
      <c r="N4930" s="13"/>
    </row>
    <row r="4931" ht="15.75" hidden="1" customHeight="1">
      <c r="A4931" s="13"/>
      <c r="B4931" s="13"/>
      <c r="C4931" s="13"/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</row>
    <row r="4932" ht="15.75" hidden="1" customHeight="1">
      <c r="A4932" s="13"/>
      <c r="B4932" s="13"/>
      <c r="C4932" s="13"/>
      <c r="D4932" s="13"/>
      <c r="E4932" s="13"/>
      <c r="F4932" s="13"/>
      <c r="G4932" s="13"/>
      <c r="H4932" s="13"/>
      <c r="I4932" s="13"/>
      <c r="J4932" s="13"/>
      <c r="K4932" s="13"/>
      <c r="L4932" s="13"/>
      <c r="M4932" s="13"/>
      <c r="N4932" s="13"/>
    </row>
    <row r="4933" ht="15.75" hidden="1" customHeight="1">
      <c r="A4933" s="13"/>
      <c r="B4933" s="13"/>
      <c r="C4933" s="13"/>
      <c r="D4933" s="13"/>
      <c r="E4933" s="13"/>
      <c r="F4933" s="13"/>
      <c r="G4933" s="13"/>
      <c r="H4933" s="13"/>
      <c r="I4933" s="13"/>
      <c r="J4933" s="13"/>
      <c r="K4933" s="13"/>
      <c r="L4933" s="13"/>
      <c r="M4933" s="13"/>
      <c r="N4933" s="13"/>
    </row>
    <row r="4934" ht="15.75" hidden="1" customHeight="1">
      <c r="A4934" s="13"/>
      <c r="B4934" s="13"/>
      <c r="C4934" s="13"/>
      <c r="D4934" s="13"/>
      <c r="E4934" s="13"/>
      <c r="F4934" s="13"/>
      <c r="G4934" s="13"/>
      <c r="H4934" s="13"/>
      <c r="I4934" s="13"/>
      <c r="J4934" s="13"/>
      <c r="K4934" s="13"/>
      <c r="L4934" s="13"/>
      <c r="M4934" s="13"/>
      <c r="N4934" s="13"/>
    </row>
    <row r="4935" ht="15.75" hidden="1" customHeight="1">
      <c r="A4935" s="13"/>
      <c r="B4935" s="13"/>
      <c r="C4935" s="13"/>
      <c r="D4935" s="13"/>
      <c r="E4935" s="13"/>
      <c r="F4935" s="13"/>
      <c r="G4935" s="13"/>
      <c r="H4935" s="13"/>
      <c r="I4935" s="13"/>
      <c r="J4935" s="13"/>
      <c r="K4935" s="13"/>
      <c r="L4935" s="13"/>
      <c r="M4935" s="13"/>
      <c r="N4935" s="13"/>
    </row>
    <row r="4936" ht="15.75" hidden="1" customHeight="1">
      <c r="A4936" s="13"/>
      <c r="B4936" s="13"/>
      <c r="C4936" s="13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</row>
    <row r="4937" ht="15.75" hidden="1" customHeight="1">
      <c r="A4937" s="13"/>
      <c r="B4937" s="13"/>
      <c r="C4937" s="13"/>
      <c r="D4937" s="13"/>
      <c r="E4937" s="13"/>
      <c r="F4937" s="13"/>
      <c r="G4937" s="13"/>
      <c r="H4937" s="13"/>
      <c r="I4937" s="13"/>
      <c r="J4937" s="13"/>
      <c r="K4937" s="13"/>
      <c r="L4937" s="13"/>
      <c r="M4937" s="13"/>
      <c r="N4937" s="13"/>
    </row>
    <row r="4938" ht="15.75" hidden="1" customHeight="1">
      <c r="A4938" s="13"/>
      <c r="B4938" s="13"/>
      <c r="C4938" s="13"/>
      <c r="D4938" s="13"/>
      <c r="E4938" s="13"/>
      <c r="F4938" s="13"/>
      <c r="G4938" s="13"/>
      <c r="H4938" s="13"/>
      <c r="I4938" s="13"/>
      <c r="J4938" s="13"/>
      <c r="K4938" s="13"/>
      <c r="L4938" s="13"/>
      <c r="M4938" s="13"/>
      <c r="N4938" s="13"/>
    </row>
    <row r="4939" ht="15.75" hidden="1" customHeight="1">
      <c r="A4939" s="13"/>
      <c r="B4939" s="13"/>
      <c r="C4939" s="13"/>
      <c r="D4939" s="13"/>
      <c r="E4939" s="13"/>
      <c r="F4939" s="13"/>
      <c r="G4939" s="13"/>
      <c r="H4939" s="13"/>
      <c r="I4939" s="13"/>
      <c r="J4939" s="13"/>
      <c r="K4939" s="13"/>
      <c r="L4939" s="13"/>
      <c r="M4939" s="13"/>
      <c r="N4939" s="13"/>
    </row>
    <row r="4940" ht="15.75" hidden="1" customHeight="1">
      <c r="A4940" s="13"/>
      <c r="B4940" s="13"/>
      <c r="C4940" s="13"/>
      <c r="D4940" s="13"/>
      <c r="E4940" s="13"/>
      <c r="F4940" s="13"/>
      <c r="G4940" s="13"/>
      <c r="H4940" s="13"/>
      <c r="I4940" s="13"/>
      <c r="J4940" s="13"/>
      <c r="K4940" s="13"/>
      <c r="L4940" s="13"/>
      <c r="M4940" s="13"/>
      <c r="N4940" s="13"/>
    </row>
    <row r="4941" ht="15.75" hidden="1" customHeight="1">
      <c r="A4941" s="13"/>
      <c r="B4941" s="13"/>
      <c r="C4941" s="13"/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</row>
    <row r="4942" ht="15.75" hidden="1" customHeight="1">
      <c r="A4942" s="13"/>
      <c r="B4942" s="13"/>
      <c r="C4942" s="13"/>
      <c r="D4942" s="13"/>
      <c r="E4942" s="13"/>
      <c r="F4942" s="13"/>
      <c r="G4942" s="13"/>
      <c r="H4942" s="13"/>
      <c r="I4942" s="13"/>
      <c r="J4942" s="13"/>
      <c r="K4942" s="13"/>
      <c r="L4942" s="13"/>
      <c r="M4942" s="13"/>
      <c r="N4942" s="13"/>
    </row>
    <row r="4943" ht="15.75" hidden="1" customHeight="1">
      <c r="A4943" s="13"/>
      <c r="B4943" s="13"/>
      <c r="C4943" s="13"/>
      <c r="D4943" s="13"/>
      <c r="E4943" s="13"/>
      <c r="F4943" s="13"/>
      <c r="G4943" s="13"/>
      <c r="H4943" s="13"/>
      <c r="I4943" s="13"/>
      <c r="J4943" s="13"/>
      <c r="K4943" s="13"/>
      <c r="L4943" s="13"/>
      <c r="M4943" s="13"/>
      <c r="N4943" s="13"/>
    </row>
    <row r="4944" ht="15.75" hidden="1" customHeight="1">
      <c r="A4944" s="13"/>
      <c r="B4944" s="13"/>
      <c r="C4944" s="13"/>
      <c r="D4944" s="13"/>
      <c r="E4944" s="13"/>
      <c r="F4944" s="13"/>
      <c r="G4944" s="13"/>
      <c r="H4944" s="13"/>
      <c r="I4944" s="13"/>
      <c r="J4944" s="13"/>
      <c r="K4944" s="13"/>
      <c r="L4944" s="13"/>
      <c r="M4944" s="13"/>
      <c r="N4944" s="13"/>
    </row>
    <row r="4945" ht="15.75" hidden="1" customHeight="1">
      <c r="A4945" s="13"/>
      <c r="B4945" s="13"/>
      <c r="C4945" s="13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</row>
    <row r="4946" ht="15.75" hidden="1" customHeight="1">
      <c r="A4946" s="13"/>
      <c r="B4946" s="13"/>
      <c r="C4946" s="13"/>
      <c r="D4946" s="13"/>
      <c r="E4946" s="13"/>
      <c r="F4946" s="13"/>
      <c r="G4946" s="13"/>
      <c r="H4946" s="13"/>
      <c r="I4946" s="13"/>
      <c r="J4946" s="13"/>
      <c r="K4946" s="13"/>
      <c r="L4946" s="13"/>
      <c r="M4946" s="13"/>
      <c r="N4946" s="13"/>
    </row>
    <row r="4947" ht="15.75" hidden="1" customHeight="1">
      <c r="A4947" s="13"/>
      <c r="B4947" s="13"/>
      <c r="C4947" s="13"/>
      <c r="D4947" s="13"/>
      <c r="E4947" s="13"/>
      <c r="F4947" s="13"/>
      <c r="G4947" s="13"/>
      <c r="H4947" s="13"/>
      <c r="I4947" s="13"/>
      <c r="J4947" s="13"/>
      <c r="K4947" s="13"/>
      <c r="L4947" s="13"/>
      <c r="M4947" s="13"/>
      <c r="N4947" s="13"/>
    </row>
    <row r="4948" ht="15.75" hidden="1" customHeight="1">
      <c r="A4948" s="13"/>
      <c r="B4948" s="13"/>
      <c r="C4948" s="13"/>
      <c r="D4948" s="13"/>
      <c r="E4948" s="13"/>
      <c r="F4948" s="13"/>
      <c r="G4948" s="13"/>
      <c r="H4948" s="13"/>
      <c r="I4948" s="13"/>
      <c r="J4948" s="13"/>
      <c r="K4948" s="13"/>
      <c r="L4948" s="13"/>
      <c r="M4948" s="13"/>
      <c r="N4948" s="13"/>
    </row>
    <row r="4949" ht="15.75" hidden="1" customHeight="1">
      <c r="A4949" s="13"/>
      <c r="B4949" s="13"/>
      <c r="C4949" s="13"/>
      <c r="D4949" s="13"/>
      <c r="E4949" s="13"/>
      <c r="F4949" s="13"/>
      <c r="G4949" s="13"/>
      <c r="H4949" s="13"/>
      <c r="I4949" s="13"/>
      <c r="J4949" s="13"/>
      <c r="K4949" s="13"/>
      <c r="L4949" s="13"/>
      <c r="M4949" s="13"/>
      <c r="N4949" s="13"/>
    </row>
    <row r="4950" ht="15.75" hidden="1" customHeight="1">
      <c r="A4950" s="13"/>
      <c r="B4950" s="13"/>
      <c r="C4950" s="13"/>
      <c r="D4950" s="13"/>
      <c r="E4950" s="13"/>
      <c r="F4950" s="13"/>
      <c r="G4950" s="13"/>
      <c r="H4950" s="13"/>
      <c r="I4950" s="13"/>
      <c r="J4950" s="13"/>
      <c r="K4950" s="13"/>
      <c r="L4950" s="13"/>
      <c r="M4950" s="13"/>
      <c r="N4950" s="13"/>
    </row>
    <row r="4951" ht="15.75" hidden="1" customHeight="1">
      <c r="A4951" s="13"/>
      <c r="B4951" s="13"/>
      <c r="C4951" s="13"/>
      <c r="D4951" s="13"/>
      <c r="E4951" s="13"/>
      <c r="F4951" s="13"/>
      <c r="G4951" s="13"/>
      <c r="H4951" s="13"/>
      <c r="I4951" s="13"/>
      <c r="J4951" s="13"/>
      <c r="K4951" s="13"/>
      <c r="L4951" s="13"/>
      <c r="M4951" s="13"/>
      <c r="N4951" s="13"/>
    </row>
    <row r="4952" ht="15.75" hidden="1" customHeight="1">
      <c r="A4952" s="13"/>
      <c r="B4952" s="13"/>
      <c r="C4952" s="13"/>
      <c r="D4952" s="13"/>
      <c r="E4952" s="13"/>
      <c r="F4952" s="13"/>
      <c r="G4952" s="13"/>
      <c r="H4952" s="13"/>
      <c r="I4952" s="13"/>
      <c r="J4952" s="13"/>
      <c r="K4952" s="13"/>
      <c r="L4952" s="13"/>
      <c r="M4952" s="13"/>
      <c r="N4952" s="13"/>
    </row>
    <row r="4953" ht="15.75" hidden="1" customHeight="1">
      <c r="A4953" s="13"/>
      <c r="B4953" s="13"/>
      <c r="C4953" s="13"/>
      <c r="D4953" s="13"/>
      <c r="E4953" s="13"/>
      <c r="F4953" s="13"/>
      <c r="G4953" s="13"/>
      <c r="H4953" s="13"/>
      <c r="I4953" s="13"/>
      <c r="J4953" s="13"/>
      <c r="K4953" s="13"/>
      <c r="L4953" s="13"/>
      <c r="M4953" s="13"/>
      <c r="N4953" s="13"/>
    </row>
    <row r="4954" ht="15.75" hidden="1" customHeight="1">
      <c r="A4954" s="13"/>
      <c r="B4954" s="13"/>
      <c r="C4954" s="13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</row>
    <row r="4955" ht="15.75" hidden="1" customHeight="1">
      <c r="A4955" s="13"/>
      <c r="B4955" s="13"/>
      <c r="C4955" s="13"/>
      <c r="D4955" s="13"/>
      <c r="E4955" s="13"/>
      <c r="F4955" s="13"/>
      <c r="G4955" s="13"/>
      <c r="H4955" s="13"/>
      <c r="I4955" s="13"/>
      <c r="J4955" s="13"/>
      <c r="K4955" s="13"/>
      <c r="L4955" s="13"/>
      <c r="M4955" s="13"/>
      <c r="N4955" s="13"/>
    </row>
    <row r="4956" ht="15.75" hidden="1" customHeight="1">
      <c r="A4956" s="13"/>
      <c r="B4956" s="13"/>
      <c r="C4956" s="13"/>
      <c r="D4956" s="13"/>
      <c r="E4956" s="13"/>
      <c r="F4956" s="13"/>
      <c r="G4956" s="13"/>
      <c r="H4956" s="13"/>
      <c r="I4956" s="13"/>
      <c r="J4956" s="13"/>
      <c r="K4956" s="13"/>
      <c r="L4956" s="13"/>
      <c r="M4956" s="13"/>
      <c r="N4956" s="13"/>
    </row>
    <row r="4957" ht="15.75" hidden="1" customHeight="1">
      <c r="A4957" s="13"/>
      <c r="B4957" s="13"/>
      <c r="C4957" s="13"/>
      <c r="D4957" s="13"/>
      <c r="E4957" s="13"/>
      <c r="F4957" s="13"/>
      <c r="G4957" s="13"/>
      <c r="H4957" s="13"/>
      <c r="I4957" s="13"/>
      <c r="J4957" s="13"/>
      <c r="K4957" s="13"/>
      <c r="L4957" s="13"/>
      <c r="M4957" s="13"/>
      <c r="N4957" s="13"/>
    </row>
    <row r="4958" ht="15.75" hidden="1" customHeight="1">
      <c r="A4958" s="13"/>
      <c r="B4958" s="13"/>
      <c r="C4958" s="13"/>
      <c r="D4958" s="13"/>
      <c r="E4958" s="13"/>
      <c r="F4958" s="13"/>
      <c r="G4958" s="13"/>
      <c r="H4958" s="13"/>
      <c r="I4958" s="13"/>
      <c r="J4958" s="13"/>
      <c r="K4958" s="13"/>
      <c r="L4958" s="13"/>
      <c r="M4958" s="13"/>
      <c r="N4958" s="13"/>
    </row>
    <row r="4959" ht="15.75" hidden="1" customHeight="1">
      <c r="A4959" s="13"/>
      <c r="B4959" s="13"/>
      <c r="C4959" s="13"/>
      <c r="D4959" s="13"/>
      <c r="E4959" s="13"/>
      <c r="F4959" s="13"/>
      <c r="G4959" s="13"/>
      <c r="H4959" s="13"/>
      <c r="I4959" s="13"/>
      <c r="J4959" s="13"/>
      <c r="K4959" s="13"/>
      <c r="L4959" s="13"/>
      <c r="M4959" s="13"/>
      <c r="N4959" s="13"/>
    </row>
    <row r="4960" ht="15.75" hidden="1" customHeight="1">
      <c r="A4960" s="13"/>
      <c r="B4960" s="13"/>
      <c r="C4960" s="13"/>
      <c r="D4960" s="13"/>
      <c r="E4960" s="13"/>
      <c r="F4960" s="13"/>
      <c r="G4960" s="13"/>
      <c r="H4960" s="13"/>
      <c r="I4960" s="13"/>
      <c r="J4960" s="13"/>
      <c r="K4960" s="13"/>
      <c r="L4960" s="13"/>
      <c r="M4960" s="13"/>
      <c r="N4960" s="13"/>
    </row>
    <row r="4961" ht="15.75" hidden="1" customHeight="1">
      <c r="A4961" s="13"/>
      <c r="B4961" s="13"/>
      <c r="C4961" s="13"/>
      <c r="D4961" s="13"/>
      <c r="E4961" s="13"/>
      <c r="F4961" s="13"/>
      <c r="G4961" s="13"/>
      <c r="H4961" s="13"/>
      <c r="I4961" s="13"/>
      <c r="J4961" s="13"/>
      <c r="K4961" s="13"/>
      <c r="L4961" s="13"/>
      <c r="M4961" s="13"/>
      <c r="N4961" s="13"/>
    </row>
    <row r="4962" ht="15.75" hidden="1" customHeight="1">
      <c r="A4962" s="13"/>
      <c r="B4962" s="13"/>
      <c r="C4962" s="13"/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</row>
    <row r="4963" ht="15.75" hidden="1" customHeight="1">
      <c r="A4963" s="13"/>
      <c r="B4963" s="13"/>
      <c r="C4963" s="13"/>
      <c r="D4963" s="13"/>
      <c r="E4963" s="13"/>
      <c r="F4963" s="13"/>
      <c r="G4963" s="13"/>
      <c r="H4963" s="13"/>
      <c r="I4963" s="13"/>
      <c r="J4963" s="13"/>
      <c r="K4963" s="13"/>
      <c r="L4963" s="13"/>
      <c r="M4963" s="13"/>
      <c r="N4963" s="13"/>
    </row>
    <row r="4964" ht="15.75" hidden="1" customHeight="1">
      <c r="A4964" s="13"/>
      <c r="B4964" s="13"/>
      <c r="C4964" s="13"/>
      <c r="D4964" s="13"/>
      <c r="E4964" s="13"/>
      <c r="F4964" s="13"/>
      <c r="G4964" s="13"/>
      <c r="H4964" s="13"/>
      <c r="I4964" s="13"/>
      <c r="J4964" s="13"/>
      <c r="K4964" s="13"/>
      <c r="L4964" s="13"/>
      <c r="M4964" s="13"/>
      <c r="N4964" s="13"/>
    </row>
    <row r="4965" ht="15.75" hidden="1" customHeight="1">
      <c r="A4965" s="13"/>
      <c r="B4965" s="13"/>
      <c r="C4965" s="13"/>
      <c r="D4965" s="13"/>
      <c r="E4965" s="13"/>
      <c r="F4965" s="13"/>
      <c r="G4965" s="13"/>
      <c r="H4965" s="13"/>
      <c r="I4965" s="13"/>
      <c r="J4965" s="13"/>
      <c r="K4965" s="13"/>
      <c r="L4965" s="13"/>
      <c r="M4965" s="13"/>
      <c r="N4965" s="13"/>
    </row>
    <row r="4966" ht="15.75" hidden="1" customHeight="1">
      <c r="A4966" s="13"/>
      <c r="B4966" s="13"/>
      <c r="C4966" s="13"/>
      <c r="D4966" s="13"/>
      <c r="E4966" s="13"/>
      <c r="F4966" s="13"/>
      <c r="G4966" s="13"/>
      <c r="H4966" s="13"/>
      <c r="I4966" s="13"/>
      <c r="J4966" s="13"/>
      <c r="K4966" s="13"/>
      <c r="L4966" s="13"/>
      <c r="M4966" s="13"/>
      <c r="N4966" s="13"/>
    </row>
    <row r="4967" ht="15.75" hidden="1" customHeight="1">
      <c r="A4967" s="13"/>
      <c r="B4967" s="13"/>
      <c r="C4967" s="13"/>
      <c r="D4967" s="13"/>
      <c r="E4967" s="13"/>
      <c r="F4967" s="13"/>
      <c r="G4967" s="13"/>
      <c r="H4967" s="13"/>
      <c r="I4967" s="13"/>
      <c r="J4967" s="13"/>
      <c r="K4967" s="13"/>
      <c r="L4967" s="13"/>
      <c r="M4967" s="13"/>
      <c r="N4967" s="13"/>
    </row>
    <row r="4968" ht="15.75" hidden="1" customHeight="1">
      <c r="A4968" s="13"/>
      <c r="B4968" s="13"/>
      <c r="C4968" s="13"/>
      <c r="D4968" s="13"/>
      <c r="E4968" s="13"/>
      <c r="F4968" s="13"/>
      <c r="G4968" s="13"/>
      <c r="H4968" s="13"/>
      <c r="I4968" s="13"/>
      <c r="J4968" s="13"/>
      <c r="K4968" s="13"/>
      <c r="L4968" s="13"/>
      <c r="M4968" s="13"/>
      <c r="N4968" s="13"/>
    </row>
    <row r="4969" ht="15.75" hidden="1" customHeight="1">
      <c r="A4969" s="13"/>
      <c r="B4969" s="13"/>
      <c r="C4969" s="13"/>
      <c r="D4969" s="13"/>
      <c r="E4969" s="13"/>
      <c r="F4969" s="13"/>
      <c r="G4969" s="13"/>
      <c r="H4969" s="13"/>
      <c r="I4969" s="13"/>
      <c r="J4969" s="13"/>
      <c r="K4969" s="13"/>
      <c r="L4969" s="13"/>
      <c r="M4969" s="13"/>
      <c r="N4969" s="13"/>
    </row>
    <row r="4970" ht="15.75" hidden="1" customHeight="1">
      <c r="A4970" s="13"/>
      <c r="B4970" s="13"/>
      <c r="C4970" s="13"/>
      <c r="D4970" s="13"/>
      <c r="E4970" s="13"/>
      <c r="F4970" s="13"/>
      <c r="G4970" s="13"/>
      <c r="H4970" s="13"/>
      <c r="I4970" s="13"/>
      <c r="J4970" s="13"/>
      <c r="K4970" s="13"/>
      <c r="L4970" s="13"/>
      <c r="M4970" s="13"/>
      <c r="N4970" s="13"/>
    </row>
    <row r="4971" ht="15.75" hidden="1" customHeight="1">
      <c r="A4971" s="13"/>
      <c r="B4971" s="13"/>
      <c r="C4971" s="13"/>
      <c r="D4971" s="13"/>
      <c r="E4971" s="13"/>
      <c r="F4971" s="13"/>
      <c r="G4971" s="13"/>
      <c r="H4971" s="13"/>
      <c r="I4971" s="13"/>
      <c r="J4971" s="13"/>
      <c r="K4971" s="13"/>
      <c r="L4971" s="13"/>
      <c r="M4971" s="13"/>
      <c r="N4971" s="13"/>
    </row>
    <row r="4972" ht="15.75" hidden="1" customHeight="1">
      <c r="A4972" s="13"/>
      <c r="B4972" s="13"/>
      <c r="C4972" s="13"/>
      <c r="D4972" s="13"/>
      <c r="E4972" s="13"/>
      <c r="F4972" s="13"/>
      <c r="G4972" s="13"/>
      <c r="H4972" s="13"/>
      <c r="I4972" s="13"/>
      <c r="J4972" s="13"/>
      <c r="K4972" s="13"/>
      <c r="L4972" s="13"/>
      <c r="M4972" s="13"/>
      <c r="N4972" s="13"/>
    </row>
    <row r="4973" ht="15.75" hidden="1" customHeight="1">
      <c r="A4973" s="13"/>
      <c r="B4973" s="13"/>
      <c r="C4973" s="13"/>
      <c r="D4973" s="13"/>
      <c r="E4973" s="13"/>
      <c r="F4973" s="13"/>
      <c r="G4973" s="13"/>
      <c r="H4973" s="13"/>
      <c r="I4973" s="13"/>
      <c r="J4973" s="13"/>
      <c r="K4973" s="13"/>
      <c r="L4973" s="13"/>
      <c r="M4973" s="13"/>
      <c r="N4973" s="13"/>
    </row>
    <row r="4974" ht="15.75" hidden="1" customHeight="1">
      <c r="A4974" s="13"/>
      <c r="B4974" s="13"/>
      <c r="C4974" s="13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</row>
    <row r="4975" ht="15.75" hidden="1" customHeight="1">
      <c r="A4975" s="13"/>
      <c r="B4975" s="13"/>
      <c r="C4975" s="13"/>
      <c r="D4975" s="13"/>
      <c r="E4975" s="13"/>
      <c r="F4975" s="13"/>
      <c r="G4975" s="13"/>
      <c r="H4975" s="13"/>
      <c r="I4975" s="13"/>
      <c r="J4975" s="13"/>
      <c r="K4975" s="13"/>
      <c r="L4975" s="13"/>
      <c r="M4975" s="13"/>
      <c r="N4975" s="13"/>
    </row>
    <row r="4976" ht="15.75" hidden="1" customHeight="1">
      <c r="A4976" s="13"/>
      <c r="B4976" s="13"/>
      <c r="C4976" s="13"/>
      <c r="D4976" s="13"/>
      <c r="E4976" s="13"/>
      <c r="F4976" s="13"/>
      <c r="G4976" s="13"/>
      <c r="H4976" s="13"/>
      <c r="I4976" s="13"/>
      <c r="J4976" s="13"/>
      <c r="K4976" s="13"/>
      <c r="L4976" s="13"/>
      <c r="M4976" s="13"/>
      <c r="N4976" s="13"/>
    </row>
    <row r="4977" ht="15.75" hidden="1" customHeight="1">
      <c r="A4977" s="13"/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</row>
    <row r="4978" ht="15.75" hidden="1" customHeight="1">
      <c r="A4978" s="13"/>
      <c r="B4978" s="13"/>
      <c r="C4978" s="13"/>
      <c r="D4978" s="13"/>
      <c r="E4978" s="13"/>
      <c r="F4978" s="13"/>
      <c r="G4978" s="13"/>
      <c r="H4978" s="13"/>
      <c r="I4978" s="13"/>
      <c r="J4978" s="13"/>
      <c r="K4978" s="13"/>
      <c r="L4978" s="13"/>
      <c r="M4978" s="13"/>
      <c r="N4978" s="13"/>
    </row>
    <row r="4979" ht="15.75" hidden="1" customHeight="1">
      <c r="A4979" s="13"/>
      <c r="B4979" s="13"/>
      <c r="C4979" s="13"/>
      <c r="D4979" s="13"/>
      <c r="E4979" s="13"/>
      <c r="F4979" s="13"/>
      <c r="G4979" s="13"/>
      <c r="H4979" s="13"/>
      <c r="I4979" s="13"/>
      <c r="J4979" s="13"/>
      <c r="K4979" s="13"/>
      <c r="L4979" s="13"/>
      <c r="M4979" s="13"/>
      <c r="N4979" s="13"/>
    </row>
    <row r="4980" ht="15.75" hidden="1" customHeight="1">
      <c r="A4980" s="13"/>
      <c r="B4980" s="13"/>
      <c r="C4980" s="13"/>
      <c r="D4980" s="13"/>
      <c r="E4980" s="13"/>
      <c r="F4980" s="13"/>
      <c r="G4980" s="13"/>
      <c r="H4980" s="13"/>
      <c r="I4980" s="13"/>
      <c r="J4980" s="13"/>
      <c r="K4980" s="13"/>
      <c r="L4980" s="13"/>
      <c r="M4980" s="13"/>
      <c r="N4980" s="13"/>
    </row>
    <row r="4981" ht="15.75" hidden="1" customHeight="1">
      <c r="A4981" s="13"/>
      <c r="B4981" s="13"/>
      <c r="C4981" s="13"/>
      <c r="D4981" s="13"/>
      <c r="E4981" s="13"/>
      <c r="F4981" s="13"/>
      <c r="G4981" s="13"/>
      <c r="H4981" s="13"/>
      <c r="I4981" s="13"/>
      <c r="J4981" s="13"/>
      <c r="K4981" s="13"/>
      <c r="L4981" s="13"/>
      <c r="M4981" s="13"/>
      <c r="N4981" s="13"/>
    </row>
    <row r="4982" ht="15.75" hidden="1" customHeight="1">
      <c r="A4982" s="13"/>
      <c r="B4982" s="13"/>
      <c r="C4982" s="13"/>
      <c r="D4982" s="13"/>
      <c r="E4982" s="13"/>
      <c r="F4982" s="13"/>
      <c r="G4982" s="13"/>
      <c r="H4982" s="13"/>
      <c r="I4982" s="13"/>
      <c r="J4982" s="13"/>
      <c r="K4982" s="13"/>
      <c r="L4982" s="13"/>
      <c r="M4982" s="13"/>
      <c r="N4982" s="13"/>
    </row>
    <row r="4983" ht="15.75" hidden="1" customHeight="1">
      <c r="A4983" s="13"/>
      <c r="B4983" s="13"/>
      <c r="C4983" s="13"/>
      <c r="D4983" s="13"/>
      <c r="E4983" s="13"/>
      <c r="F4983" s="13"/>
      <c r="G4983" s="13"/>
      <c r="H4983" s="13"/>
      <c r="I4983" s="13"/>
      <c r="J4983" s="13"/>
      <c r="K4983" s="13"/>
      <c r="L4983" s="13"/>
      <c r="M4983" s="13"/>
      <c r="N4983" s="13"/>
    </row>
    <row r="4984" ht="15.75" hidden="1" customHeight="1">
      <c r="A4984" s="13"/>
      <c r="B4984" s="13"/>
      <c r="C4984" s="13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</row>
    <row r="4985" ht="15.75" hidden="1" customHeight="1">
      <c r="A4985" s="13"/>
      <c r="B4985" s="13"/>
      <c r="C4985" s="13"/>
      <c r="D4985" s="13"/>
      <c r="E4985" s="13"/>
      <c r="F4985" s="13"/>
      <c r="G4985" s="13"/>
      <c r="H4985" s="13"/>
      <c r="I4985" s="13"/>
      <c r="J4985" s="13"/>
      <c r="K4985" s="13"/>
      <c r="L4985" s="13"/>
      <c r="M4985" s="13"/>
      <c r="N4985" s="13"/>
    </row>
    <row r="4986" ht="15.75" hidden="1" customHeight="1">
      <c r="A4986" s="13"/>
      <c r="B4986" s="13"/>
      <c r="C4986" s="13"/>
      <c r="D4986" s="13"/>
      <c r="E4986" s="13"/>
      <c r="F4986" s="13"/>
      <c r="G4986" s="13"/>
      <c r="H4986" s="13"/>
      <c r="I4986" s="13"/>
      <c r="J4986" s="13"/>
      <c r="K4986" s="13"/>
      <c r="L4986" s="13"/>
      <c r="M4986" s="13"/>
      <c r="N4986" s="13"/>
    </row>
    <row r="4987" ht="15.75" hidden="1" customHeight="1">
      <c r="A4987" s="13"/>
      <c r="B4987" s="13"/>
      <c r="C4987" s="13"/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</row>
    <row r="4988" ht="15.75" hidden="1" customHeight="1">
      <c r="A4988" s="13"/>
      <c r="B4988" s="13"/>
      <c r="C4988" s="13"/>
      <c r="D4988" s="13"/>
      <c r="E4988" s="13"/>
      <c r="F4988" s="13"/>
      <c r="G4988" s="13"/>
      <c r="H4988" s="13"/>
      <c r="I4988" s="13"/>
      <c r="J4988" s="13"/>
      <c r="K4988" s="13"/>
      <c r="L4988" s="13"/>
      <c r="M4988" s="13"/>
      <c r="N4988" s="13"/>
    </row>
    <row r="4989" ht="15.75" hidden="1" customHeight="1">
      <c r="A4989" s="13"/>
      <c r="B4989" s="13"/>
      <c r="C4989" s="13"/>
      <c r="D4989" s="13"/>
      <c r="E4989" s="13"/>
      <c r="F4989" s="13"/>
      <c r="G4989" s="13"/>
      <c r="H4989" s="13"/>
      <c r="I4989" s="13"/>
      <c r="J4989" s="13"/>
      <c r="K4989" s="13"/>
      <c r="L4989" s="13"/>
      <c r="M4989" s="13"/>
      <c r="N4989" s="13"/>
    </row>
    <row r="4990" ht="15.75" hidden="1" customHeight="1">
      <c r="A4990" s="13"/>
      <c r="B4990" s="13"/>
      <c r="C4990" s="13"/>
      <c r="D4990" s="13"/>
      <c r="E4990" s="13"/>
      <c r="F4990" s="13"/>
      <c r="G4990" s="13"/>
      <c r="H4990" s="13"/>
      <c r="I4990" s="13"/>
      <c r="J4990" s="13"/>
      <c r="K4990" s="13"/>
      <c r="L4990" s="13"/>
      <c r="M4990" s="13"/>
      <c r="N4990" s="13"/>
    </row>
    <row r="4991" ht="15.75" hidden="1" customHeight="1">
      <c r="A4991" s="13"/>
      <c r="B4991" s="13"/>
      <c r="C4991" s="13"/>
      <c r="D4991" s="13"/>
      <c r="E4991" s="13"/>
      <c r="F4991" s="13"/>
      <c r="G4991" s="13"/>
      <c r="H4991" s="13"/>
      <c r="I4991" s="13"/>
      <c r="J4991" s="13"/>
      <c r="K4991" s="13"/>
      <c r="L4991" s="13"/>
      <c r="M4991" s="13"/>
      <c r="N4991" s="13"/>
    </row>
    <row r="4992" ht="15.75" hidden="1" customHeight="1">
      <c r="A4992" s="13"/>
      <c r="B4992" s="13"/>
      <c r="C4992" s="13"/>
      <c r="D4992" s="13"/>
      <c r="E4992" s="13"/>
      <c r="F4992" s="13"/>
      <c r="G4992" s="13"/>
      <c r="H4992" s="13"/>
      <c r="I4992" s="13"/>
      <c r="J4992" s="13"/>
      <c r="K4992" s="13"/>
      <c r="L4992" s="13"/>
      <c r="M4992" s="13"/>
      <c r="N4992" s="13"/>
    </row>
    <row r="4993" ht="15.75" hidden="1" customHeight="1">
      <c r="A4993" s="13"/>
      <c r="B4993" s="13"/>
      <c r="C4993" s="13"/>
      <c r="D4993" s="13"/>
      <c r="E4993" s="13"/>
      <c r="F4993" s="13"/>
      <c r="G4993" s="13"/>
      <c r="H4993" s="13"/>
      <c r="I4993" s="13"/>
      <c r="J4993" s="13"/>
      <c r="K4993" s="13"/>
      <c r="L4993" s="13"/>
      <c r="M4993" s="13"/>
      <c r="N4993" s="13"/>
    </row>
    <row r="4994" ht="15.75" hidden="1" customHeight="1">
      <c r="A4994" s="13"/>
      <c r="B4994" s="13"/>
      <c r="C4994" s="13"/>
      <c r="D4994" s="13"/>
      <c r="E4994" s="13"/>
      <c r="F4994" s="13"/>
      <c r="G4994" s="13"/>
      <c r="H4994" s="13"/>
      <c r="I4994" s="13"/>
      <c r="J4994" s="13"/>
      <c r="K4994" s="13"/>
      <c r="L4994" s="13"/>
      <c r="M4994" s="13"/>
      <c r="N4994" s="13"/>
    </row>
    <row r="4995" ht="15.75" hidden="1" customHeight="1">
      <c r="A4995" s="13"/>
      <c r="B4995" s="13"/>
      <c r="C4995" s="13"/>
      <c r="D4995" s="13"/>
      <c r="E4995" s="13"/>
      <c r="F4995" s="13"/>
      <c r="G4995" s="13"/>
      <c r="H4995" s="13"/>
      <c r="I4995" s="13"/>
      <c r="J4995" s="13"/>
      <c r="K4995" s="13"/>
      <c r="L4995" s="13"/>
      <c r="M4995" s="13"/>
      <c r="N4995" s="13"/>
    </row>
    <row r="4996" ht="15.75" hidden="1" customHeight="1">
      <c r="A4996" s="13"/>
      <c r="B4996" s="13"/>
      <c r="C4996" s="13"/>
      <c r="D4996" s="13"/>
      <c r="E4996" s="13"/>
      <c r="F4996" s="13"/>
      <c r="G4996" s="13"/>
      <c r="H4996" s="13"/>
      <c r="I4996" s="13"/>
      <c r="J4996" s="13"/>
      <c r="K4996" s="13"/>
      <c r="L4996" s="13"/>
      <c r="M4996" s="13"/>
      <c r="N4996" s="13"/>
    </row>
    <row r="4997" ht="15.75" hidden="1" customHeight="1">
      <c r="A4997" s="13"/>
      <c r="B4997" s="13"/>
      <c r="C4997" s="13"/>
      <c r="D4997" s="13"/>
      <c r="E4997" s="13"/>
      <c r="F4997" s="13"/>
      <c r="G4997" s="13"/>
      <c r="H4997" s="13"/>
      <c r="I4997" s="13"/>
      <c r="J4997" s="13"/>
      <c r="K4997" s="13"/>
      <c r="L4997" s="13"/>
      <c r="M4997" s="13"/>
      <c r="N4997" s="13"/>
    </row>
    <row r="4998" ht="15.75" hidden="1" customHeight="1">
      <c r="A4998" s="13"/>
      <c r="B4998" s="13"/>
      <c r="C4998" s="13"/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</row>
    <row r="4999" ht="15.75" hidden="1" customHeight="1">
      <c r="A4999" s="13"/>
      <c r="B4999" s="13"/>
      <c r="C4999" s="13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</row>
    <row r="5000" ht="15.75" hidden="1" customHeight="1">
      <c r="A5000" s="13"/>
      <c r="B5000" s="13"/>
      <c r="C5000" s="13"/>
      <c r="D5000" s="13"/>
      <c r="E5000" s="13"/>
      <c r="F5000" s="13"/>
      <c r="G5000" s="13"/>
      <c r="H5000" s="13"/>
      <c r="I5000" s="13"/>
      <c r="J5000" s="13"/>
      <c r="K5000" s="13"/>
      <c r="L5000" s="13"/>
      <c r="M5000" s="13"/>
      <c r="N5000" s="13"/>
    </row>
  </sheetData>
  <autoFilter ref="$A$1:$N$5000">
    <filterColumn colId="8">
      <filters>
        <filter val="NOT OK"/>
      </filters>
    </filterColumn>
  </autoFilter>
  <conditionalFormatting sqref="I2:I5000">
    <cfRule type="cellIs" dxfId="10" priority="1" operator="equal">
      <formula>"OK"</formula>
    </cfRule>
  </conditionalFormatting>
  <conditionalFormatting sqref="I2:I5000">
    <cfRule type="cellIs" dxfId="5" priority="2" operator="equal">
      <formula>"NOT OK"</formula>
    </cfRule>
  </conditionalFormatting>
  <conditionalFormatting sqref="I2:I5000">
    <cfRule type="cellIs" dxfId="15" priority="3" operator="equal">
      <formula>"N/A"</formula>
    </cfRule>
  </conditionalFormatting>
  <conditionalFormatting sqref="K2:K5000">
    <cfRule type="cellIs" dxfId="10" priority="4" operator="equal">
      <formula>"Yes"</formula>
    </cfRule>
  </conditionalFormatting>
  <dataValidations>
    <dataValidation type="list" allowBlank="1" sqref="K2:K1001">
      <formula1>CONFIG!$E$2:$E$5</formula1>
    </dataValidation>
    <dataValidation type="list" allowBlank="1" sqref="I2:I1001">
      <formula1>CONFIG!$D$2:$D$5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20.25" customHeight="1">
      <c r="A2" s="68"/>
      <c r="B2" s="68"/>
      <c r="C2" s="68"/>
      <c r="D2" s="68" t="s">
        <v>528</v>
      </c>
      <c r="E2" s="77" t="s">
        <v>333</v>
      </c>
      <c r="F2" s="77" t="s">
        <v>529</v>
      </c>
      <c r="G2" s="77" t="s">
        <v>530</v>
      </c>
      <c r="H2" s="77" t="s">
        <v>531</v>
      </c>
      <c r="I2" s="68" t="s">
        <v>373</v>
      </c>
      <c r="J2" s="77"/>
      <c r="K2" s="77"/>
      <c r="L2" s="77"/>
      <c r="M2" s="77"/>
      <c r="N2" s="78" t="s">
        <v>532</v>
      </c>
      <c r="O2" s="77"/>
      <c r="P2" s="77"/>
      <c r="Q2" s="77"/>
      <c r="R2" s="77"/>
      <c r="S2" s="77"/>
    </row>
    <row r="3" ht="23.25" customHeight="1">
      <c r="A3" s="79"/>
      <c r="B3" s="79"/>
      <c r="C3" s="79"/>
      <c r="D3" s="79" t="s">
        <v>533</v>
      </c>
      <c r="E3" s="80" t="s">
        <v>333</v>
      </c>
      <c r="F3" s="80" t="s">
        <v>534</v>
      </c>
      <c r="G3" s="80" t="s">
        <v>535</v>
      </c>
      <c r="H3" s="80" t="s">
        <v>536</v>
      </c>
      <c r="I3" s="79" t="s">
        <v>373</v>
      </c>
      <c r="J3" s="80"/>
      <c r="K3" s="80"/>
      <c r="L3" s="80"/>
      <c r="M3" s="81" t="s">
        <v>537</v>
      </c>
      <c r="N3" s="82" t="s">
        <v>538</v>
      </c>
      <c r="O3" s="80"/>
      <c r="P3" s="80"/>
      <c r="Q3" s="80"/>
      <c r="R3" s="80"/>
      <c r="S3" s="80"/>
    </row>
    <row r="4" ht="23.25" customHeight="1">
      <c r="A4" s="68"/>
      <c r="B4" s="68"/>
      <c r="C4" s="68"/>
      <c r="D4" s="68" t="s">
        <v>539</v>
      </c>
      <c r="E4" s="77" t="s">
        <v>333</v>
      </c>
      <c r="F4" s="77" t="s">
        <v>534</v>
      </c>
      <c r="G4" s="77" t="s">
        <v>540</v>
      </c>
      <c r="H4" s="77" t="s">
        <v>536</v>
      </c>
      <c r="I4" s="68" t="s">
        <v>373</v>
      </c>
      <c r="J4" s="77"/>
      <c r="K4" s="77"/>
      <c r="L4" s="77"/>
      <c r="M4" s="81" t="s">
        <v>537</v>
      </c>
      <c r="N4" s="78" t="s">
        <v>538</v>
      </c>
      <c r="O4" s="77"/>
      <c r="P4" s="77"/>
      <c r="Q4" s="77"/>
      <c r="R4" s="77"/>
      <c r="S4" s="77"/>
    </row>
    <row r="5" ht="23.25" customHeight="1">
      <c r="A5" s="79"/>
      <c r="B5" s="79"/>
      <c r="C5" s="79"/>
      <c r="D5" s="79" t="s">
        <v>541</v>
      </c>
      <c r="E5" s="80" t="s">
        <v>333</v>
      </c>
      <c r="F5" s="80" t="s">
        <v>534</v>
      </c>
      <c r="G5" s="80" t="s">
        <v>542</v>
      </c>
      <c r="H5" s="80" t="s">
        <v>536</v>
      </c>
      <c r="I5" s="79" t="s">
        <v>373</v>
      </c>
      <c r="J5" s="80"/>
      <c r="K5" s="80"/>
      <c r="L5" s="80"/>
      <c r="M5" s="81" t="s">
        <v>537</v>
      </c>
      <c r="N5" s="82" t="s">
        <v>538</v>
      </c>
      <c r="O5" s="80"/>
      <c r="P5" s="80"/>
      <c r="Q5" s="80"/>
      <c r="R5" s="80"/>
      <c r="S5" s="80"/>
    </row>
    <row r="6" ht="23.25" customHeight="1">
      <c r="A6" s="68"/>
      <c r="B6" s="68"/>
      <c r="C6" s="68"/>
      <c r="D6" s="68" t="s">
        <v>543</v>
      </c>
      <c r="E6" s="77" t="s">
        <v>333</v>
      </c>
      <c r="F6" s="77" t="s">
        <v>534</v>
      </c>
      <c r="G6" s="77" t="s">
        <v>544</v>
      </c>
      <c r="H6" s="77" t="s">
        <v>536</v>
      </c>
      <c r="I6" s="68" t="s">
        <v>373</v>
      </c>
      <c r="J6" s="77"/>
      <c r="K6" s="77"/>
      <c r="L6" s="77"/>
      <c r="M6" s="81" t="s">
        <v>537</v>
      </c>
      <c r="N6" s="78" t="s">
        <v>538</v>
      </c>
      <c r="O6" s="77"/>
      <c r="P6" s="77"/>
      <c r="Q6" s="77"/>
      <c r="R6" s="77"/>
      <c r="S6" s="77"/>
    </row>
    <row r="7" ht="23.25" customHeight="1">
      <c r="A7" s="79"/>
      <c r="B7" s="79"/>
      <c r="C7" s="79"/>
      <c r="D7" s="79" t="s">
        <v>545</v>
      </c>
      <c r="E7" s="80" t="s">
        <v>333</v>
      </c>
      <c r="F7" s="80" t="s">
        <v>534</v>
      </c>
      <c r="G7" s="80" t="s">
        <v>546</v>
      </c>
      <c r="H7" s="80" t="s">
        <v>536</v>
      </c>
      <c r="I7" s="79" t="s">
        <v>373</v>
      </c>
      <c r="J7" s="80"/>
      <c r="K7" s="80"/>
      <c r="L7" s="80"/>
      <c r="M7" s="81" t="s">
        <v>537</v>
      </c>
      <c r="N7" s="82" t="s">
        <v>538</v>
      </c>
      <c r="O7" s="80"/>
      <c r="P7" s="80"/>
      <c r="Q7" s="80"/>
      <c r="R7" s="80"/>
      <c r="S7" s="80"/>
    </row>
    <row r="8" ht="23.25" customHeight="1">
      <c r="A8" s="68"/>
      <c r="B8" s="68"/>
      <c r="C8" s="68"/>
      <c r="D8" s="68" t="s">
        <v>547</v>
      </c>
      <c r="E8" s="77" t="s">
        <v>333</v>
      </c>
      <c r="F8" s="77" t="s">
        <v>534</v>
      </c>
      <c r="G8" s="77" t="s">
        <v>548</v>
      </c>
      <c r="H8" s="77" t="s">
        <v>536</v>
      </c>
      <c r="I8" s="68" t="s">
        <v>373</v>
      </c>
      <c r="J8" s="77"/>
      <c r="K8" s="77"/>
      <c r="L8" s="77"/>
      <c r="M8" s="81" t="s">
        <v>537</v>
      </c>
      <c r="N8" s="78" t="s">
        <v>538</v>
      </c>
      <c r="O8" s="77"/>
      <c r="P8" s="77"/>
      <c r="Q8" s="77"/>
      <c r="R8" s="77"/>
      <c r="S8" s="77"/>
    </row>
    <row r="9" ht="23.25" customHeight="1">
      <c r="A9" s="79"/>
      <c r="B9" s="79"/>
      <c r="C9" s="79"/>
      <c r="D9" s="79" t="s">
        <v>549</v>
      </c>
      <c r="E9" s="80" t="s">
        <v>333</v>
      </c>
      <c r="F9" s="80" t="s">
        <v>534</v>
      </c>
      <c r="G9" s="80" t="s">
        <v>550</v>
      </c>
      <c r="H9" s="80" t="s">
        <v>536</v>
      </c>
      <c r="I9" s="79" t="s">
        <v>373</v>
      </c>
      <c r="J9" s="80"/>
      <c r="K9" s="80"/>
      <c r="L9" s="80"/>
      <c r="M9" s="81" t="s">
        <v>537</v>
      </c>
      <c r="N9" s="82" t="s">
        <v>538</v>
      </c>
      <c r="O9" s="80"/>
      <c r="P9" s="80"/>
      <c r="Q9" s="80"/>
      <c r="R9" s="80"/>
      <c r="S9" s="80"/>
    </row>
    <row r="10" ht="23.25" customHeight="1">
      <c r="A10" s="68"/>
      <c r="B10" s="68"/>
      <c r="C10" s="68"/>
      <c r="D10" s="68" t="s">
        <v>551</v>
      </c>
      <c r="E10" s="77" t="s">
        <v>333</v>
      </c>
      <c r="F10" s="77" t="s">
        <v>534</v>
      </c>
      <c r="G10" s="77" t="s">
        <v>552</v>
      </c>
      <c r="H10" s="77" t="s">
        <v>536</v>
      </c>
      <c r="I10" s="68" t="s">
        <v>373</v>
      </c>
      <c r="J10" s="77"/>
      <c r="K10" s="77"/>
      <c r="L10" s="77"/>
      <c r="M10" s="81" t="s">
        <v>537</v>
      </c>
      <c r="N10" s="78" t="s">
        <v>538</v>
      </c>
      <c r="O10" s="77"/>
      <c r="P10" s="77"/>
      <c r="Q10" s="77"/>
      <c r="R10" s="77"/>
      <c r="S10" s="77"/>
    </row>
    <row r="11" ht="20.25" customHeight="1">
      <c r="A11" s="79"/>
      <c r="B11" s="79"/>
      <c r="C11" s="79"/>
      <c r="D11" s="79" t="s">
        <v>553</v>
      </c>
      <c r="E11" s="80" t="s">
        <v>333</v>
      </c>
      <c r="F11" s="80" t="s">
        <v>554</v>
      </c>
      <c r="G11" s="80" t="s">
        <v>555</v>
      </c>
      <c r="H11" s="80" t="s">
        <v>556</v>
      </c>
      <c r="I11" s="79" t="s">
        <v>373</v>
      </c>
      <c r="J11" s="80"/>
      <c r="K11" s="80"/>
      <c r="L11" s="80"/>
      <c r="M11" s="81" t="s">
        <v>557</v>
      </c>
      <c r="N11" s="82" t="s">
        <v>532</v>
      </c>
      <c r="O11" s="80"/>
      <c r="P11" s="80"/>
      <c r="Q11" s="80"/>
      <c r="R11" s="80"/>
      <c r="S11" s="80"/>
    </row>
    <row r="12" ht="23.25" customHeight="1">
      <c r="A12" s="68"/>
      <c r="B12" s="68"/>
      <c r="C12" s="68"/>
      <c r="D12" s="68" t="s">
        <v>558</v>
      </c>
      <c r="E12" s="77" t="s">
        <v>333</v>
      </c>
      <c r="F12" s="77" t="s">
        <v>559</v>
      </c>
      <c r="G12" s="77" t="s">
        <v>560</v>
      </c>
      <c r="H12" s="77" t="s">
        <v>536</v>
      </c>
      <c r="I12" s="68" t="s">
        <v>373</v>
      </c>
      <c r="J12" s="77"/>
      <c r="K12" s="77"/>
      <c r="L12" s="77"/>
      <c r="M12" s="77"/>
      <c r="N12" s="78" t="s">
        <v>538</v>
      </c>
      <c r="O12" s="77"/>
      <c r="P12" s="77"/>
      <c r="Q12" s="77"/>
      <c r="R12" s="77"/>
      <c r="S12" s="77"/>
    </row>
    <row r="13" ht="23.25" customHeight="1">
      <c r="A13" s="79"/>
      <c r="B13" s="79"/>
      <c r="C13" s="79"/>
      <c r="D13" s="79" t="s">
        <v>561</v>
      </c>
      <c r="E13" s="80" t="s">
        <v>333</v>
      </c>
      <c r="F13" s="80" t="s">
        <v>559</v>
      </c>
      <c r="G13" s="80" t="s">
        <v>562</v>
      </c>
      <c r="H13" s="80" t="s">
        <v>536</v>
      </c>
      <c r="I13" s="79" t="s">
        <v>373</v>
      </c>
      <c r="J13" s="80"/>
      <c r="K13" s="80"/>
      <c r="L13" s="80"/>
      <c r="M13" s="80"/>
      <c r="N13" s="82" t="s">
        <v>538</v>
      </c>
      <c r="O13" s="80"/>
      <c r="P13" s="80"/>
      <c r="Q13" s="80"/>
      <c r="R13" s="80"/>
      <c r="S13" s="80"/>
    </row>
    <row r="14" ht="23.25" customHeight="1">
      <c r="A14" s="68"/>
      <c r="B14" s="68"/>
      <c r="C14" s="68"/>
      <c r="D14" s="68" t="s">
        <v>563</v>
      </c>
      <c r="E14" s="77" t="s">
        <v>333</v>
      </c>
      <c r="F14" s="77" t="s">
        <v>559</v>
      </c>
      <c r="G14" s="77" t="s">
        <v>564</v>
      </c>
      <c r="H14" s="77" t="s">
        <v>536</v>
      </c>
      <c r="I14" s="68" t="s">
        <v>373</v>
      </c>
      <c r="J14" s="77"/>
      <c r="K14" s="77"/>
      <c r="L14" s="77"/>
      <c r="M14" s="81" t="s">
        <v>537</v>
      </c>
      <c r="N14" s="78" t="s">
        <v>538</v>
      </c>
      <c r="O14" s="77"/>
      <c r="P14" s="77"/>
      <c r="Q14" s="77"/>
      <c r="R14" s="77"/>
      <c r="S14" s="77"/>
    </row>
    <row r="15" ht="23.25" customHeight="1">
      <c r="A15" s="79"/>
      <c r="B15" s="79"/>
      <c r="C15" s="79"/>
      <c r="D15" s="79" t="s">
        <v>565</v>
      </c>
      <c r="E15" s="80" t="s">
        <v>333</v>
      </c>
      <c r="F15" s="80" t="s">
        <v>559</v>
      </c>
      <c r="G15" s="80" t="s">
        <v>566</v>
      </c>
      <c r="H15" s="80" t="s">
        <v>536</v>
      </c>
      <c r="I15" s="79" t="s">
        <v>373</v>
      </c>
      <c r="J15" s="80"/>
      <c r="K15" s="80"/>
      <c r="L15" s="80"/>
      <c r="M15" s="80"/>
      <c r="N15" s="82" t="s">
        <v>538</v>
      </c>
      <c r="O15" s="80"/>
      <c r="P15" s="80"/>
      <c r="Q15" s="80"/>
      <c r="R15" s="80"/>
      <c r="S15" s="80"/>
    </row>
    <row r="16" ht="23.25" customHeight="1">
      <c r="A16" s="68"/>
      <c r="B16" s="68"/>
      <c r="C16" s="68"/>
      <c r="D16" s="68" t="s">
        <v>567</v>
      </c>
      <c r="E16" s="77" t="s">
        <v>333</v>
      </c>
      <c r="F16" s="77" t="s">
        <v>559</v>
      </c>
      <c r="G16" s="77" t="s">
        <v>568</v>
      </c>
      <c r="H16" s="77" t="s">
        <v>536</v>
      </c>
      <c r="I16" s="68" t="s">
        <v>373</v>
      </c>
      <c r="J16" s="77"/>
      <c r="K16" s="77"/>
      <c r="L16" s="77"/>
      <c r="M16" s="77"/>
      <c r="N16" s="78" t="s">
        <v>538</v>
      </c>
      <c r="O16" s="77"/>
      <c r="P16" s="77"/>
      <c r="Q16" s="77"/>
      <c r="R16" s="77"/>
      <c r="S16" s="77"/>
    </row>
    <row r="17" ht="23.25" customHeight="1">
      <c r="A17" s="79"/>
      <c r="B17" s="79"/>
      <c r="C17" s="79"/>
      <c r="D17" s="79" t="s">
        <v>569</v>
      </c>
      <c r="E17" s="80" t="s">
        <v>333</v>
      </c>
      <c r="F17" s="80" t="s">
        <v>559</v>
      </c>
      <c r="G17" s="80" t="s">
        <v>570</v>
      </c>
      <c r="H17" s="80" t="s">
        <v>536</v>
      </c>
      <c r="I17" s="79" t="s">
        <v>373</v>
      </c>
      <c r="J17" s="80"/>
      <c r="K17" s="80"/>
      <c r="L17" s="80"/>
      <c r="M17" s="80"/>
      <c r="N17" s="82" t="s">
        <v>538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571</v>
      </c>
      <c r="E18" s="77" t="s">
        <v>333</v>
      </c>
      <c r="F18" s="77" t="s">
        <v>559</v>
      </c>
      <c r="G18" s="77" t="s">
        <v>572</v>
      </c>
      <c r="H18" s="77" t="s">
        <v>573</v>
      </c>
      <c r="I18" s="68" t="s">
        <v>373</v>
      </c>
      <c r="J18" s="77"/>
      <c r="K18" s="77"/>
      <c r="L18" s="77"/>
      <c r="M18" s="77"/>
      <c r="N18" s="78" t="s">
        <v>538</v>
      </c>
      <c r="O18" s="77"/>
      <c r="P18" s="77"/>
      <c r="Q18" s="77"/>
      <c r="R18" s="77"/>
      <c r="S18" s="77"/>
    </row>
    <row r="19" ht="23.25" customHeight="1">
      <c r="A19" s="79"/>
      <c r="B19" s="79"/>
      <c r="C19" s="79"/>
      <c r="D19" s="79" t="s">
        <v>574</v>
      </c>
      <c r="E19" s="80" t="s">
        <v>333</v>
      </c>
      <c r="F19" s="80" t="s">
        <v>559</v>
      </c>
      <c r="G19" s="80" t="s">
        <v>575</v>
      </c>
      <c r="H19" s="80" t="s">
        <v>536</v>
      </c>
      <c r="I19" s="79" t="s">
        <v>373</v>
      </c>
      <c r="J19" s="80"/>
      <c r="K19" s="80"/>
      <c r="L19" s="80"/>
      <c r="M19" s="80"/>
      <c r="N19" s="82" t="s">
        <v>538</v>
      </c>
      <c r="O19" s="80"/>
      <c r="P19" s="80"/>
      <c r="Q19" s="80"/>
      <c r="R19" s="80"/>
      <c r="S19" s="80"/>
    </row>
    <row r="20" ht="23.25" customHeight="1">
      <c r="A20" s="68"/>
      <c r="B20" s="68"/>
      <c r="C20" s="68"/>
      <c r="D20" s="68" t="s">
        <v>576</v>
      </c>
      <c r="E20" s="77" t="s">
        <v>333</v>
      </c>
      <c r="F20" s="77" t="s">
        <v>559</v>
      </c>
      <c r="G20" s="77" t="s">
        <v>577</v>
      </c>
      <c r="H20" s="77" t="s">
        <v>536</v>
      </c>
      <c r="I20" s="68" t="s">
        <v>373</v>
      </c>
      <c r="J20" s="77"/>
      <c r="K20" s="77"/>
      <c r="L20" s="77"/>
      <c r="M20" s="77"/>
      <c r="N20" s="78" t="s">
        <v>538</v>
      </c>
      <c r="O20" s="77"/>
      <c r="P20" s="77"/>
      <c r="Q20" s="77"/>
      <c r="R20" s="77"/>
      <c r="S20" s="77"/>
    </row>
    <row r="21" ht="23.25" customHeight="1">
      <c r="A21" s="79"/>
      <c r="B21" s="79"/>
      <c r="C21" s="79"/>
      <c r="D21" s="79" t="s">
        <v>578</v>
      </c>
      <c r="E21" s="80" t="s">
        <v>333</v>
      </c>
      <c r="F21" s="80" t="s">
        <v>554</v>
      </c>
      <c r="G21" s="80" t="s">
        <v>579</v>
      </c>
      <c r="H21" s="80" t="s">
        <v>580</v>
      </c>
      <c r="I21" s="79" t="s">
        <v>373</v>
      </c>
      <c r="J21" s="80"/>
      <c r="K21" s="80"/>
      <c r="L21" s="80"/>
      <c r="M21" s="81" t="s">
        <v>537</v>
      </c>
      <c r="N21" s="82" t="s">
        <v>532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581</v>
      </c>
      <c r="E22" s="77" t="s">
        <v>333</v>
      </c>
      <c r="F22" s="77" t="s">
        <v>582</v>
      </c>
      <c r="G22" s="77" t="s">
        <v>583</v>
      </c>
      <c r="H22" s="77" t="s">
        <v>584</v>
      </c>
      <c r="I22" s="68" t="s">
        <v>373</v>
      </c>
      <c r="J22" s="77"/>
      <c r="K22" s="77"/>
      <c r="L22" s="77"/>
      <c r="M22" s="81" t="s">
        <v>585</v>
      </c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587</v>
      </c>
      <c r="E23" s="80" t="s">
        <v>333</v>
      </c>
      <c r="F23" s="80" t="s">
        <v>582</v>
      </c>
      <c r="G23" s="80" t="s">
        <v>588</v>
      </c>
      <c r="H23" s="80" t="s">
        <v>589</v>
      </c>
      <c r="I23" s="79" t="s">
        <v>373</v>
      </c>
      <c r="J23" s="80"/>
      <c r="K23" s="80"/>
      <c r="L23" s="80"/>
      <c r="M23" s="81" t="s">
        <v>557</v>
      </c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590</v>
      </c>
      <c r="E24" s="77" t="s">
        <v>333</v>
      </c>
      <c r="F24" s="77" t="s">
        <v>582</v>
      </c>
      <c r="G24" s="77" t="s">
        <v>591</v>
      </c>
      <c r="H24" s="77" t="s">
        <v>592</v>
      </c>
      <c r="I24" s="68" t="s">
        <v>373</v>
      </c>
      <c r="J24" s="77"/>
      <c r="K24" s="77"/>
      <c r="L24" s="77"/>
      <c r="M24" s="81" t="s">
        <v>557</v>
      </c>
      <c r="N24" s="78" t="s">
        <v>586</v>
      </c>
      <c r="O24" s="77"/>
      <c r="P24" s="77"/>
      <c r="Q24" s="77"/>
      <c r="R24" s="77"/>
      <c r="S24" s="77"/>
    </row>
    <row r="25" ht="15.0" customHeight="1">
      <c r="A25" s="79"/>
      <c r="B25" s="79"/>
      <c r="C25" s="79"/>
      <c r="D25" s="79" t="s">
        <v>593</v>
      </c>
      <c r="E25" s="80" t="s">
        <v>333</v>
      </c>
      <c r="F25" s="80" t="s">
        <v>582</v>
      </c>
      <c r="G25" s="80" t="s">
        <v>594</v>
      </c>
      <c r="H25" s="80" t="s">
        <v>595</v>
      </c>
      <c r="I25" s="79" t="s">
        <v>373</v>
      </c>
      <c r="J25" s="80"/>
      <c r="K25" s="80"/>
      <c r="L25" s="80"/>
      <c r="M25" s="81" t="s">
        <v>557</v>
      </c>
      <c r="N25" s="82" t="s">
        <v>586</v>
      </c>
      <c r="O25" s="80"/>
      <c r="P25" s="80"/>
      <c r="Q25" s="80"/>
      <c r="R25" s="80"/>
      <c r="S25" s="80"/>
    </row>
    <row r="26" ht="15.0" customHeight="1">
      <c r="A26" s="68"/>
      <c r="B26" s="68"/>
      <c r="C26" s="68"/>
      <c r="D26" s="68" t="s">
        <v>596</v>
      </c>
      <c r="E26" s="77" t="s">
        <v>333</v>
      </c>
      <c r="F26" s="77" t="s">
        <v>582</v>
      </c>
      <c r="G26" s="77" t="s">
        <v>597</v>
      </c>
      <c r="H26" s="77" t="s">
        <v>598</v>
      </c>
      <c r="I26" s="68" t="s">
        <v>373</v>
      </c>
      <c r="J26" s="77"/>
      <c r="K26" s="77"/>
      <c r="L26" s="77"/>
      <c r="M26" s="81" t="s">
        <v>585</v>
      </c>
      <c r="N26" s="78" t="s">
        <v>586</v>
      </c>
      <c r="O26" s="77"/>
      <c r="P26" s="77"/>
      <c r="Q26" s="77"/>
      <c r="R26" s="77"/>
      <c r="S26" s="77"/>
    </row>
    <row r="27" ht="15.0" customHeight="1">
      <c r="A27" s="79"/>
      <c r="B27" s="79"/>
      <c r="C27" s="79"/>
      <c r="D27" s="79" t="s">
        <v>599</v>
      </c>
      <c r="E27" s="80" t="s">
        <v>333</v>
      </c>
      <c r="F27" s="80" t="s">
        <v>582</v>
      </c>
      <c r="G27" s="80" t="s">
        <v>600</v>
      </c>
      <c r="H27" s="80" t="s">
        <v>601</v>
      </c>
      <c r="I27" s="79" t="s">
        <v>373</v>
      </c>
      <c r="J27" s="80"/>
      <c r="K27" s="80"/>
      <c r="L27" s="80"/>
      <c r="M27" s="81" t="s">
        <v>557</v>
      </c>
      <c r="N27" s="82" t="s">
        <v>586</v>
      </c>
      <c r="O27" s="80"/>
      <c r="P27" s="80"/>
      <c r="Q27" s="80"/>
      <c r="R27" s="80"/>
      <c r="S27" s="80"/>
    </row>
    <row r="28" ht="23.25" customHeight="1">
      <c r="A28" s="68"/>
      <c r="B28" s="68"/>
      <c r="C28" s="68"/>
      <c r="D28" s="68" t="s">
        <v>602</v>
      </c>
      <c r="E28" s="77" t="s">
        <v>333</v>
      </c>
      <c r="F28" s="77" t="s">
        <v>603</v>
      </c>
      <c r="G28" s="77" t="s">
        <v>604</v>
      </c>
      <c r="H28" s="77" t="s">
        <v>605</v>
      </c>
      <c r="I28" s="68" t="s">
        <v>373</v>
      </c>
      <c r="J28" s="77"/>
      <c r="K28" s="77"/>
      <c r="L28" s="77"/>
      <c r="M28" s="81" t="s">
        <v>537</v>
      </c>
      <c r="N28" s="78" t="s">
        <v>586</v>
      </c>
      <c r="O28" s="77"/>
      <c r="P28" s="77"/>
      <c r="Q28" s="77"/>
      <c r="R28" s="77"/>
      <c r="S28" s="77"/>
    </row>
    <row r="29" ht="23.25" customHeight="1">
      <c r="A29" s="79"/>
      <c r="B29" s="79"/>
      <c r="C29" s="79"/>
      <c r="D29" s="79" t="s">
        <v>606</v>
      </c>
      <c r="E29" s="80" t="s">
        <v>333</v>
      </c>
      <c r="F29" s="80" t="s">
        <v>603</v>
      </c>
      <c r="G29" s="80" t="s">
        <v>607</v>
      </c>
      <c r="H29" s="80" t="s">
        <v>608</v>
      </c>
      <c r="I29" s="79" t="s">
        <v>373</v>
      </c>
      <c r="J29" s="80"/>
      <c r="K29" s="80"/>
      <c r="L29" s="80"/>
      <c r="M29" s="81" t="s">
        <v>537</v>
      </c>
      <c r="N29" s="82" t="s">
        <v>586</v>
      </c>
      <c r="O29" s="80"/>
      <c r="P29" s="80"/>
      <c r="Q29" s="80"/>
      <c r="R29" s="80"/>
      <c r="S29" s="80"/>
    </row>
    <row r="30" ht="23.25" customHeight="1">
      <c r="A30" s="68"/>
      <c r="B30" s="68"/>
      <c r="C30" s="68"/>
      <c r="D30" s="68" t="s">
        <v>609</v>
      </c>
      <c r="E30" s="77" t="s">
        <v>333</v>
      </c>
      <c r="F30" s="77" t="s">
        <v>603</v>
      </c>
      <c r="G30" s="77" t="s">
        <v>610</v>
      </c>
      <c r="H30" s="77" t="s">
        <v>611</v>
      </c>
      <c r="I30" s="68" t="s">
        <v>373</v>
      </c>
      <c r="J30" s="77"/>
      <c r="K30" s="77"/>
      <c r="L30" s="77"/>
      <c r="M30" s="81" t="s">
        <v>537</v>
      </c>
      <c r="N30" s="78" t="s">
        <v>586</v>
      </c>
      <c r="O30" s="77"/>
      <c r="P30" s="77"/>
      <c r="Q30" s="77"/>
      <c r="R30" s="77"/>
      <c r="S30" s="77"/>
    </row>
    <row r="31" ht="23.25" customHeight="1">
      <c r="A31" s="79"/>
      <c r="B31" s="79"/>
      <c r="C31" s="79"/>
      <c r="D31" s="79" t="s">
        <v>612</v>
      </c>
      <c r="E31" s="80" t="s">
        <v>333</v>
      </c>
      <c r="F31" s="80" t="s">
        <v>603</v>
      </c>
      <c r="G31" s="80" t="s">
        <v>613</v>
      </c>
      <c r="H31" s="80" t="s">
        <v>614</v>
      </c>
      <c r="I31" s="79" t="s">
        <v>373</v>
      </c>
      <c r="J31" s="80"/>
      <c r="K31" s="80"/>
      <c r="L31" s="80"/>
      <c r="M31" s="81" t="s">
        <v>537</v>
      </c>
      <c r="N31" s="82" t="s">
        <v>586</v>
      </c>
      <c r="O31" s="80"/>
      <c r="P31" s="80"/>
      <c r="Q31" s="80"/>
      <c r="R31" s="80"/>
      <c r="S31" s="80"/>
    </row>
    <row r="32" ht="23.25" customHeight="1">
      <c r="A32" s="68"/>
      <c r="B32" s="68"/>
      <c r="C32" s="68"/>
      <c r="D32" s="68" t="s">
        <v>615</v>
      </c>
      <c r="E32" s="77" t="s">
        <v>333</v>
      </c>
      <c r="F32" s="77" t="s">
        <v>603</v>
      </c>
      <c r="G32" s="77" t="s">
        <v>616</v>
      </c>
      <c r="H32" s="77" t="s">
        <v>617</v>
      </c>
      <c r="I32" s="68" t="s">
        <v>373</v>
      </c>
      <c r="J32" s="77"/>
      <c r="K32" s="77"/>
      <c r="L32" s="77"/>
      <c r="M32" s="81" t="s">
        <v>537</v>
      </c>
      <c r="N32" s="78" t="s">
        <v>586</v>
      </c>
      <c r="O32" s="77"/>
      <c r="P32" s="77"/>
      <c r="Q32" s="77"/>
      <c r="R32" s="77"/>
      <c r="S32" s="77"/>
    </row>
    <row r="33" ht="23.25" customHeight="1">
      <c r="A33" s="79"/>
      <c r="B33" s="79"/>
      <c r="C33" s="79"/>
      <c r="D33" s="79" t="s">
        <v>618</v>
      </c>
      <c r="E33" s="80" t="s">
        <v>333</v>
      </c>
      <c r="F33" s="80" t="s">
        <v>603</v>
      </c>
      <c r="G33" s="80" t="s">
        <v>619</v>
      </c>
      <c r="H33" s="80" t="s">
        <v>620</v>
      </c>
      <c r="I33" s="79" t="s">
        <v>373</v>
      </c>
      <c r="J33" s="80"/>
      <c r="K33" s="80"/>
      <c r="L33" s="80"/>
      <c r="M33" s="81" t="s">
        <v>537</v>
      </c>
      <c r="N33" s="82" t="s">
        <v>586</v>
      </c>
      <c r="O33" s="80"/>
      <c r="P33" s="80"/>
      <c r="Q33" s="80"/>
      <c r="R33" s="80"/>
      <c r="S33" s="80"/>
    </row>
    <row r="34" ht="23.25" customHeight="1">
      <c r="A34" s="68"/>
      <c r="B34" s="68"/>
      <c r="C34" s="68"/>
      <c r="D34" s="68" t="s">
        <v>621</v>
      </c>
      <c r="E34" s="77" t="s">
        <v>333</v>
      </c>
      <c r="F34" s="77" t="s">
        <v>603</v>
      </c>
      <c r="G34" s="77" t="s">
        <v>622</v>
      </c>
      <c r="H34" s="77" t="s">
        <v>623</v>
      </c>
      <c r="I34" s="68" t="s">
        <v>373</v>
      </c>
      <c r="J34" s="77"/>
      <c r="K34" s="77"/>
      <c r="L34" s="77"/>
      <c r="M34" s="81" t="s">
        <v>537</v>
      </c>
      <c r="N34" s="78" t="s">
        <v>586</v>
      </c>
      <c r="O34" s="77"/>
      <c r="P34" s="77"/>
      <c r="Q34" s="77"/>
      <c r="R34" s="77"/>
      <c r="S34" s="77"/>
    </row>
    <row r="35" ht="23.25" customHeight="1">
      <c r="A35" s="79"/>
      <c r="B35" s="79"/>
      <c r="C35" s="79"/>
      <c r="D35" s="79" t="s">
        <v>624</v>
      </c>
      <c r="E35" s="80" t="s">
        <v>333</v>
      </c>
      <c r="F35" s="80" t="s">
        <v>603</v>
      </c>
      <c r="G35" s="80" t="s">
        <v>625</v>
      </c>
      <c r="H35" s="80" t="s">
        <v>626</v>
      </c>
      <c r="I35" s="79" t="s">
        <v>373</v>
      </c>
      <c r="J35" s="80"/>
      <c r="K35" s="80"/>
      <c r="L35" s="80"/>
      <c r="M35" s="81" t="s">
        <v>537</v>
      </c>
      <c r="N35" s="82" t="s">
        <v>586</v>
      </c>
      <c r="O35" s="80"/>
      <c r="P35" s="80"/>
      <c r="Q35" s="80"/>
      <c r="R35" s="80"/>
      <c r="S35" s="80"/>
    </row>
    <row r="36" ht="23.25" customHeight="1">
      <c r="A36" s="68"/>
      <c r="B36" s="68"/>
      <c r="C36" s="68"/>
      <c r="D36" s="68" t="s">
        <v>627</v>
      </c>
      <c r="E36" s="77" t="s">
        <v>333</v>
      </c>
      <c r="F36" s="77" t="s">
        <v>603</v>
      </c>
      <c r="G36" s="77" t="s">
        <v>628</v>
      </c>
      <c r="H36" s="77" t="s">
        <v>629</v>
      </c>
      <c r="I36" s="68" t="s">
        <v>373</v>
      </c>
      <c r="J36" s="77"/>
      <c r="K36" s="77"/>
      <c r="L36" s="77"/>
      <c r="M36" s="81" t="s">
        <v>537</v>
      </c>
      <c r="N36" s="78" t="s">
        <v>586</v>
      </c>
      <c r="O36" s="77"/>
      <c r="P36" s="77"/>
      <c r="Q36" s="77"/>
      <c r="R36" s="77"/>
      <c r="S36" s="77"/>
    </row>
    <row r="37" ht="15.0" customHeight="1">
      <c r="A37" s="79"/>
      <c r="B37" s="79"/>
      <c r="C37" s="79"/>
      <c r="D37" s="79" t="s">
        <v>630</v>
      </c>
      <c r="E37" s="80" t="s">
        <v>333</v>
      </c>
      <c r="F37" s="80" t="s">
        <v>631</v>
      </c>
      <c r="G37" s="80" t="s">
        <v>632</v>
      </c>
      <c r="H37" s="80" t="s">
        <v>633</v>
      </c>
      <c r="I37" s="79" t="s">
        <v>373</v>
      </c>
      <c r="J37" s="80"/>
      <c r="K37" s="80"/>
      <c r="L37" s="80"/>
      <c r="M37" s="81" t="s">
        <v>537</v>
      </c>
      <c r="N37" s="82" t="s">
        <v>586</v>
      </c>
      <c r="O37" s="80"/>
      <c r="P37" s="80"/>
      <c r="Q37" s="80"/>
      <c r="R37" s="80"/>
      <c r="S37" s="80"/>
    </row>
    <row r="38" ht="15.0" customHeight="1">
      <c r="A38" s="68"/>
      <c r="B38" s="68"/>
      <c r="C38" s="68"/>
      <c r="D38" s="68" t="s">
        <v>634</v>
      </c>
      <c r="E38" s="77" t="s">
        <v>333</v>
      </c>
      <c r="F38" s="77" t="s">
        <v>631</v>
      </c>
      <c r="G38" s="77" t="s">
        <v>635</v>
      </c>
      <c r="H38" s="77" t="s">
        <v>636</v>
      </c>
      <c r="I38" s="68" t="s">
        <v>373</v>
      </c>
      <c r="J38" s="77"/>
      <c r="K38" s="77"/>
      <c r="L38" s="77"/>
      <c r="M38" s="77"/>
      <c r="N38" s="78" t="s">
        <v>586</v>
      </c>
      <c r="O38" s="77"/>
      <c r="P38" s="77"/>
      <c r="Q38" s="77"/>
      <c r="R38" s="77"/>
      <c r="S38" s="77"/>
    </row>
    <row r="39" ht="15.0" customHeight="1">
      <c r="A39" s="79"/>
      <c r="B39" s="79"/>
      <c r="C39" s="79"/>
      <c r="D39" s="79" t="s">
        <v>637</v>
      </c>
      <c r="E39" s="80" t="s">
        <v>333</v>
      </c>
      <c r="F39" s="80" t="s">
        <v>631</v>
      </c>
      <c r="G39" s="80" t="s">
        <v>638</v>
      </c>
      <c r="H39" s="80" t="s">
        <v>639</v>
      </c>
      <c r="I39" s="79" t="s">
        <v>373</v>
      </c>
      <c r="J39" s="80"/>
      <c r="K39" s="80"/>
      <c r="L39" s="80"/>
      <c r="M39" s="80"/>
      <c r="N39" s="82" t="s">
        <v>586</v>
      </c>
      <c r="O39" s="80"/>
      <c r="P39" s="80"/>
      <c r="Q39" s="80"/>
      <c r="R39" s="80"/>
      <c r="S39" s="80"/>
    </row>
    <row r="40" ht="15.0" customHeight="1">
      <c r="A40" s="68"/>
      <c r="B40" s="68"/>
      <c r="C40" s="68"/>
      <c r="D40" s="68" t="s">
        <v>640</v>
      </c>
      <c r="E40" s="77" t="s">
        <v>333</v>
      </c>
      <c r="F40" s="77" t="s">
        <v>554</v>
      </c>
      <c r="G40" s="77" t="s">
        <v>641</v>
      </c>
      <c r="H40" s="77" t="s">
        <v>642</v>
      </c>
      <c r="I40" s="68" t="s">
        <v>373</v>
      </c>
      <c r="J40" s="77"/>
      <c r="K40" s="77"/>
      <c r="L40" s="77"/>
      <c r="M40" s="77"/>
      <c r="N40" s="78" t="s">
        <v>586</v>
      </c>
      <c r="O40" s="77"/>
      <c r="P40" s="77"/>
      <c r="Q40" s="77"/>
      <c r="R40" s="77"/>
      <c r="S40" s="77"/>
    </row>
    <row r="41" ht="15.0" customHeight="1">
      <c r="A41" s="79"/>
      <c r="B41" s="79"/>
      <c r="C41" s="79"/>
      <c r="D41" s="79" t="s">
        <v>643</v>
      </c>
      <c r="E41" s="80" t="s">
        <v>333</v>
      </c>
      <c r="F41" s="80" t="s">
        <v>554</v>
      </c>
      <c r="G41" s="80" t="s">
        <v>644</v>
      </c>
      <c r="H41" s="80" t="s">
        <v>645</v>
      </c>
      <c r="I41" s="79" t="s">
        <v>373</v>
      </c>
      <c r="J41" s="80"/>
      <c r="K41" s="80"/>
      <c r="L41" s="80"/>
      <c r="M41" s="80"/>
      <c r="N41" s="82" t="s">
        <v>586</v>
      </c>
      <c r="O41" s="80"/>
      <c r="P41" s="80"/>
      <c r="Q41" s="80"/>
      <c r="R41" s="80"/>
      <c r="S41" s="80"/>
    </row>
    <row r="42" ht="15.0" customHeight="1">
      <c r="A42" s="68"/>
      <c r="B42" s="68"/>
      <c r="C42" s="68"/>
      <c r="D42" s="68" t="s">
        <v>646</v>
      </c>
      <c r="E42" s="77" t="s">
        <v>333</v>
      </c>
      <c r="F42" s="77" t="s">
        <v>554</v>
      </c>
      <c r="G42" s="77" t="s">
        <v>647</v>
      </c>
      <c r="H42" s="77" t="s">
        <v>648</v>
      </c>
      <c r="I42" s="68" t="s">
        <v>373</v>
      </c>
      <c r="J42" s="77"/>
      <c r="K42" s="77"/>
      <c r="L42" s="77"/>
      <c r="M42" s="77"/>
      <c r="N42" s="78" t="s">
        <v>586</v>
      </c>
      <c r="O42" s="77"/>
      <c r="P42" s="77"/>
      <c r="Q42" s="77"/>
      <c r="R42" s="77"/>
      <c r="S42" s="77"/>
    </row>
    <row r="43" ht="15.0" customHeight="1">
      <c r="A43" s="79"/>
      <c r="B43" s="79"/>
      <c r="C43" s="79"/>
      <c r="D43" s="79" t="s">
        <v>649</v>
      </c>
      <c r="E43" s="80" t="s">
        <v>333</v>
      </c>
      <c r="F43" s="80" t="s">
        <v>554</v>
      </c>
      <c r="G43" s="80" t="s">
        <v>650</v>
      </c>
      <c r="H43" s="80" t="s">
        <v>651</v>
      </c>
      <c r="I43" s="79" t="s">
        <v>373</v>
      </c>
      <c r="J43" s="80"/>
      <c r="K43" s="80"/>
      <c r="L43" s="80"/>
      <c r="M43" s="80"/>
      <c r="N43" s="82" t="s">
        <v>586</v>
      </c>
      <c r="O43" s="80"/>
      <c r="P43" s="80"/>
      <c r="Q43" s="80"/>
      <c r="R43" s="80"/>
      <c r="S43" s="80"/>
    </row>
    <row r="44" ht="15.0" customHeight="1">
      <c r="A44" s="68"/>
      <c r="B44" s="68"/>
      <c r="C44" s="68"/>
      <c r="D44" s="68" t="s">
        <v>652</v>
      </c>
      <c r="E44" s="77" t="s">
        <v>333</v>
      </c>
      <c r="F44" s="77" t="s">
        <v>554</v>
      </c>
      <c r="G44" s="77" t="s">
        <v>653</v>
      </c>
      <c r="H44" s="77" t="s">
        <v>654</v>
      </c>
      <c r="I44" s="68" t="s">
        <v>373</v>
      </c>
      <c r="J44" s="77"/>
      <c r="K44" s="77"/>
      <c r="L44" s="77"/>
      <c r="M44" s="77"/>
      <c r="N44" s="78" t="s">
        <v>586</v>
      </c>
      <c r="O44" s="77"/>
      <c r="P44" s="77"/>
      <c r="Q44" s="77"/>
      <c r="R44" s="77"/>
      <c r="S44" s="77"/>
    </row>
    <row r="45" ht="15.0" customHeight="1">
      <c r="A45" s="79"/>
      <c r="B45" s="79"/>
      <c r="C45" s="79"/>
      <c r="D45" s="79" t="s">
        <v>655</v>
      </c>
      <c r="E45" s="80" t="s">
        <v>333</v>
      </c>
      <c r="F45" s="80" t="s">
        <v>554</v>
      </c>
      <c r="G45" s="80" t="s">
        <v>656</v>
      </c>
      <c r="H45" s="80" t="s">
        <v>657</v>
      </c>
      <c r="I45" s="79" t="s">
        <v>373</v>
      </c>
      <c r="J45" s="80"/>
      <c r="K45" s="80"/>
      <c r="L45" s="80"/>
      <c r="M45" s="80"/>
      <c r="N45" s="82" t="s">
        <v>586</v>
      </c>
      <c r="O45" s="80"/>
      <c r="P45" s="80"/>
      <c r="Q45" s="80"/>
      <c r="R45" s="80"/>
      <c r="S45" s="80"/>
    </row>
    <row r="46" ht="34.5" customHeight="1">
      <c r="A46" s="68"/>
      <c r="B46" s="68"/>
      <c r="C46" s="68"/>
      <c r="D46" s="68" t="s">
        <v>658</v>
      </c>
      <c r="E46" s="77" t="s">
        <v>333</v>
      </c>
      <c r="F46" s="77" t="s">
        <v>529</v>
      </c>
      <c r="G46" s="77" t="s">
        <v>659</v>
      </c>
      <c r="H46" s="77" t="s">
        <v>660</v>
      </c>
      <c r="I46" s="68" t="s">
        <v>373</v>
      </c>
      <c r="J46" s="77"/>
      <c r="K46" s="77"/>
      <c r="L46" s="77"/>
      <c r="M46" s="77"/>
      <c r="N46" s="78" t="s">
        <v>586</v>
      </c>
      <c r="O46" s="77"/>
      <c r="P46" s="77"/>
      <c r="Q46" s="77"/>
      <c r="R46" s="77"/>
      <c r="S46" s="77"/>
    </row>
    <row r="47" ht="15.0" customHeight="1">
      <c r="A47" s="79"/>
      <c r="B47" s="79"/>
      <c r="C47" s="79"/>
      <c r="D47" s="79" t="s">
        <v>661</v>
      </c>
      <c r="E47" s="80" t="s">
        <v>333</v>
      </c>
      <c r="F47" s="80" t="s">
        <v>529</v>
      </c>
      <c r="G47" s="80" t="s">
        <v>662</v>
      </c>
      <c r="H47" s="80" t="s">
        <v>663</v>
      </c>
      <c r="I47" s="79" t="s">
        <v>373</v>
      </c>
      <c r="J47" s="80"/>
      <c r="K47" s="80"/>
      <c r="L47" s="80"/>
      <c r="M47" s="81" t="s">
        <v>557</v>
      </c>
      <c r="N47" s="82" t="s">
        <v>586</v>
      </c>
      <c r="O47" s="80"/>
      <c r="P47" s="80"/>
      <c r="Q47" s="80"/>
      <c r="R47" s="80"/>
      <c r="S47" s="80"/>
    </row>
    <row r="48" ht="15.0" customHeight="1">
      <c r="A48" s="68"/>
      <c r="B48" s="68"/>
      <c r="C48" s="68"/>
      <c r="D48" s="68" t="s">
        <v>664</v>
      </c>
      <c r="E48" s="77" t="s">
        <v>333</v>
      </c>
      <c r="F48" s="77" t="s">
        <v>529</v>
      </c>
      <c r="G48" s="77" t="s">
        <v>665</v>
      </c>
      <c r="H48" s="77" t="s">
        <v>666</v>
      </c>
      <c r="I48" s="68" t="s">
        <v>373</v>
      </c>
      <c r="J48" s="77"/>
      <c r="K48" s="77"/>
      <c r="L48" s="77"/>
      <c r="M48" s="77"/>
      <c r="N48" s="78" t="s">
        <v>586</v>
      </c>
      <c r="O48" s="77"/>
      <c r="P48" s="77"/>
      <c r="Q48" s="77"/>
      <c r="R48" s="77"/>
      <c r="S48" s="77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48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48">
    <cfRule type="cellIs" dxfId="10" priority="4" operator="equal">
      <formula>"OK"</formula>
    </cfRule>
  </conditionalFormatting>
  <conditionalFormatting sqref="I2:I48">
    <cfRule type="cellIs" dxfId="5" priority="5" operator="equal">
      <formula>"NOT OK"</formula>
    </cfRule>
  </conditionalFormatting>
  <conditionalFormatting sqref="I2:I48">
    <cfRule type="cellIs" dxfId="11" priority="6" operator="equal">
      <formula>"Pending"</formula>
    </cfRule>
  </conditionalFormatting>
  <conditionalFormatting sqref="I2:I48">
    <cfRule type="cellIs" dxfId="12" priority="7" operator="equal">
      <formula>"N/A"</formula>
    </cfRule>
  </conditionalFormatting>
  <conditionalFormatting sqref="A2:S48">
    <cfRule type="expression" dxfId="13" priority="8">
      <formula>$I2="NOT OK"</formula>
    </cfRule>
  </conditionalFormatting>
  <conditionalFormatting sqref="P2:P48">
    <cfRule type="cellIs" dxfId="10" priority="9" operator="equal">
      <formula>"Yes"</formula>
    </cfRule>
  </conditionalFormatting>
  <conditionalFormatting sqref="P2:P48">
    <cfRule type="cellIs" dxfId="11" priority="10" operator="equal">
      <formula>"In Progress"</formula>
    </cfRule>
  </conditionalFormatting>
  <conditionalFormatting sqref="P2:P48">
    <cfRule type="cellIs" dxfId="5" priority="11" operator="equal">
      <formula>"No"</formula>
    </cfRule>
  </conditionalFormatting>
  <conditionalFormatting sqref="O2:O48">
    <cfRule type="expression" dxfId="14" priority="12">
      <formula>AND($I2="NOT OK",O2="")</formula>
    </cfRule>
  </conditionalFormatting>
  <dataValidations>
    <dataValidation type="list" allowBlank="1" sqref="P2:P48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48">
      <formula1>CONFIG!$D$2:$D$5</formula1>
    </dataValidation>
    <dataValidation type="list" allowBlank="1" sqref="B2:B1000">
      <formula1>CONFIG!$B$2:$B$44</formula1>
    </dataValidation>
  </dataValidations>
  <hyperlinks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4"/>
    <hyperlink r:id="rId12" ref="M21"/>
    <hyperlink r:id="rId13" ref="M22"/>
    <hyperlink r:id="rId14" ref="M23"/>
    <hyperlink r:id="rId15" ref="M24"/>
    <hyperlink r:id="rId16" ref="M25"/>
    <hyperlink r:id="rId17" ref="M26"/>
    <hyperlink r:id="rId18" ref="M27"/>
    <hyperlink r:id="rId19" ref="M28"/>
    <hyperlink r:id="rId20" ref="M29"/>
    <hyperlink r:id="rId21" ref="M30"/>
    <hyperlink r:id="rId22" ref="M31"/>
    <hyperlink r:id="rId23" ref="M32"/>
    <hyperlink r:id="rId24" ref="M33"/>
    <hyperlink r:id="rId25" ref="M34"/>
    <hyperlink r:id="rId26" ref="M35"/>
    <hyperlink r:id="rId27" ref="M36"/>
    <hyperlink r:id="rId28" ref="M37"/>
    <hyperlink r:id="rId29" ref="M47"/>
  </hyperlinks>
  <printOptions/>
  <pageMargins bottom="1.0" footer="0.0" header="0.0" left="0.75" right="0.75" top="1.0"/>
  <pageSetup paperSize="9" orientation="portrait"/>
  <drawing r:id="rId30"/>
  <legacy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23.25" customHeight="1">
      <c r="A2" s="68"/>
      <c r="B2" s="68"/>
      <c r="C2" s="68"/>
      <c r="D2" s="68" t="s">
        <v>667</v>
      </c>
      <c r="E2" s="77" t="s">
        <v>382</v>
      </c>
      <c r="F2" s="77" t="s">
        <v>668</v>
      </c>
      <c r="G2" s="77" t="s">
        <v>669</v>
      </c>
      <c r="H2" s="77" t="s">
        <v>670</v>
      </c>
      <c r="I2" s="68" t="s">
        <v>373</v>
      </c>
      <c r="J2" s="77"/>
      <c r="K2" s="77"/>
      <c r="L2" s="77"/>
      <c r="M2" s="81" t="s">
        <v>585</v>
      </c>
      <c r="N2" s="78" t="s">
        <v>538</v>
      </c>
      <c r="O2" s="77"/>
      <c r="P2" s="77"/>
      <c r="Q2" s="77"/>
      <c r="R2" s="77"/>
      <c r="S2" s="77"/>
    </row>
    <row r="3" ht="23.25" customHeight="1">
      <c r="A3" s="79"/>
      <c r="B3" s="79"/>
      <c r="C3" s="79"/>
      <c r="D3" s="79" t="s">
        <v>671</v>
      </c>
      <c r="E3" s="80" t="s">
        <v>382</v>
      </c>
      <c r="F3" s="80" t="s">
        <v>668</v>
      </c>
      <c r="G3" s="80" t="s">
        <v>672</v>
      </c>
      <c r="H3" s="80" t="s">
        <v>536</v>
      </c>
      <c r="I3" s="79" t="s">
        <v>373</v>
      </c>
      <c r="J3" s="80"/>
      <c r="K3" s="80"/>
      <c r="L3" s="80"/>
      <c r="M3" s="81" t="s">
        <v>585</v>
      </c>
      <c r="N3" s="82" t="s">
        <v>538</v>
      </c>
      <c r="O3" s="80"/>
      <c r="P3" s="80"/>
      <c r="Q3" s="80"/>
      <c r="R3" s="80"/>
      <c r="S3" s="80"/>
    </row>
    <row r="4" ht="23.25" customHeight="1">
      <c r="A4" s="68"/>
      <c r="B4" s="68"/>
      <c r="C4" s="68"/>
      <c r="D4" s="68" t="s">
        <v>673</v>
      </c>
      <c r="E4" s="77" t="s">
        <v>382</v>
      </c>
      <c r="F4" s="77" t="s">
        <v>668</v>
      </c>
      <c r="G4" s="77" t="s">
        <v>674</v>
      </c>
      <c r="H4" s="77" t="s">
        <v>675</v>
      </c>
      <c r="I4" s="68" t="s">
        <v>373</v>
      </c>
      <c r="J4" s="77"/>
      <c r="K4" s="77"/>
      <c r="L4" s="77"/>
      <c r="M4" s="81" t="s">
        <v>585</v>
      </c>
      <c r="N4" s="78" t="s">
        <v>538</v>
      </c>
      <c r="O4" s="77"/>
      <c r="P4" s="77"/>
      <c r="Q4" s="77"/>
      <c r="R4" s="77"/>
      <c r="S4" s="77"/>
    </row>
    <row r="5" ht="23.25" customHeight="1">
      <c r="A5" s="79"/>
      <c r="B5" s="79"/>
      <c r="C5" s="79"/>
      <c r="D5" s="79" t="s">
        <v>676</v>
      </c>
      <c r="E5" s="80" t="s">
        <v>382</v>
      </c>
      <c r="F5" s="80" t="s">
        <v>668</v>
      </c>
      <c r="G5" s="80" t="s">
        <v>677</v>
      </c>
      <c r="H5" s="80" t="s">
        <v>536</v>
      </c>
      <c r="I5" s="79" t="s">
        <v>373</v>
      </c>
      <c r="J5" s="80"/>
      <c r="K5" s="80"/>
      <c r="L5" s="80"/>
      <c r="M5" s="81" t="s">
        <v>585</v>
      </c>
      <c r="N5" s="82" t="s">
        <v>538</v>
      </c>
      <c r="O5" s="80"/>
      <c r="P5" s="80"/>
      <c r="Q5" s="80"/>
      <c r="R5" s="80"/>
      <c r="S5" s="80"/>
    </row>
    <row r="6" ht="23.25" customHeight="1">
      <c r="A6" s="68"/>
      <c r="B6" s="68"/>
      <c r="C6" s="68"/>
      <c r="D6" s="68" t="s">
        <v>678</v>
      </c>
      <c r="E6" s="77" t="s">
        <v>382</v>
      </c>
      <c r="F6" s="77" t="s">
        <v>668</v>
      </c>
      <c r="G6" s="77" t="s">
        <v>679</v>
      </c>
      <c r="H6" s="77" t="s">
        <v>536</v>
      </c>
      <c r="I6" s="68" t="s">
        <v>373</v>
      </c>
      <c r="J6" s="77"/>
      <c r="K6" s="77"/>
      <c r="L6" s="77"/>
      <c r="M6" s="81" t="s">
        <v>585</v>
      </c>
      <c r="N6" s="78" t="s">
        <v>538</v>
      </c>
      <c r="O6" s="77"/>
      <c r="P6" s="77"/>
      <c r="Q6" s="77"/>
      <c r="R6" s="77"/>
      <c r="S6" s="77"/>
    </row>
    <row r="7" ht="23.25" customHeight="1">
      <c r="A7" s="79"/>
      <c r="B7" s="79"/>
      <c r="C7" s="79"/>
      <c r="D7" s="79" t="s">
        <v>680</v>
      </c>
      <c r="E7" s="80" t="s">
        <v>382</v>
      </c>
      <c r="F7" s="80" t="s">
        <v>668</v>
      </c>
      <c r="G7" s="80" t="s">
        <v>681</v>
      </c>
      <c r="H7" s="80" t="s">
        <v>536</v>
      </c>
      <c r="I7" s="79" t="s">
        <v>373</v>
      </c>
      <c r="J7" s="80"/>
      <c r="K7" s="80"/>
      <c r="L7" s="80"/>
      <c r="M7" s="81" t="s">
        <v>585</v>
      </c>
      <c r="N7" s="82" t="s">
        <v>538</v>
      </c>
      <c r="O7" s="80"/>
      <c r="P7" s="80"/>
      <c r="Q7" s="80"/>
      <c r="R7" s="80"/>
      <c r="S7" s="80"/>
    </row>
    <row r="8" ht="23.25" customHeight="1">
      <c r="A8" s="68"/>
      <c r="B8" s="68"/>
      <c r="C8" s="68"/>
      <c r="D8" s="68" t="s">
        <v>682</v>
      </c>
      <c r="E8" s="77" t="s">
        <v>382</v>
      </c>
      <c r="F8" s="77" t="s">
        <v>668</v>
      </c>
      <c r="G8" s="77" t="s">
        <v>683</v>
      </c>
      <c r="H8" s="77" t="s">
        <v>684</v>
      </c>
      <c r="I8" s="68" t="s">
        <v>373</v>
      </c>
      <c r="J8" s="77"/>
      <c r="K8" s="77"/>
      <c r="L8" s="77"/>
      <c r="M8" s="81" t="s">
        <v>585</v>
      </c>
      <c r="N8" s="78" t="s">
        <v>538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685</v>
      </c>
      <c r="E9" s="80" t="s">
        <v>382</v>
      </c>
      <c r="F9" s="80" t="s">
        <v>668</v>
      </c>
      <c r="G9" s="80" t="s">
        <v>686</v>
      </c>
      <c r="H9" s="80" t="s">
        <v>687</v>
      </c>
      <c r="I9" s="79" t="s">
        <v>373</v>
      </c>
      <c r="J9" s="80"/>
      <c r="K9" s="80"/>
      <c r="L9" s="80"/>
      <c r="M9" s="81" t="s">
        <v>585</v>
      </c>
      <c r="N9" s="82" t="s">
        <v>538</v>
      </c>
      <c r="O9" s="80"/>
      <c r="P9" s="80"/>
      <c r="Q9" s="80"/>
      <c r="R9" s="80"/>
      <c r="S9" s="80"/>
    </row>
    <row r="10" ht="23.25" customHeight="1">
      <c r="A10" s="68"/>
      <c r="B10" s="68"/>
      <c r="C10" s="68"/>
      <c r="D10" s="68" t="s">
        <v>688</v>
      </c>
      <c r="E10" s="77" t="s">
        <v>382</v>
      </c>
      <c r="F10" s="77" t="s">
        <v>689</v>
      </c>
      <c r="G10" s="77" t="s">
        <v>690</v>
      </c>
      <c r="H10" s="77" t="s">
        <v>536</v>
      </c>
      <c r="I10" s="68" t="s">
        <v>373</v>
      </c>
      <c r="J10" s="77"/>
      <c r="K10" s="77"/>
      <c r="L10" s="77"/>
      <c r="M10" s="81" t="s">
        <v>585</v>
      </c>
      <c r="N10" s="78" t="s">
        <v>538</v>
      </c>
      <c r="O10" s="77"/>
      <c r="P10" s="77"/>
      <c r="Q10" s="77"/>
      <c r="R10" s="77"/>
      <c r="S10" s="77"/>
    </row>
    <row r="11" ht="23.25" customHeight="1">
      <c r="A11" s="79"/>
      <c r="B11" s="79"/>
      <c r="C11" s="79"/>
      <c r="D11" s="79" t="s">
        <v>691</v>
      </c>
      <c r="E11" s="80" t="s">
        <v>382</v>
      </c>
      <c r="F11" s="80" t="s">
        <v>689</v>
      </c>
      <c r="G11" s="80" t="s">
        <v>692</v>
      </c>
      <c r="H11" s="80" t="s">
        <v>536</v>
      </c>
      <c r="I11" s="79" t="s">
        <v>373</v>
      </c>
      <c r="J11" s="80"/>
      <c r="K11" s="80"/>
      <c r="L11" s="80"/>
      <c r="M11" s="81" t="s">
        <v>585</v>
      </c>
      <c r="N11" s="82" t="s">
        <v>538</v>
      </c>
      <c r="O11" s="80"/>
      <c r="P11" s="80"/>
      <c r="Q11" s="80"/>
      <c r="R11" s="80"/>
      <c r="S11" s="80"/>
    </row>
    <row r="12" ht="23.25" customHeight="1">
      <c r="A12" s="68"/>
      <c r="B12" s="68"/>
      <c r="C12" s="68"/>
      <c r="D12" s="68" t="s">
        <v>693</v>
      </c>
      <c r="E12" s="77" t="s">
        <v>382</v>
      </c>
      <c r="F12" s="77" t="s">
        <v>689</v>
      </c>
      <c r="G12" s="77" t="s">
        <v>694</v>
      </c>
      <c r="H12" s="77" t="s">
        <v>687</v>
      </c>
      <c r="I12" s="68" t="s">
        <v>373</v>
      </c>
      <c r="J12" s="77"/>
      <c r="K12" s="77"/>
      <c r="L12" s="77"/>
      <c r="M12" s="81" t="s">
        <v>585</v>
      </c>
      <c r="N12" s="78" t="s">
        <v>538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695</v>
      </c>
      <c r="E13" s="80" t="s">
        <v>382</v>
      </c>
      <c r="F13" s="80" t="s">
        <v>689</v>
      </c>
      <c r="G13" s="80" t="s">
        <v>696</v>
      </c>
      <c r="H13" s="80" t="s">
        <v>573</v>
      </c>
      <c r="I13" s="79" t="s">
        <v>373</v>
      </c>
      <c r="J13" s="80"/>
      <c r="K13" s="80"/>
      <c r="L13" s="80"/>
      <c r="M13" s="81" t="s">
        <v>585</v>
      </c>
      <c r="N13" s="82" t="s">
        <v>538</v>
      </c>
      <c r="O13" s="80"/>
      <c r="P13" s="80"/>
      <c r="Q13" s="80"/>
      <c r="R13" s="80"/>
      <c r="S13" s="80"/>
    </row>
    <row r="14" ht="23.25" customHeight="1">
      <c r="A14" s="68"/>
      <c r="B14" s="68"/>
      <c r="C14" s="68"/>
      <c r="D14" s="68" t="s">
        <v>697</v>
      </c>
      <c r="E14" s="77" t="s">
        <v>382</v>
      </c>
      <c r="F14" s="77" t="s">
        <v>689</v>
      </c>
      <c r="G14" s="77" t="s">
        <v>698</v>
      </c>
      <c r="H14" s="77" t="s">
        <v>536</v>
      </c>
      <c r="I14" s="68" t="s">
        <v>373</v>
      </c>
      <c r="J14" s="77"/>
      <c r="K14" s="77"/>
      <c r="L14" s="77"/>
      <c r="M14" s="81" t="s">
        <v>585</v>
      </c>
      <c r="N14" s="78" t="s">
        <v>538</v>
      </c>
      <c r="O14" s="77"/>
      <c r="P14" s="77"/>
      <c r="Q14" s="77"/>
      <c r="R14" s="77"/>
      <c r="S14" s="77"/>
    </row>
    <row r="15" ht="23.25" customHeight="1">
      <c r="A15" s="79"/>
      <c r="B15" s="79"/>
      <c r="C15" s="79"/>
      <c r="D15" s="79" t="s">
        <v>699</v>
      </c>
      <c r="E15" s="80" t="s">
        <v>382</v>
      </c>
      <c r="F15" s="80" t="s">
        <v>689</v>
      </c>
      <c r="G15" s="80" t="s">
        <v>700</v>
      </c>
      <c r="H15" s="80" t="s">
        <v>536</v>
      </c>
      <c r="I15" s="79" t="s">
        <v>373</v>
      </c>
      <c r="J15" s="80"/>
      <c r="K15" s="80"/>
      <c r="L15" s="80"/>
      <c r="M15" s="81" t="s">
        <v>585</v>
      </c>
      <c r="N15" s="82" t="s">
        <v>538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701</v>
      </c>
      <c r="E16" s="77" t="s">
        <v>382</v>
      </c>
      <c r="F16" s="77" t="s">
        <v>689</v>
      </c>
      <c r="G16" s="77" t="s">
        <v>702</v>
      </c>
      <c r="H16" s="77" t="s">
        <v>703</v>
      </c>
      <c r="I16" s="68" t="s">
        <v>373</v>
      </c>
      <c r="J16" s="77"/>
      <c r="K16" s="77"/>
      <c r="L16" s="77"/>
      <c r="M16" s="81" t="s">
        <v>585</v>
      </c>
      <c r="N16" s="78" t="s">
        <v>538</v>
      </c>
      <c r="O16" s="77"/>
      <c r="P16" s="77"/>
      <c r="Q16" s="77"/>
      <c r="R16" s="77"/>
      <c r="S16" s="77"/>
    </row>
    <row r="17" ht="23.25" customHeight="1">
      <c r="A17" s="79"/>
      <c r="B17" s="79"/>
      <c r="C17" s="79"/>
      <c r="D17" s="79" t="s">
        <v>704</v>
      </c>
      <c r="E17" s="80" t="s">
        <v>382</v>
      </c>
      <c r="F17" s="80" t="s">
        <v>689</v>
      </c>
      <c r="G17" s="80" t="s">
        <v>705</v>
      </c>
      <c r="H17" s="80" t="s">
        <v>706</v>
      </c>
      <c r="I17" s="79" t="s">
        <v>373</v>
      </c>
      <c r="J17" s="80"/>
      <c r="K17" s="80"/>
      <c r="L17" s="80"/>
      <c r="M17" s="81" t="s">
        <v>585</v>
      </c>
      <c r="N17" s="82" t="s">
        <v>538</v>
      </c>
      <c r="O17" s="80"/>
      <c r="P17" s="80"/>
      <c r="Q17" s="80"/>
      <c r="R17" s="80"/>
      <c r="S17" s="80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17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17">
    <cfRule type="cellIs" dxfId="10" priority="4" operator="equal">
      <formula>"OK"</formula>
    </cfRule>
  </conditionalFormatting>
  <conditionalFormatting sqref="I2:I17">
    <cfRule type="cellIs" dxfId="5" priority="5" operator="equal">
      <formula>"NOT OK"</formula>
    </cfRule>
  </conditionalFormatting>
  <conditionalFormatting sqref="I2:I17">
    <cfRule type="cellIs" dxfId="11" priority="6" operator="equal">
      <formula>"Pending"</formula>
    </cfRule>
  </conditionalFormatting>
  <conditionalFormatting sqref="I2:I17">
    <cfRule type="cellIs" dxfId="12" priority="7" operator="equal">
      <formula>"N/A"</formula>
    </cfRule>
  </conditionalFormatting>
  <conditionalFormatting sqref="A2:S17">
    <cfRule type="expression" dxfId="13" priority="8">
      <formula>$I2="NOT OK"</formula>
    </cfRule>
  </conditionalFormatting>
  <conditionalFormatting sqref="P2:P17">
    <cfRule type="cellIs" dxfId="10" priority="9" operator="equal">
      <formula>"Yes"</formula>
    </cfRule>
  </conditionalFormatting>
  <conditionalFormatting sqref="P2:P17">
    <cfRule type="cellIs" dxfId="11" priority="10" operator="equal">
      <formula>"In Progress"</formula>
    </cfRule>
  </conditionalFormatting>
  <conditionalFormatting sqref="P2:P17">
    <cfRule type="cellIs" dxfId="5" priority="11" operator="equal">
      <formula>"No"</formula>
    </cfRule>
  </conditionalFormatting>
  <conditionalFormatting sqref="O2:O17">
    <cfRule type="expression" dxfId="14" priority="12">
      <formula>AND($I2="NOT OK",O2="")</formula>
    </cfRule>
  </conditionalFormatting>
  <dataValidations>
    <dataValidation type="list" allowBlank="1" sqref="P2:P17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17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</hyperlinks>
  <printOptions/>
  <pageMargins bottom="1.0" footer="0.0" header="0.0" left="0.75" right="0.75" top="1.0"/>
  <pageSetup paperSize="9" orientation="portrait"/>
  <drawing r:id="rId18"/>
  <legacy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23.25" customHeight="1">
      <c r="A2" s="68"/>
      <c r="B2" s="68"/>
      <c r="C2" s="68"/>
      <c r="D2" s="68" t="s">
        <v>707</v>
      </c>
      <c r="E2" s="77" t="s">
        <v>365</v>
      </c>
      <c r="F2" s="77" t="s">
        <v>708</v>
      </c>
      <c r="G2" s="77" t="s">
        <v>709</v>
      </c>
      <c r="H2" s="77" t="s">
        <v>670</v>
      </c>
      <c r="I2" s="68" t="s">
        <v>373</v>
      </c>
      <c r="J2" s="77"/>
      <c r="K2" s="77"/>
      <c r="L2" s="77"/>
      <c r="M2" s="77"/>
      <c r="N2" s="78" t="s">
        <v>538</v>
      </c>
      <c r="O2" s="77"/>
      <c r="P2" s="77"/>
      <c r="Q2" s="77"/>
      <c r="R2" s="77"/>
      <c r="S2" s="77"/>
    </row>
    <row r="3" ht="23.25" customHeight="1">
      <c r="A3" s="79"/>
      <c r="B3" s="79"/>
      <c r="C3" s="79"/>
      <c r="D3" s="79" t="s">
        <v>710</v>
      </c>
      <c r="E3" s="80" t="s">
        <v>365</v>
      </c>
      <c r="F3" s="80" t="s">
        <v>708</v>
      </c>
      <c r="G3" s="80" t="s">
        <v>711</v>
      </c>
      <c r="H3" s="80" t="s">
        <v>536</v>
      </c>
      <c r="I3" s="79" t="s">
        <v>373</v>
      </c>
      <c r="J3" s="80"/>
      <c r="K3" s="80"/>
      <c r="L3" s="80"/>
      <c r="M3" s="80"/>
      <c r="N3" s="82" t="s">
        <v>538</v>
      </c>
      <c r="O3" s="80"/>
      <c r="P3" s="80"/>
      <c r="Q3" s="80"/>
      <c r="R3" s="80"/>
      <c r="S3" s="80"/>
    </row>
    <row r="4" ht="23.25" customHeight="1">
      <c r="A4" s="68"/>
      <c r="B4" s="68"/>
      <c r="C4" s="68"/>
      <c r="D4" s="68" t="s">
        <v>712</v>
      </c>
      <c r="E4" s="77" t="s">
        <v>365</v>
      </c>
      <c r="F4" s="77" t="s">
        <v>708</v>
      </c>
      <c r="G4" s="77" t="s">
        <v>713</v>
      </c>
      <c r="H4" s="77" t="s">
        <v>536</v>
      </c>
      <c r="I4" s="68" t="s">
        <v>373</v>
      </c>
      <c r="J4" s="77"/>
      <c r="K4" s="77"/>
      <c r="L4" s="77"/>
      <c r="M4" s="77"/>
      <c r="N4" s="78" t="s">
        <v>538</v>
      </c>
      <c r="O4" s="77"/>
      <c r="P4" s="77"/>
      <c r="Q4" s="77"/>
      <c r="R4" s="77"/>
      <c r="S4" s="77"/>
    </row>
    <row r="5" ht="23.25" customHeight="1">
      <c r="A5" s="79"/>
      <c r="B5" s="79"/>
      <c r="C5" s="79"/>
      <c r="D5" s="79" t="s">
        <v>714</v>
      </c>
      <c r="E5" s="80" t="s">
        <v>365</v>
      </c>
      <c r="F5" s="80" t="s">
        <v>708</v>
      </c>
      <c r="G5" s="80" t="s">
        <v>715</v>
      </c>
      <c r="H5" s="80" t="s">
        <v>573</v>
      </c>
      <c r="I5" s="79" t="s">
        <v>373</v>
      </c>
      <c r="J5" s="80"/>
      <c r="K5" s="80"/>
      <c r="L5" s="80"/>
      <c r="M5" s="80"/>
      <c r="N5" s="82" t="s">
        <v>538</v>
      </c>
      <c r="O5" s="80"/>
      <c r="P5" s="80"/>
      <c r="Q5" s="80"/>
      <c r="R5" s="80"/>
      <c r="S5" s="80"/>
    </row>
    <row r="6" ht="23.25" customHeight="1">
      <c r="A6" s="68"/>
      <c r="B6" s="68"/>
      <c r="C6" s="68"/>
      <c r="D6" s="68" t="s">
        <v>716</v>
      </c>
      <c r="E6" s="77" t="s">
        <v>365</v>
      </c>
      <c r="F6" s="77" t="s">
        <v>708</v>
      </c>
      <c r="G6" s="77" t="s">
        <v>717</v>
      </c>
      <c r="H6" s="77" t="s">
        <v>536</v>
      </c>
      <c r="I6" s="68" t="s">
        <v>373</v>
      </c>
      <c r="J6" s="77"/>
      <c r="K6" s="77"/>
      <c r="L6" s="77"/>
      <c r="M6" s="77"/>
      <c r="N6" s="78" t="s">
        <v>538</v>
      </c>
      <c r="O6" s="77"/>
      <c r="P6" s="77"/>
      <c r="Q6" s="77"/>
      <c r="R6" s="77"/>
      <c r="S6" s="77"/>
    </row>
    <row r="7" ht="23.25" customHeight="1">
      <c r="A7" s="79"/>
      <c r="B7" s="79"/>
      <c r="C7" s="79"/>
      <c r="D7" s="79" t="s">
        <v>718</v>
      </c>
      <c r="E7" s="80" t="s">
        <v>365</v>
      </c>
      <c r="F7" s="80" t="s">
        <v>708</v>
      </c>
      <c r="G7" s="80" t="s">
        <v>719</v>
      </c>
      <c r="H7" s="80" t="s">
        <v>536</v>
      </c>
      <c r="I7" s="79" t="s">
        <v>373</v>
      </c>
      <c r="J7" s="80"/>
      <c r="K7" s="80"/>
      <c r="L7" s="80"/>
      <c r="M7" s="80"/>
      <c r="N7" s="82" t="s">
        <v>538</v>
      </c>
      <c r="O7" s="80"/>
      <c r="P7" s="80"/>
      <c r="Q7" s="80"/>
      <c r="R7" s="80"/>
      <c r="S7" s="80"/>
    </row>
    <row r="8" ht="23.25" customHeight="1">
      <c r="A8" s="68"/>
      <c r="B8" s="68"/>
      <c r="C8" s="68"/>
      <c r="D8" s="68" t="s">
        <v>720</v>
      </c>
      <c r="E8" s="77" t="s">
        <v>365</v>
      </c>
      <c r="F8" s="77" t="s">
        <v>708</v>
      </c>
      <c r="G8" s="77" t="s">
        <v>721</v>
      </c>
      <c r="H8" s="77" t="s">
        <v>722</v>
      </c>
      <c r="I8" s="68" t="s">
        <v>373</v>
      </c>
      <c r="J8" s="77"/>
      <c r="K8" s="77"/>
      <c r="L8" s="77"/>
      <c r="M8" s="77"/>
      <c r="N8" s="78" t="s">
        <v>538</v>
      </c>
      <c r="O8" s="77"/>
      <c r="P8" s="77"/>
      <c r="Q8" s="77"/>
      <c r="R8" s="77"/>
      <c r="S8" s="77"/>
    </row>
    <row r="9" ht="23.25" customHeight="1">
      <c r="A9" s="79"/>
      <c r="B9" s="79"/>
      <c r="C9" s="79"/>
      <c r="D9" s="79" t="s">
        <v>723</v>
      </c>
      <c r="E9" s="80" t="s">
        <v>365</v>
      </c>
      <c r="F9" s="80" t="s">
        <v>708</v>
      </c>
      <c r="G9" s="80" t="s">
        <v>724</v>
      </c>
      <c r="H9" s="80" t="s">
        <v>536</v>
      </c>
      <c r="I9" s="79" t="s">
        <v>373</v>
      </c>
      <c r="J9" s="80"/>
      <c r="K9" s="80"/>
      <c r="L9" s="80"/>
      <c r="M9" s="80"/>
      <c r="N9" s="82" t="s">
        <v>538</v>
      </c>
      <c r="O9" s="80"/>
      <c r="P9" s="80"/>
      <c r="Q9" s="80"/>
      <c r="R9" s="80"/>
      <c r="S9" s="80"/>
    </row>
    <row r="10" ht="23.25" customHeight="1">
      <c r="A10" s="68"/>
      <c r="B10" s="68"/>
      <c r="C10" s="68"/>
      <c r="D10" s="68" t="s">
        <v>725</v>
      </c>
      <c r="E10" s="77" t="s">
        <v>365</v>
      </c>
      <c r="F10" s="77" t="s">
        <v>708</v>
      </c>
      <c r="G10" s="77" t="s">
        <v>726</v>
      </c>
      <c r="H10" s="77" t="s">
        <v>536</v>
      </c>
      <c r="I10" s="68" t="s">
        <v>373</v>
      </c>
      <c r="J10" s="77"/>
      <c r="K10" s="77"/>
      <c r="L10" s="77"/>
      <c r="M10" s="77"/>
      <c r="N10" s="78" t="s">
        <v>538</v>
      </c>
      <c r="O10" s="77"/>
      <c r="P10" s="77"/>
      <c r="Q10" s="77"/>
      <c r="R10" s="77"/>
      <c r="S10" s="77"/>
    </row>
    <row r="11" ht="23.25" customHeight="1">
      <c r="A11" s="79"/>
      <c r="B11" s="79"/>
      <c r="C11" s="79"/>
      <c r="D11" s="79" t="s">
        <v>727</v>
      </c>
      <c r="E11" s="80" t="s">
        <v>365</v>
      </c>
      <c r="F11" s="80" t="s">
        <v>708</v>
      </c>
      <c r="G11" s="80" t="s">
        <v>728</v>
      </c>
      <c r="H11" s="80" t="s">
        <v>536</v>
      </c>
      <c r="I11" s="79" t="s">
        <v>373</v>
      </c>
      <c r="J11" s="80"/>
      <c r="K11" s="80"/>
      <c r="L11" s="80"/>
      <c r="M11" s="80"/>
      <c r="N11" s="82" t="s">
        <v>538</v>
      </c>
      <c r="O11" s="80"/>
      <c r="P11" s="80"/>
      <c r="Q11" s="80"/>
      <c r="R11" s="80"/>
      <c r="S11" s="80"/>
    </row>
    <row r="12" ht="23.25" customHeight="1">
      <c r="A12" s="68"/>
      <c r="B12" s="68"/>
      <c r="C12" s="68"/>
      <c r="D12" s="68" t="s">
        <v>729</v>
      </c>
      <c r="E12" s="77" t="s">
        <v>365</v>
      </c>
      <c r="F12" s="77" t="s">
        <v>708</v>
      </c>
      <c r="G12" s="77" t="s">
        <v>730</v>
      </c>
      <c r="H12" s="77" t="s">
        <v>731</v>
      </c>
      <c r="I12" s="68" t="s">
        <v>373</v>
      </c>
      <c r="J12" s="77"/>
      <c r="K12" s="77"/>
      <c r="L12" s="77"/>
      <c r="M12" s="77"/>
      <c r="N12" s="78" t="s">
        <v>538</v>
      </c>
      <c r="O12" s="77"/>
      <c r="P12" s="77"/>
      <c r="Q12" s="77"/>
      <c r="R12" s="77"/>
      <c r="S12" s="77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12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12">
    <cfRule type="cellIs" dxfId="10" priority="4" operator="equal">
      <formula>"OK"</formula>
    </cfRule>
  </conditionalFormatting>
  <conditionalFormatting sqref="I2:I12">
    <cfRule type="cellIs" dxfId="5" priority="5" operator="equal">
      <formula>"NOT OK"</formula>
    </cfRule>
  </conditionalFormatting>
  <conditionalFormatting sqref="I2:I12">
    <cfRule type="cellIs" dxfId="11" priority="6" operator="equal">
      <formula>"Pending"</formula>
    </cfRule>
  </conditionalFormatting>
  <conditionalFormatting sqref="I2:I12">
    <cfRule type="cellIs" dxfId="12" priority="7" operator="equal">
      <formula>"N/A"</formula>
    </cfRule>
  </conditionalFormatting>
  <conditionalFormatting sqref="A2:S12">
    <cfRule type="expression" dxfId="13" priority="8">
      <formula>$I2="NOT OK"</formula>
    </cfRule>
  </conditionalFormatting>
  <conditionalFormatting sqref="P2:P12">
    <cfRule type="cellIs" dxfId="10" priority="9" operator="equal">
      <formula>"Yes"</formula>
    </cfRule>
  </conditionalFormatting>
  <conditionalFormatting sqref="P2:P12">
    <cfRule type="cellIs" dxfId="11" priority="10" operator="equal">
      <formula>"In Progress"</formula>
    </cfRule>
  </conditionalFormatting>
  <conditionalFormatting sqref="P2:P12">
    <cfRule type="cellIs" dxfId="5" priority="11" operator="equal">
      <formula>"No"</formula>
    </cfRule>
  </conditionalFormatting>
  <conditionalFormatting sqref="O2:O12">
    <cfRule type="expression" dxfId="14" priority="12">
      <formula>AND($I2="NOT OK",O2="")</formula>
    </cfRule>
  </conditionalFormatting>
  <dataValidations>
    <dataValidation type="list" allowBlank="1" sqref="P2:P12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12">
      <formula1>CONFIG!$D$2:$D$5</formula1>
    </dataValidation>
    <dataValidation type="list" allowBlank="1" sqref="B2:B1000">
      <formula1>CONFIG!$B$2:$B$44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732</v>
      </c>
      <c r="E2" s="77" t="s">
        <v>415</v>
      </c>
      <c r="F2" s="77" t="s">
        <v>733</v>
      </c>
      <c r="G2" s="77" t="s">
        <v>734</v>
      </c>
      <c r="H2" s="77" t="s">
        <v>735</v>
      </c>
      <c r="I2" s="68" t="s">
        <v>373</v>
      </c>
      <c r="J2" s="77"/>
      <c r="K2" s="77"/>
      <c r="L2" s="77"/>
      <c r="M2" s="81" t="s">
        <v>585</v>
      </c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736</v>
      </c>
      <c r="E3" s="80" t="s">
        <v>415</v>
      </c>
      <c r="F3" s="80" t="s">
        <v>733</v>
      </c>
      <c r="G3" s="80" t="s">
        <v>737</v>
      </c>
      <c r="H3" s="80" t="s">
        <v>738</v>
      </c>
      <c r="I3" s="79" t="s">
        <v>373</v>
      </c>
      <c r="J3" s="80"/>
      <c r="K3" s="80"/>
      <c r="L3" s="80"/>
      <c r="M3" s="81" t="s">
        <v>585</v>
      </c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739</v>
      </c>
      <c r="E4" s="77" t="s">
        <v>415</v>
      </c>
      <c r="F4" s="77" t="s">
        <v>733</v>
      </c>
      <c r="G4" s="77" t="s">
        <v>740</v>
      </c>
      <c r="H4" s="77" t="s">
        <v>741</v>
      </c>
      <c r="I4" s="68" t="s">
        <v>373</v>
      </c>
      <c r="J4" s="77"/>
      <c r="K4" s="77"/>
      <c r="L4" s="77"/>
      <c r="M4" s="81" t="s">
        <v>585</v>
      </c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742</v>
      </c>
      <c r="E5" s="80" t="s">
        <v>415</v>
      </c>
      <c r="F5" s="80" t="s">
        <v>733</v>
      </c>
      <c r="G5" s="80" t="s">
        <v>743</v>
      </c>
      <c r="H5" s="80" t="s">
        <v>744</v>
      </c>
      <c r="I5" s="79" t="s">
        <v>373</v>
      </c>
      <c r="J5" s="80"/>
      <c r="K5" s="80"/>
      <c r="L5" s="80"/>
      <c r="M5" s="81" t="s">
        <v>585</v>
      </c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745</v>
      </c>
      <c r="E6" s="77" t="s">
        <v>415</v>
      </c>
      <c r="F6" s="77" t="s">
        <v>733</v>
      </c>
      <c r="G6" s="77" t="s">
        <v>746</v>
      </c>
      <c r="H6" s="77" t="s">
        <v>747</v>
      </c>
      <c r="I6" s="68" t="s">
        <v>373</v>
      </c>
      <c r="J6" s="77"/>
      <c r="K6" s="77"/>
      <c r="L6" s="77"/>
      <c r="M6" s="81" t="s">
        <v>585</v>
      </c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748</v>
      </c>
      <c r="E7" s="80" t="s">
        <v>415</v>
      </c>
      <c r="F7" s="80" t="s">
        <v>733</v>
      </c>
      <c r="G7" s="80" t="s">
        <v>749</v>
      </c>
      <c r="H7" s="80" t="s">
        <v>750</v>
      </c>
      <c r="I7" s="79" t="s">
        <v>373</v>
      </c>
      <c r="J7" s="80"/>
      <c r="K7" s="80"/>
      <c r="L7" s="80"/>
      <c r="M7" s="81" t="s">
        <v>585</v>
      </c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751</v>
      </c>
      <c r="E8" s="77" t="s">
        <v>415</v>
      </c>
      <c r="F8" s="77" t="s">
        <v>752</v>
      </c>
      <c r="G8" s="77" t="s">
        <v>753</v>
      </c>
      <c r="H8" s="77" t="s">
        <v>754</v>
      </c>
      <c r="I8" s="68" t="s">
        <v>373</v>
      </c>
      <c r="J8" s="77"/>
      <c r="K8" s="77"/>
      <c r="L8" s="77"/>
      <c r="M8" s="81" t="s">
        <v>585</v>
      </c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755</v>
      </c>
      <c r="E9" s="80" t="s">
        <v>415</v>
      </c>
      <c r="F9" s="80" t="s">
        <v>752</v>
      </c>
      <c r="G9" s="80" t="s">
        <v>756</v>
      </c>
      <c r="H9" s="80" t="s">
        <v>757</v>
      </c>
      <c r="I9" s="79" t="s">
        <v>373</v>
      </c>
      <c r="J9" s="80"/>
      <c r="K9" s="80"/>
      <c r="L9" s="80"/>
      <c r="M9" s="81" t="s">
        <v>585</v>
      </c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758</v>
      </c>
      <c r="E10" s="77" t="s">
        <v>415</v>
      </c>
      <c r="F10" s="77" t="s">
        <v>752</v>
      </c>
      <c r="G10" s="77" t="s">
        <v>759</v>
      </c>
      <c r="H10" s="77" t="s">
        <v>760</v>
      </c>
      <c r="I10" s="68" t="s">
        <v>373</v>
      </c>
      <c r="J10" s="77"/>
      <c r="K10" s="77"/>
      <c r="L10" s="77"/>
      <c r="M10" s="81" t="s">
        <v>585</v>
      </c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761</v>
      </c>
      <c r="E11" s="80" t="s">
        <v>415</v>
      </c>
      <c r="F11" s="80" t="s">
        <v>752</v>
      </c>
      <c r="G11" s="80" t="s">
        <v>762</v>
      </c>
      <c r="H11" s="80" t="s">
        <v>763</v>
      </c>
      <c r="I11" s="79" t="s">
        <v>373</v>
      </c>
      <c r="J11" s="80"/>
      <c r="K11" s="80"/>
      <c r="L11" s="80"/>
      <c r="M11" s="81" t="s">
        <v>585</v>
      </c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764</v>
      </c>
      <c r="E12" s="77" t="s">
        <v>415</v>
      </c>
      <c r="F12" s="77" t="s">
        <v>752</v>
      </c>
      <c r="G12" s="77" t="s">
        <v>765</v>
      </c>
      <c r="H12" s="77" t="s">
        <v>766</v>
      </c>
      <c r="I12" s="68" t="s">
        <v>373</v>
      </c>
      <c r="J12" s="77"/>
      <c r="K12" s="77"/>
      <c r="L12" s="77"/>
      <c r="M12" s="81" t="s">
        <v>585</v>
      </c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767</v>
      </c>
      <c r="E13" s="80" t="s">
        <v>415</v>
      </c>
      <c r="F13" s="80" t="s">
        <v>768</v>
      </c>
      <c r="G13" s="80" t="s">
        <v>769</v>
      </c>
      <c r="H13" s="80" t="s">
        <v>770</v>
      </c>
      <c r="I13" s="79" t="s">
        <v>373</v>
      </c>
      <c r="J13" s="80"/>
      <c r="K13" s="80"/>
      <c r="L13" s="80"/>
      <c r="M13" s="81" t="s">
        <v>585</v>
      </c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771</v>
      </c>
      <c r="E14" s="77" t="s">
        <v>415</v>
      </c>
      <c r="F14" s="77" t="s">
        <v>768</v>
      </c>
      <c r="G14" s="77" t="s">
        <v>772</v>
      </c>
      <c r="H14" s="77" t="s">
        <v>773</v>
      </c>
      <c r="I14" s="68" t="s">
        <v>373</v>
      </c>
      <c r="J14" s="77"/>
      <c r="K14" s="77"/>
      <c r="L14" s="77"/>
      <c r="M14" s="81" t="s">
        <v>585</v>
      </c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774</v>
      </c>
      <c r="E15" s="80" t="s">
        <v>415</v>
      </c>
      <c r="F15" s="80" t="s">
        <v>768</v>
      </c>
      <c r="G15" s="80" t="s">
        <v>775</v>
      </c>
      <c r="H15" s="80" t="s">
        <v>776</v>
      </c>
      <c r="I15" s="79" t="s">
        <v>373</v>
      </c>
      <c r="J15" s="80"/>
      <c r="K15" s="80"/>
      <c r="L15" s="80"/>
      <c r="M15" s="81" t="s">
        <v>585</v>
      </c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777</v>
      </c>
      <c r="E16" s="77" t="s">
        <v>415</v>
      </c>
      <c r="F16" s="77" t="s">
        <v>768</v>
      </c>
      <c r="G16" s="77" t="s">
        <v>778</v>
      </c>
      <c r="H16" s="77" t="s">
        <v>779</v>
      </c>
      <c r="I16" s="68" t="s">
        <v>373</v>
      </c>
      <c r="J16" s="77"/>
      <c r="K16" s="77"/>
      <c r="L16" s="77"/>
      <c r="M16" s="81" t="s">
        <v>585</v>
      </c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780</v>
      </c>
      <c r="E17" s="80" t="s">
        <v>415</v>
      </c>
      <c r="F17" s="80" t="s">
        <v>781</v>
      </c>
      <c r="G17" s="80" t="s">
        <v>782</v>
      </c>
      <c r="H17" s="80" t="s">
        <v>783</v>
      </c>
      <c r="I17" s="79" t="s">
        <v>373</v>
      </c>
      <c r="J17" s="80"/>
      <c r="K17" s="80"/>
      <c r="L17" s="80"/>
      <c r="M17" s="81" t="s">
        <v>585</v>
      </c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784</v>
      </c>
      <c r="E18" s="77" t="s">
        <v>415</v>
      </c>
      <c r="F18" s="77" t="s">
        <v>781</v>
      </c>
      <c r="G18" s="77" t="s">
        <v>785</v>
      </c>
      <c r="H18" s="77" t="s">
        <v>786</v>
      </c>
      <c r="I18" s="68" t="s">
        <v>373</v>
      </c>
      <c r="J18" s="77"/>
      <c r="K18" s="77"/>
      <c r="L18" s="77"/>
      <c r="M18" s="81" t="s">
        <v>585</v>
      </c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787</v>
      </c>
      <c r="E19" s="80" t="s">
        <v>415</v>
      </c>
      <c r="F19" s="80" t="s">
        <v>781</v>
      </c>
      <c r="G19" s="80" t="s">
        <v>788</v>
      </c>
      <c r="H19" s="80" t="s">
        <v>789</v>
      </c>
      <c r="I19" s="79" t="s">
        <v>373</v>
      </c>
      <c r="J19" s="80"/>
      <c r="K19" s="80"/>
      <c r="L19" s="80"/>
      <c r="M19" s="81" t="s">
        <v>585</v>
      </c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790</v>
      </c>
      <c r="E20" s="77" t="s">
        <v>415</v>
      </c>
      <c r="F20" s="77" t="s">
        <v>781</v>
      </c>
      <c r="G20" s="77" t="s">
        <v>791</v>
      </c>
      <c r="H20" s="77" t="s">
        <v>792</v>
      </c>
      <c r="I20" s="68" t="s">
        <v>373</v>
      </c>
      <c r="J20" s="77"/>
      <c r="K20" s="77"/>
      <c r="L20" s="77"/>
      <c r="M20" s="81" t="s">
        <v>585</v>
      </c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793</v>
      </c>
      <c r="E21" s="80" t="s">
        <v>415</v>
      </c>
      <c r="F21" s="80" t="s">
        <v>794</v>
      </c>
      <c r="G21" s="80" t="s">
        <v>795</v>
      </c>
      <c r="H21" s="80" t="s">
        <v>796</v>
      </c>
      <c r="I21" s="79" t="s">
        <v>373</v>
      </c>
      <c r="J21" s="80"/>
      <c r="K21" s="80"/>
      <c r="L21" s="80"/>
      <c r="M21" s="81" t="s">
        <v>585</v>
      </c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797</v>
      </c>
      <c r="E22" s="77" t="s">
        <v>415</v>
      </c>
      <c r="F22" s="77" t="s">
        <v>794</v>
      </c>
      <c r="G22" s="77" t="s">
        <v>798</v>
      </c>
      <c r="H22" s="77" t="s">
        <v>799</v>
      </c>
      <c r="I22" s="68" t="s">
        <v>373</v>
      </c>
      <c r="J22" s="77"/>
      <c r="K22" s="77"/>
      <c r="L22" s="77"/>
      <c r="M22" s="81" t="s">
        <v>585</v>
      </c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800</v>
      </c>
      <c r="E23" s="80" t="s">
        <v>415</v>
      </c>
      <c r="F23" s="80" t="s">
        <v>794</v>
      </c>
      <c r="G23" s="80" t="s">
        <v>801</v>
      </c>
      <c r="H23" s="80" t="s">
        <v>802</v>
      </c>
      <c r="I23" s="79" t="s">
        <v>373</v>
      </c>
      <c r="J23" s="80"/>
      <c r="K23" s="80"/>
      <c r="L23" s="80"/>
      <c r="M23" s="81" t="s">
        <v>585</v>
      </c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803</v>
      </c>
      <c r="E24" s="77" t="s">
        <v>415</v>
      </c>
      <c r="F24" s="77" t="s">
        <v>794</v>
      </c>
      <c r="G24" s="77" t="s">
        <v>804</v>
      </c>
      <c r="H24" s="77" t="s">
        <v>805</v>
      </c>
      <c r="I24" s="68" t="s">
        <v>373</v>
      </c>
      <c r="J24" s="77"/>
      <c r="K24" s="77"/>
      <c r="L24" s="77"/>
      <c r="M24" s="81" t="s">
        <v>585</v>
      </c>
      <c r="N24" s="78" t="s">
        <v>586</v>
      </c>
      <c r="O24" s="77"/>
      <c r="P24" s="77"/>
      <c r="Q24" s="77"/>
      <c r="R24" s="77"/>
      <c r="S24" s="77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24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24">
    <cfRule type="cellIs" dxfId="10" priority="4" operator="equal">
      <formula>"OK"</formula>
    </cfRule>
  </conditionalFormatting>
  <conditionalFormatting sqref="I2:I24">
    <cfRule type="cellIs" dxfId="5" priority="5" operator="equal">
      <formula>"NOT OK"</formula>
    </cfRule>
  </conditionalFormatting>
  <conditionalFormatting sqref="I2:I24">
    <cfRule type="cellIs" dxfId="11" priority="6" operator="equal">
      <formula>"Pending"</formula>
    </cfRule>
  </conditionalFormatting>
  <conditionalFormatting sqref="I2:I24">
    <cfRule type="cellIs" dxfId="12" priority="7" operator="equal">
      <formula>"N/A"</formula>
    </cfRule>
  </conditionalFormatting>
  <conditionalFormatting sqref="A2:S24">
    <cfRule type="expression" dxfId="13" priority="8">
      <formula>$I2="NOT OK"</formula>
    </cfRule>
  </conditionalFormatting>
  <conditionalFormatting sqref="P2:P24">
    <cfRule type="cellIs" dxfId="10" priority="9" operator="equal">
      <formula>"Yes"</formula>
    </cfRule>
  </conditionalFormatting>
  <conditionalFormatting sqref="P2:P24">
    <cfRule type="cellIs" dxfId="11" priority="10" operator="equal">
      <formula>"In Progress"</formula>
    </cfRule>
  </conditionalFormatting>
  <conditionalFormatting sqref="P2:P24">
    <cfRule type="cellIs" dxfId="5" priority="11" operator="equal">
      <formula>"No"</formula>
    </cfRule>
  </conditionalFormatting>
  <conditionalFormatting sqref="O2:O24">
    <cfRule type="expression" dxfId="14" priority="12">
      <formula>AND($I2="NOT OK",O2="")</formula>
    </cfRule>
  </conditionalFormatting>
  <dataValidations>
    <dataValidation type="list" allowBlank="1" sqref="P2:P24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24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</hyperlinks>
  <printOptions/>
  <pageMargins bottom="1.0" footer="0.0" header="0.0" left="0.75" right="0.75" top="1.0"/>
  <pageSetup paperSize="9" orientation="portrait"/>
  <drawing r:id="rId25"/>
  <legacyDrawing r:id="rId2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806</v>
      </c>
      <c r="E2" s="77" t="s">
        <v>372</v>
      </c>
      <c r="F2" s="77" t="s">
        <v>807</v>
      </c>
      <c r="G2" s="77" t="s">
        <v>808</v>
      </c>
      <c r="H2" s="77" t="s">
        <v>809</v>
      </c>
      <c r="I2" s="68" t="s">
        <v>373</v>
      </c>
      <c r="J2" s="77"/>
      <c r="K2" s="77"/>
      <c r="L2" s="77"/>
      <c r="M2" s="81" t="s">
        <v>557</v>
      </c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810</v>
      </c>
      <c r="E3" s="80" t="s">
        <v>372</v>
      </c>
      <c r="F3" s="80" t="s">
        <v>807</v>
      </c>
      <c r="G3" s="80" t="s">
        <v>811</v>
      </c>
      <c r="H3" s="80" t="s">
        <v>812</v>
      </c>
      <c r="I3" s="79" t="s">
        <v>373</v>
      </c>
      <c r="J3" s="80"/>
      <c r="K3" s="80"/>
      <c r="L3" s="80"/>
      <c r="M3" s="81" t="s">
        <v>585</v>
      </c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813</v>
      </c>
      <c r="E4" s="77" t="s">
        <v>372</v>
      </c>
      <c r="F4" s="77" t="s">
        <v>807</v>
      </c>
      <c r="G4" s="77" t="s">
        <v>814</v>
      </c>
      <c r="H4" s="77" t="s">
        <v>815</v>
      </c>
      <c r="I4" s="68" t="s">
        <v>373</v>
      </c>
      <c r="J4" s="77"/>
      <c r="K4" s="77"/>
      <c r="L4" s="77"/>
      <c r="M4" s="81" t="s">
        <v>557</v>
      </c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816</v>
      </c>
      <c r="E5" s="80" t="s">
        <v>372</v>
      </c>
      <c r="F5" s="80" t="s">
        <v>752</v>
      </c>
      <c r="G5" s="80" t="s">
        <v>817</v>
      </c>
      <c r="H5" s="80" t="s">
        <v>818</v>
      </c>
      <c r="I5" s="79" t="s">
        <v>373</v>
      </c>
      <c r="J5" s="80"/>
      <c r="K5" s="80"/>
      <c r="L5" s="80"/>
      <c r="M5" s="81" t="s">
        <v>557</v>
      </c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819</v>
      </c>
      <c r="E6" s="77" t="s">
        <v>372</v>
      </c>
      <c r="F6" s="77" t="s">
        <v>752</v>
      </c>
      <c r="G6" s="77" t="s">
        <v>820</v>
      </c>
      <c r="H6" s="77" t="s">
        <v>821</v>
      </c>
      <c r="I6" s="68" t="s">
        <v>373</v>
      </c>
      <c r="J6" s="77"/>
      <c r="K6" s="77"/>
      <c r="L6" s="77"/>
      <c r="M6" s="81" t="s">
        <v>557</v>
      </c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822</v>
      </c>
      <c r="E7" s="80" t="s">
        <v>372</v>
      </c>
      <c r="F7" s="80" t="s">
        <v>752</v>
      </c>
      <c r="G7" s="80" t="s">
        <v>823</v>
      </c>
      <c r="H7" s="80" t="s">
        <v>824</v>
      </c>
      <c r="I7" s="79" t="s">
        <v>373</v>
      </c>
      <c r="J7" s="80"/>
      <c r="K7" s="80"/>
      <c r="L7" s="80"/>
      <c r="M7" s="81" t="s">
        <v>557</v>
      </c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825</v>
      </c>
      <c r="E8" s="77" t="s">
        <v>372</v>
      </c>
      <c r="F8" s="77" t="s">
        <v>752</v>
      </c>
      <c r="G8" s="77" t="s">
        <v>826</v>
      </c>
      <c r="H8" s="77" t="s">
        <v>827</v>
      </c>
      <c r="I8" s="68" t="s">
        <v>373</v>
      </c>
      <c r="J8" s="77"/>
      <c r="K8" s="77"/>
      <c r="L8" s="77"/>
      <c r="M8" s="81" t="s">
        <v>537</v>
      </c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828</v>
      </c>
      <c r="E9" s="80" t="s">
        <v>372</v>
      </c>
      <c r="F9" s="80" t="s">
        <v>829</v>
      </c>
      <c r="G9" s="80" t="s">
        <v>830</v>
      </c>
      <c r="H9" s="80" t="s">
        <v>831</v>
      </c>
      <c r="I9" s="79" t="s">
        <v>373</v>
      </c>
      <c r="J9" s="80"/>
      <c r="K9" s="80"/>
      <c r="L9" s="80"/>
      <c r="M9" s="81" t="s">
        <v>557</v>
      </c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832</v>
      </c>
      <c r="E10" s="77" t="s">
        <v>372</v>
      </c>
      <c r="F10" s="77" t="s">
        <v>829</v>
      </c>
      <c r="G10" s="77" t="s">
        <v>833</v>
      </c>
      <c r="H10" s="77" t="s">
        <v>834</v>
      </c>
      <c r="I10" s="68" t="s">
        <v>373</v>
      </c>
      <c r="J10" s="77"/>
      <c r="K10" s="77"/>
      <c r="L10" s="77"/>
      <c r="M10" s="81" t="s">
        <v>557</v>
      </c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835</v>
      </c>
      <c r="E11" s="80" t="s">
        <v>372</v>
      </c>
      <c r="F11" s="80" t="s">
        <v>829</v>
      </c>
      <c r="G11" s="80" t="s">
        <v>836</v>
      </c>
      <c r="H11" s="80" t="s">
        <v>837</v>
      </c>
      <c r="I11" s="79" t="s">
        <v>373</v>
      </c>
      <c r="J11" s="80"/>
      <c r="K11" s="80"/>
      <c r="L11" s="80"/>
      <c r="M11" s="81" t="s">
        <v>557</v>
      </c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838</v>
      </c>
      <c r="E12" s="77" t="s">
        <v>372</v>
      </c>
      <c r="F12" s="77" t="s">
        <v>839</v>
      </c>
      <c r="G12" s="77" t="s">
        <v>840</v>
      </c>
      <c r="H12" s="77" t="s">
        <v>841</v>
      </c>
      <c r="I12" s="68" t="s">
        <v>373</v>
      </c>
      <c r="J12" s="77"/>
      <c r="K12" s="77"/>
      <c r="L12" s="77"/>
      <c r="M12" s="81" t="s">
        <v>557</v>
      </c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842</v>
      </c>
      <c r="E13" s="80" t="s">
        <v>372</v>
      </c>
      <c r="F13" s="80" t="s">
        <v>839</v>
      </c>
      <c r="G13" s="80" t="s">
        <v>843</v>
      </c>
      <c r="H13" s="80" t="s">
        <v>844</v>
      </c>
      <c r="I13" s="79" t="s">
        <v>373</v>
      </c>
      <c r="J13" s="80"/>
      <c r="K13" s="80"/>
      <c r="L13" s="80"/>
      <c r="M13" s="81" t="s">
        <v>557</v>
      </c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845</v>
      </c>
      <c r="E14" s="77" t="s">
        <v>372</v>
      </c>
      <c r="F14" s="77" t="s">
        <v>839</v>
      </c>
      <c r="G14" s="77" t="s">
        <v>846</v>
      </c>
      <c r="H14" s="77" t="s">
        <v>847</v>
      </c>
      <c r="I14" s="68" t="s">
        <v>373</v>
      </c>
      <c r="J14" s="77"/>
      <c r="K14" s="77"/>
      <c r="L14" s="77"/>
      <c r="M14" s="81" t="s">
        <v>557</v>
      </c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848</v>
      </c>
      <c r="E15" s="80" t="s">
        <v>372</v>
      </c>
      <c r="F15" s="80" t="s">
        <v>839</v>
      </c>
      <c r="G15" s="80" t="s">
        <v>849</v>
      </c>
      <c r="H15" s="80" t="s">
        <v>850</v>
      </c>
      <c r="I15" s="79" t="s">
        <v>373</v>
      </c>
      <c r="J15" s="80"/>
      <c r="K15" s="80"/>
      <c r="L15" s="80"/>
      <c r="M15" s="81" t="s">
        <v>557</v>
      </c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851</v>
      </c>
      <c r="E16" s="77" t="s">
        <v>372</v>
      </c>
      <c r="F16" s="77" t="s">
        <v>839</v>
      </c>
      <c r="G16" s="77" t="s">
        <v>852</v>
      </c>
      <c r="H16" s="77" t="s">
        <v>853</v>
      </c>
      <c r="I16" s="68" t="s">
        <v>373</v>
      </c>
      <c r="J16" s="77"/>
      <c r="K16" s="77"/>
      <c r="L16" s="77"/>
      <c r="M16" s="81" t="s">
        <v>557</v>
      </c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854</v>
      </c>
      <c r="E17" s="80" t="s">
        <v>372</v>
      </c>
      <c r="F17" s="80" t="s">
        <v>839</v>
      </c>
      <c r="G17" s="80" t="s">
        <v>855</v>
      </c>
      <c r="H17" s="80" t="s">
        <v>856</v>
      </c>
      <c r="I17" s="79" t="s">
        <v>373</v>
      </c>
      <c r="J17" s="80"/>
      <c r="K17" s="80"/>
      <c r="L17" s="80"/>
      <c r="M17" s="81" t="s">
        <v>557</v>
      </c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857</v>
      </c>
      <c r="E18" s="77" t="s">
        <v>372</v>
      </c>
      <c r="F18" s="77" t="s">
        <v>839</v>
      </c>
      <c r="G18" s="77" t="s">
        <v>858</v>
      </c>
      <c r="H18" s="77" t="s">
        <v>859</v>
      </c>
      <c r="I18" s="68" t="s">
        <v>373</v>
      </c>
      <c r="J18" s="77"/>
      <c r="K18" s="77"/>
      <c r="L18" s="77"/>
      <c r="M18" s="81" t="s">
        <v>557</v>
      </c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860</v>
      </c>
      <c r="E19" s="80" t="s">
        <v>372</v>
      </c>
      <c r="F19" s="80" t="s">
        <v>839</v>
      </c>
      <c r="G19" s="80" t="s">
        <v>861</v>
      </c>
      <c r="H19" s="80" t="s">
        <v>862</v>
      </c>
      <c r="I19" s="79" t="s">
        <v>373</v>
      </c>
      <c r="J19" s="80"/>
      <c r="K19" s="80"/>
      <c r="L19" s="80"/>
      <c r="M19" s="81" t="s">
        <v>557</v>
      </c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863</v>
      </c>
      <c r="E20" s="77" t="s">
        <v>372</v>
      </c>
      <c r="F20" s="77" t="s">
        <v>864</v>
      </c>
      <c r="G20" s="77" t="s">
        <v>865</v>
      </c>
      <c r="H20" s="77" t="s">
        <v>866</v>
      </c>
      <c r="I20" s="68" t="s">
        <v>373</v>
      </c>
      <c r="J20" s="77"/>
      <c r="K20" s="77"/>
      <c r="L20" s="77"/>
      <c r="M20" s="81" t="s">
        <v>557</v>
      </c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867</v>
      </c>
      <c r="E21" s="80" t="s">
        <v>372</v>
      </c>
      <c r="F21" s="80" t="s">
        <v>864</v>
      </c>
      <c r="G21" s="80" t="s">
        <v>868</v>
      </c>
      <c r="H21" s="80" t="s">
        <v>869</v>
      </c>
      <c r="I21" s="79" t="s">
        <v>373</v>
      </c>
      <c r="J21" s="80"/>
      <c r="K21" s="80"/>
      <c r="L21" s="80"/>
      <c r="M21" s="81" t="s">
        <v>557</v>
      </c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870</v>
      </c>
      <c r="E22" s="77" t="s">
        <v>372</v>
      </c>
      <c r="F22" s="77" t="s">
        <v>864</v>
      </c>
      <c r="G22" s="77" t="s">
        <v>871</v>
      </c>
      <c r="H22" s="77" t="s">
        <v>872</v>
      </c>
      <c r="I22" s="68" t="s">
        <v>373</v>
      </c>
      <c r="J22" s="77"/>
      <c r="K22" s="77"/>
      <c r="L22" s="77"/>
      <c r="M22" s="81" t="s">
        <v>557</v>
      </c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873</v>
      </c>
      <c r="E23" s="80" t="s">
        <v>372</v>
      </c>
      <c r="F23" s="80" t="s">
        <v>864</v>
      </c>
      <c r="G23" s="80" t="s">
        <v>874</v>
      </c>
      <c r="H23" s="80" t="s">
        <v>875</v>
      </c>
      <c r="I23" s="79" t="s">
        <v>373</v>
      </c>
      <c r="J23" s="80"/>
      <c r="K23" s="80"/>
      <c r="L23" s="80"/>
      <c r="M23" s="81" t="s">
        <v>557</v>
      </c>
      <c r="N23" s="82" t="s">
        <v>586</v>
      </c>
      <c r="O23" s="80"/>
      <c r="P23" s="80"/>
      <c r="Q23" s="80"/>
      <c r="R23" s="80"/>
      <c r="S23" s="80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23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23">
    <cfRule type="cellIs" dxfId="10" priority="4" operator="equal">
      <formula>"OK"</formula>
    </cfRule>
  </conditionalFormatting>
  <conditionalFormatting sqref="I2:I23">
    <cfRule type="cellIs" dxfId="5" priority="5" operator="equal">
      <formula>"NOT OK"</formula>
    </cfRule>
  </conditionalFormatting>
  <conditionalFormatting sqref="I2:I23">
    <cfRule type="cellIs" dxfId="11" priority="6" operator="equal">
      <formula>"Pending"</formula>
    </cfRule>
  </conditionalFormatting>
  <conditionalFormatting sqref="I2:I23">
    <cfRule type="cellIs" dxfId="12" priority="7" operator="equal">
      <formula>"N/A"</formula>
    </cfRule>
  </conditionalFormatting>
  <conditionalFormatting sqref="A2:S23">
    <cfRule type="expression" dxfId="13" priority="8">
      <formula>$I2="NOT OK"</formula>
    </cfRule>
  </conditionalFormatting>
  <conditionalFormatting sqref="P2:P23">
    <cfRule type="cellIs" dxfId="10" priority="9" operator="equal">
      <formula>"Yes"</formula>
    </cfRule>
  </conditionalFormatting>
  <conditionalFormatting sqref="P2:P23">
    <cfRule type="cellIs" dxfId="11" priority="10" operator="equal">
      <formula>"In Progress"</formula>
    </cfRule>
  </conditionalFormatting>
  <conditionalFormatting sqref="P2:P23">
    <cfRule type="cellIs" dxfId="5" priority="11" operator="equal">
      <formula>"No"</formula>
    </cfRule>
  </conditionalFormatting>
  <conditionalFormatting sqref="O2:O23">
    <cfRule type="expression" dxfId="14" priority="12">
      <formula>AND($I2="NOT OK",O2="")</formula>
    </cfRule>
  </conditionalFormatting>
  <dataValidations>
    <dataValidation type="list" allowBlank="1" sqref="P2:P23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23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</hyperlinks>
  <printOptions/>
  <pageMargins bottom="1.0" footer="0.0" header="0.0" left="0.75" right="0.75" top="1.0"/>
  <pageSetup paperSize="9" orientation="portrait"/>
  <drawing r:id="rId24"/>
  <legacyDrawing r:id="rId2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876</v>
      </c>
      <c r="E2" s="77" t="s">
        <v>357</v>
      </c>
      <c r="F2" s="77" t="s">
        <v>733</v>
      </c>
      <c r="G2" s="77" t="s">
        <v>877</v>
      </c>
      <c r="H2" s="77" t="s">
        <v>878</v>
      </c>
      <c r="I2" s="68" t="s">
        <v>373</v>
      </c>
      <c r="J2" s="77"/>
      <c r="K2" s="77"/>
      <c r="L2" s="77"/>
      <c r="M2" s="81" t="s">
        <v>557</v>
      </c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879</v>
      </c>
      <c r="E3" s="80" t="s">
        <v>357</v>
      </c>
      <c r="F3" s="80" t="s">
        <v>733</v>
      </c>
      <c r="G3" s="80" t="s">
        <v>880</v>
      </c>
      <c r="H3" s="80" t="s">
        <v>881</v>
      </c>
      <c r="I3" s="79" t="s">
        <v>373</v>
      </c>
      <c r="J3" s="80"/>
      <c r="K3" s="80"/>
      <c r="L3" s="80"/>
      <c r="M3" s="81" t="s">
        <v>557</v>
      </c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882</v>
      </c>
      <c r="E4" s="77" t="s">
        <v>357</v>
      </c>
      <c r="F4" s="77" t="s">
        <v>733</v>
      </c>
      <c r="G4" s="77" t="s">
        <v>883</v>
      </c>
      <c r="H4" s="77" t="s">
        <v>884</v>
      </c>
      <c r="I4" s="68" t="s">
        <v>373</v>
      </c>
      <c r="J4" s="77"/>
      <c r="K4" s="77"/>
      <c r="L4" s="77"/>
      <c r="M4" s="81" t="s">
        <v>557</v>
      </c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885</v>
      </c>
      <c r="E5" s="80" t="s">
        <v>357</v>
      </c>
      <c r="F5" s="80" t="s">
        <v>733</v>
      </c>
      <c r="G5" s="80" t="s">
        <v>886</v>
      </c>
      <c r="H5" s="80" t="s">
        <v>887</v>
      </c>
      <c r="I5" s="79" t="s">
        <v>373</v>
      </c>
      <c r="J5" s="80"/>
      <c r="K5" s="80"/>
      <c r="L5" s="80"/>
      <c r="M5" s="81" t="s">
        <v>557</v>
      </c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888</v>
      </c>
      <c r="E6" s="77" t="s">
        <v>357</v>
      </c>
      <c r="F6" s="77" t="s">
        <v>752</v>
      </c>
      <c r="G6" s="77" t="s">
        <v>889</v>
      </c>
      <c r="H6" s="77" t="s">
        <v>890</v>
      </c>
      <c r="I6" s="68" t="s">
        <v>373</v>
      </c>
      <c r="J6" s="77"/>
      <c r="K6" s="77"/>
      <c r="L6" s="77"/>
      <c r="M6" s="81" t="s">
        <v>557</v>
      </c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891</v>
      </c>
      <c r="E7" s="80" t="s">
        <v>357</v>
      </c>
      <c r="F7" s="80" t="s">
        <v>752</v>
      </c>
      <c r="G7" s="80" t="s">
        <v>892</v>
      </c>
      <c r="H7" s="80" t="s">
        <v>893</v>
      </c>
      <c r="I7" s="79" t="s">
        <v>373</v>
      </c>
      <c r="J7" s="80"/>
      <c r="K7" s="80"/>
      <c r="L7" s="80"/>
      <c r="M7" s="81" t="s">
        <v>557</v>
      </c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894</v>
      </c>
      <c r="E8" s="77" t="s">
        <v>357</v>
      </c>
      <c r="F8" s="77" t="s">
        <v>752</v>
      </c>
      <c r="G8" s="77" t="s">
        <v>895</v>
      </c>
      <c r="H8" s="77" t="s">
        <v>896</v>
      </c>
      <c r="I8" s="68" t="s">
        <v>373</v>
      </c>
      <c r="J8" s="77"/>
      <c r="K8" s="77"/>
      <c r="L8" s="77"/>
      <c r="M8" s="81" t="s">
        <v>557</v>
      </c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897</v>
      </c>
      <c r="E9" s="80" t="s">
        <v>357</v>
      </c>
      <c r="F9" s="80" t="s">
        <v>898</v>
      </c>
      <c r="G9" s="80" t="s">
        <v>899</v>
      </c>
      <c r="H9" s="80" t="s">
        <v>900</v>
      </c>
      <c r="I9" s="79" t="s">
        <v>373</v>
      </c>
      <c r="J9" s="80"/>
      <c r="K9" s="80"/>
      <c r="L9" s="80"/>
      <c r="M9" s="81" t="s">
        <v>557</v>
      </c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901</v>
      </c>
      <c r="E10" s="77" t="s">
        <v>357</v>
      </c>
      <c r="F10" s="77" t="s">
        <v>898</v>
      </c>
      <c r="G10" s="77" t="s">
        <v>902</v>
      </c>
      <c r="H10" s="77" t="s">
        <v>903</v>
      </c>
      <c r="I10" s="68" t="s">
        <v>373</v>
      </c>
      <c r="J10" s="77"/>
      <c r="K10" s="77"/>
      <c r="L10" s="77"/>
      <c r="M10" s="81" t="s">
        <v>557</v>
      </c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904</v>
      </c>
      <c r="E11" s="80" t="s">
        <v>357</v>
      </c>
      <c r="F11" s="80" t="s">
        <v>898</v>
      </c>
      <c r="G11" s="80" t="s">
        <v>905</v>
      </c>
      <c r="H11" s="80" t="s">
        <v>906</v>
      </c>
      <c r="I11" s="79" t="s">
        <v>373</v>
      </c>
      <c r="J11" s="80"/>
      <c r="K11" s="80"/>
      <c r="L11" s="80"/>
      <c r="M11" s="81" t="s">
        <v>557</v>
      </c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907</v>
      </c>
      <c r="E12" s="77" t="s">
        <v>357</v>
      </c>
      <c r="F12" s="77" t="s">
        <v>898</v>
      </c>
      <c r="G12" s="77" t="s">
        <v>908</v>
      </c>
      <c r="H12" s="77" t="s">
        <v>909</v>
      </c>
      <c r="I12" s="68" t="s">
        <v>373</v>
      </c>
      <c r="J12" s="77"/>
      <c r="K12" s="77"/>
      <c r="L12" s="77"/>
      <c r="M12" s="81" t="s">
        <v>557</v>
      </c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910</v>
      </c>
      <c r="E13" s="80" t="s">
        <v>357</v>
      </c>
      <c r="F13" s="80" t="s">
        <v>898</v>
      </c>
      <c r="G13" s="80" t="s">
        <v>911</v>
      </c>
      <c r="H13" s="80" t="s">
        <v>912</v>
      </c>
      <c r="I13" s="79" t="s">
        <v>373</v>
      </c>
      <c r="J13" s="80"/>
      <c r="K13" s="80"/>
      <c r="L13" s="80"/>
      <c r="M13" s="81" t="s">
        <v>557</v>
      </c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913</v>
      </c>
      <c r="E14" s="77" t="s">
        <v>357</v>
      </c>
      <c r="F14" s="77" t="s">
        <v>914</v>
      </c>
      <c r="G14" s="77" t="s">
        <v>915</v>
      </c>
      <c r="H14" s="77" t="s">
        <v>916</v>
      </c>
      <c r="I14" s="68" t="s">
        <v>373</v>
      </c>
      <c r="J14" s="77"/>
      <c r="K14" s="77"/>
      <c r="L14" s="77"/>
      <c r="M14" s="81" t="s">
        <v>557</v>
      </c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917</v>
      </c>
      <c r="E15" s="80" t="s">
        <v>357</v>
      </c>
      <c r="F15" s="80" t="s">
        <v>914</v>
      </c>
      <c r="G15" s="80" t="s">
        <v>918</v>
      </c>
      <c r="H15" s="80" t="s">
        <v>919</v>
      </c>
      <c r="I15" s="79" t="s">
        <v>373</v>
      </c>
      <c r="J15" s="80"/>
      <c r="K15" s="80"/>
      <c r="L15" s="80"/>
      <c r="M15" s="81" t="s">
        <v>557</v>
      </c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920</v>
      </c>
      <c r="E16" s="77" t="s">
        <v>357</v>
      </c>
      <c r="F16" s="77" t="s">
        <v>914</v>
      </c>
      <c r="G16" s="77" t="s">
        <v>921</v>
      </c>
      <c r="H16" s="77" t="s">
        <v>922</v>
      </c>
      <c r="I16" s="68" t="s">
        <v>373</v>
      </c>
      <c r="J16" s="77"/>
      <c r="K16" s="77"/>
      <c r="L16" s="77"/>
      <c r="M16" s="81" t="s">
        <v>557</v>
      </c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923</v>
      </c>
      <c r="E17" s="80" t="s">
        <v>357</v>
      </c>
      <c r="F17" s="80" t="s">
        <v>914</v>
      </c>
      <c r="G17" s="80" t="s">
        <v>924</v>
      </c>
      <c r="H17" s="80" t="s">
        <v>925</v>
      </c>
      <c r="I17" s="79" t="s">
        <v>373</v>
      </c>
      <c r="J17" s="80"/>
      <c r="K17" s="80"/>
      <c r="L17" s="80"/>
      <c r="M17" s="81" t="s">
        <v>557</v>
      </c>
      <c r="N17" s="82" t="s">
        <v>586</v>
      </c>
      <c r="O17" s="80"/>
      <c r="P17" s="80"/>
      <c r="Q17" s="80"/>
      <c r="R17" s="80"/>
      <c r="S17" s="80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17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17">
    <cfRule type="cellIs" dxfId="10" priority="4" operator="equal">
      <formula>"OK"</formula>
    </cfRule>
  </conditionalFormatting>
  <conditionalFormatting sqref="I2:I17">
    <cfRule type="cellIs" dxfId="5" priority="5" operator="equal">
      <formula>"NOT OK"</formula>
    </cfRule>
  </conditionalFormatting>
  <conditionalFormatting sqref="I2:I17">
    <cfRule type="cellIs" dxfId="11" priority="6" operator="equal">
      <formula>"Pending"</formula>
    </cfRule>
  </conditionalFormatting>
  <conditionalFormatting sqref="I2:I17">
    <cfRule type="cellIs" dxfId="12" priority="7" operator="equal">
      <formula>"N/A"</formula>
    </cfRule>
  </conditionalFormatting>
  <conditionalFormatting sqref="A2:S17">
    <cfRule type="expression" dxfId="13" priority="8">
      <formula>$I2="NOT OK"</formula>
    </cfRule>
  </conditionalFormatting>
  <conditionalFormatting sqref="P2:P17">
    <cfRule type="cellIs" dxfId="10" priority="9" operator="equal">
      <formula>"Yes"</formula>
    </cfRule>
  </conditionalFormatting>
  <conditionalFormatting sqref="P2:P17">
    <cfRule type="cellIs" dxfId="11" priority="10" operator="equal">
      <formula>"In Progress"</formula>
    </cfRule>
  </conditionalFormatting>
  <conditionalFormatting sqref="P2:P17">
    <cfRule type="cellIs" dxfId="5" priority="11" operator="equal">
      <formula>"No"</formula>
    </cfRule>
  </conditionalFormatting>
  <conditionalFormatting sqref="O2:O17">
    <cfRule type="expression" dxfId="14" priority="12">
      <formula>AND($I2="NOT OK",O2="")</formula>
    </cfRule>
  </conditionalFormatting>
  <dataValidations>
    <dataValidation type="list" allowBlank="1" sqref="P2:P17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17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</hyperlinks>
  <printOptions/>
  <pageMargins bottom="1.0" footer="0.0" header="0.0" left="0.75" right="0.75" top="1.0"/>
  <pageSetup paperSize="9" orientation="portrait"/>
  <drawing r:id="rId18"/>
  <legacy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926</v>
      </c>
      <c r="E2" s="77" t="s">
        <v>419</v>
      </c>
      <c r="F2" s="77" t="s">
        <v>927</v>
      </c>
      <c r="G2" s="77" t="s">
        <v>928</v>
      </c>
      <c r="H2" s="77" t="s">
        <v>929</v>
      </c>
      <c r="I2" s="68" t="s">
        <v>373</v>
      </c>
      <c r="J2" s="77"/>
      <c r="K2" s="77"/>
      <c r="L2" s="77"/>
      <c r="M2" s="77"/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930</v>
      </c>
      <c r="E3" s="80" t="s">
        <v>419</v>
      </c>
      <c r="F3" s="80" t="s">
        <v>927</v>
      </c>
      <c r="G3" s="80" t="s">
        <v>931</v>
      </c>
      <c r="H3" s="80" t="s">
        <v>932</v>
      </c>
      <c r="I3" s="79" t="s">
        <v>373</v>
      </c>
      <c r="J3" s="80"/>
      <c r="K3" s="80"/>
      <c r="L3" s="80"/>
      <c r="M3" s="80"/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933</v>
      </c>
      <c r="E4" s="77" t="s">
        <v>419</v>
      </c>
      <c r="F4" s="77" t="s">
        <v>927</v>
      </c>
      <c r="G4" s="77" t="s">
        <v>934</v>
      </c>
      <c r="H4" s="77" t="s">
        <v>935</v>
      </c>
      <c r="I4" s="68" t="s">
        <v>373</v>
      </c>
      <c r="J4" s="77"/>
      <c r="K4" s="77"/>
      <c r="L4" s="77"/>
      <c r="M4" s="77"/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936</v>
      </c>
      <c r="E5" s="80" t="s">
        <v>419</v>
      </c>
      <c r="F5" s="80" t="s">
        <v>927</v>
      </c>
      <c r="G5" s="80" t="s">
        <v>937</v>
      </c>
      <c r="H5" s="80" t="s">
        <v>938</v>
      </c>
      <c r="I5" s="79" t="s">
        <v>373</v>
      </c>
      <c r="J5" s="80"/>
      <c r="K5" s="80"/>
      <c r="L5" s="80"/>
      <c r="M5" s="80"/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939</v>
      </c>
      <c r="E6" s="77" t="s">
        <v>419</v>
      </c>
      <c r="F6" s="77" t="s">
        <v>927</v>
      </c>
      <c r="G6" s="77" t="s">
        <v>940</v>
      </c>
      <c r="H6" s="77" t="s">
        <v>941</v>
      </c>
      <c r="I6" s="68" t="s">
        <v>373</v>
      </c>
      <c r="J6" s="77"/>
      <c r="K6" s="77"/>
      <c r="L6" s="77"/>
      <c r="M6" s="77"/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942</v>
      </c>
      <c r="E7" s="80" t="s">
        <v>419</v>
      </c>
      <c r="F7" s="80" t="s">
        <v>927</v>
      </c>
      <c r="G7" s="80" t="s">
        <v>943</v>
      </c>
      <c r="H7" s="80" t="s">
        <v>944</v>
      </c>
      <c r="I7" s="79" t="s">
        <v>373</v>
      </c>
      <c r="J7" s="80"/>
      <c r="K7" s="80"/>
      <c r="L7" s="80"/>
      <c r="M7" s="81" t="s">
        <v>557</v>
      </c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945</v>
      </c>
      <c r="E8" s="77" t="s">
        <v>419</v>
      </c>
      <c r="F8" s="77" t="s">
        <v>927</v>
      </c>
      <c r="G8" s="77" t="s">
        <v>946</v>
      </c>
      <c r="H8" s="77" t="s">
        <v>947</v>
      </c>
      <c r="I8" s="68" t="s">
        <v>373</v>
      </c>
      <c r="J8" s="77"/>
      <c r="K8" s="77"/>
      <c r="L8" s="77"/>
      <c r="M8" s="77"/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948</v>
      </c>
      <c r="E9" s="80" t="s">
        <v>419</v>
      </c>
      <c r="F9" s="80" t="s">
        <v>949</v>
      </c>
      <c r="G9" s="80" t="s">
        <v>950</v>
      </c>
      <c r="H9" s="80" t="s">
        <v>951</v>
      </c>
      <c r="I9" s="79" t="s">
        <v>373</v>
      </c>
      <c r="J9" s="80"/>
      <c r="K9" s="80"/>
      <c r="L9" s="80"/>
      <c r="M9" s="80"/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952</v>
      </c>
      <c r="E10" s="77" t="s">
        <v>419</v>
      </c>
      <c r="F10" s="77" t="s">
        <v>949</v>
      </c>
      <c r="G10" s="77" t="s">
        <v>953</v>
      </c>
      <c r="H10" s="77" t="s">
        <v>954</v>
      </c>
      <c r="I10" s="68" t="s">
        <v>373</v>
      </c>
      <c r="J10" s="77"/>
      <c r="K10" s="77"/>
      <c r="L10" s="77"/>
      <c r="M10" s="77"/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955</v>
      </c>
      <c r="E11" s="80" t="s">
        <v>419</v>
      </c>
      <c r="F11" s="80" t="s">
        <v>949</v>
      </c>
      <c r="G11" s="80" t="s">
        <v>956</v>
      </c>
      <c r="H11" s="80" t="s">
        <v>957</v>
      </c>
      <c r="I11" s="79" t="s">
        <v>373</v>
      </c>
      <c r="J11" s="80"/>
      <c r="K11" s="80"/>
      <c r="L11" s="80"/>
      <c r="M11" s="80"/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958</v>
      </c>
      <c r="E12" s="77" t="s">
        <v>419</v>
      </c>
      <c r="F12" s="77" t="s">
        <v>949</v>
      </c>
      <c r="G12" s="77" t="s">
        <v>959</v>
      </c>
      <c r="H12" s="77" t="s">
        <v>960</v>
      </c>
      <c r="I12" s="68" t="s">
        <v>373</v>
      </c>
      <c r="J12" s="77"/>
      <c r="K12" s="77"/>
      <c r="L12" s="77"/>
      <c r="M12" s="77"/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961</v>
      </c>
      <c r="E13" s="80" t="s">
        <v>419</v>
      </c>
      <c r="F13" s="80" t="s">
        <v>962</v>
      </c>
      <c r="G13" s="80" t="s">
        <v>963</v>
      </c>
      <c r="H13" s="80" t="s">
        <v>964</v>
      </c>
      <c r="I13" s="79" t="s">
        <v>373</v>
      </c>
      <c r="J13" s="80"/>
      <c r="K13" s="80"/>
      <c r="L13" s="80"/>
      <c r="M13" s="81" t="s">
        <v>557</v>
      </c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965</v>
      </c>
      <c r="E14" s="77" t="s">
        <v>419</v>
      </c>
      <c r="F14" s="77" t="s">
        <v>962</v>
      </c>
      <c r="G14" s="77" t="s">
        <v>966</v>
      </c>
      <c r="H14" s="77" t="s">
        <v>967</v>
      </c>
      <c r="I14" s="68" t="s">
        <v>373</v>
      </c>
      <c r="J14" s="77"/>
      <c r="K14" s="77"/>
      <c r="L14" s="77"/>
      <c r="M14" s="81" t="s">
        <v>557</v>
      </c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968</v>
      </c>
      <c r="E15" s="80" t="s">
        <v>419</v>
      </c>
      <c r="F15" s="80" t="s">
        <v>962</v>
      </c>
      <c r="G15" s="80" t="s">
        <v>969</v>
      </c>
      <c r="H15" s="80" t="s">
        <v>970</v>
      </c>
      <c r="I15" s="79" t="s">
        <v>373</v>
      </c>
      <c r="J15" s="80"/>
      <c r="K15" s="80"/>
      <c r="L15" s="80"/>
      <c r="M15" s="81" t="s">
        <v>557</v>
      </c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971</v>
      </c>
      <c r="E16" s="77" t="s">
        <v>419</v>
      </c>
      <c r="F16" s="77" t="s">
        <v>962</v>
      </c>
      <c r="G16" s="77" t="s">
        <v>972</v>
      </c>
      <c r="H16" s="77" t="s">
        <v>973</v>
      </c>
      <c r="I16" s="68" t="s">
        <v>373</v>
      </c>
      <c r="J16" s="77"/>
      <c r="K16" s="77"/>
      <c r="L16" s="77"/>
      <c r="M16" s="81" t="s">
        <v>557</v>
      </c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974</v>
      </c>
      <c r="E17" s="80" t="s">
        <v>419</v>
      </c>
      <c r="F17" s="80" t="s">
        <v>962</v>
      </c>
      <c r="G17" s="80" t="s">
        <v>975</v>
      </c>
      <c r="H17" s="80" t="s">
        <v>976</v>
      </c>
      <c r="I17" s="79" t="s">
        <v>373</v>
      </c>
      <c r="J17" s="80"/>
      <c r="K17" s="80"/>
      <c r="L17" s="80"/>
      <c r="M17" s="81" t="s">
        <v>557</v>
      </c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977</v>
      </c>
      <c r="E18" s="77" t="s">
        <v>419</v>
      </c>
      <c r="F18" s="77" t="s">
        <v>962</v>
      </c>
      <c r="G18" s="77" t="s">
        <v>978</v>
      </c>
      <c r="H18" s="77" t="s">
        <v>979</v>
      </c>
      <c r="I18" s="68" t="s">
        <v>373</v>
      </c>
      <c r="J18" s="77"/>
      <c r="K18" s="77"/>
      <c r="L18" s="77"/>
      <c r="M18" s="81" t="s">
        <v>557</v>
      </c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980</v>
      </c>
      <c r="E19" s="80" t="s">
        <v>419</v>
      </c>
      <c r="F19" s="80" t="s">
        <v>981</v>
      </c>
      <c r="G19" s="80" t="s">
        <v>982</v>
      </c>
      <c r="H19" s="80" t="s">
        <v>983</v>
      </c>
      <c r="I19" s="79" t="s">
        <v>373</v>
      </c>
      <c r="J19" s="80"/>
      <c r="K19" s="80"/>
      <c r="L19" s="80"/>
      <c r="M19" s="81" t="s">
        <v>557</v>
      </c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984</v>
      </c>
      <c r="E20" s="77" t="s">
        <v>419</v>
      </c>
      <c r="F20" s="77" t="s">
        <v>981</v>
      </c>
      <c r="G20" s="77" t="s">
        <v>985</v>
      </c>
      <c r="H20" s="77" t="s">
        <v>986</v>
      </c>
      <c r="I20" s="68" t="s">
        <v>373</v>
      </c>
      <c r="J20" s="77"/>
      <c r="K20" s="77"/>
      <c r="L20" s="77"/>
      <c r="M20" s="77"/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987</v>
      </c>
      <c r="E21" s="80" t="s">
        <v>419</v>
      </c>
      <c r="F21" s="80" t="s">
        <v>981</v>
      </c>
      <c r="G21" s="80" t="s">
        <v>988</v>
      </c>
      <c r="H21" s="80" t="s">
        <v>989</v>
      </c>
      <c r="I21" s="79" t="s">
        <v>373</v>
      </c>
      <c r="J21" s="80"/>
      <c r="K21" s="80"/>
      <c r="L21" s="80"/>
      <c r="M21" s="80"/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990</v>
      </c>
      <c r="E22" s="77" t="s">
        <v>419</v>
      </c>
      <c r="F22" s="77" t="s">
        <v>981</v>
      </c>
      <c r="G22" s="77" t="s">
        <v>991</v>
      </c>
      <c r="H22" s="77" t="s">
        <v>992</v>
      </c>
      <c r="I22" s="68" t="s">
        <v>373</v>
      </c>
      <c r="J22" s="77"/>
      <c r="K22" s="77"/>
      <c r="L22" s="77"/>
      <c r="M22" s="77"/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993</v>
      </c>
      <c r="E23" s="80" t="s">
        <v>419</v>
      </c>
      <c r="F23" s="80" t="s">
        <v>981</v>
      </c>
      <c r="G23" s="80" t="s">
        <v>994</v>
      </c>
      <c r="H23" s="80" t="s">
        <v>995</v>
      </c>
      <c r="I23" s="79" t="s">
        <v>373</v>
      </c>
      <c r="J23" s="80"/>
      <c r="K23" s="80"/>
      <c r="L23" s="80"/>
      <c r="M23" s="81" t="s">
        <v>557</v>
      </c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996</v>
      </c>
      <c r="E24" s="77" t="s">
        <v>419</v>
      </c>
      <c r="F24" s="77" t="s">
        <v>997</v>
      </c>
      <c r="G24" s="77" t="s">
        <v>998</v>
      </c>
      <c r="H24" s="77" t="s">
        <v>999</v>
      </c>
      <c r="I24" s="68" t="s">
        <v>373</v>
      </c>
      <c r="J24" s="77"/>
      <c r="K24" s="77"/>
      <c r="L24" s="77"/>
      <c r="M24" s="77"/>
      <c r="N24" s="78" t="s">
        <v>586</v>
      </c>
      <c r="O24" s="77"/>
      <c r="P24" s="77"/>
      <c r="Q24" s="77"/>
      <c r="R24" s="77"/>
      <c r="S24" s="77"/>
    </row>
    <row r="25" ht="15.0" customHeight="1">
      <c r="A25" s="79"/>
      <c r="B25" s="79"/>
      <c r="C25" s="79"/>
      <c r="D25" s="79" t="s">
        <v>1000</v>
      </c>
      <c r="E25" s="80" t="s">
        <v>419</v>
      </c>
      <c r="F25" s="80" t="s">
        <v>997</v>
      </c>
      <c r="G25" s="80" t="s">
        <v>1001</v>
      </c>
      <c r="H25" s="80" t="s">
        <v>1002</v>
      </c>
      <c r="I25" s="79" t="s">
        <v>373</v>
      </c>
      <c r="J25" s="80"/>
      <c r="K25" s="80"/>
      <c r="L25" s="80"/>
      <c r="M25" s="80"/>
      <c r="N25" s="82" t="s">
        <v>586</v>
      </c>
      <c r="O25" s="80"/>
      <c r="P25" s="80"/>
      <c r="Q25" s="80"/>
      <c r="R25" s="80"/>
      <c r="S25" s="80"/>
    </row>
    <row r="26" ht="15.0" customHeight="1">
      <c r="A26" s="68"/>
      <c r="B26" s="68"/>
      <c r="C26" s="68"/>
      <c r="D26" s="68" t="s">
        <v>1003</v>
      </c>
      <c r="E26" s="77" t="s">
        <v>419</v>
      </c>
      <c r="F26" s="77" t="s">
        <v>997</v>
      </c>
      <c r="G26" s="77" t="s">
        <v>1004</v>
      </c>
      <c r="H26" s="77" t="s">
        <v>1005</v>
      </c>
      <c r="I26" s="68" t="s">
        <v>373</v>
      </c>
      <c r="J26" s="77"/>
      <c r="K26" s="77"/>
      <c r="L26" s="77"/>
      <c r="M26" s="77"/>
      <c r="N26" s="78" t="s">
        <v>586</v>
      </c>
      <c r="O26" s="77"/>
      <c r="P26" s="77"/>
      <c r="Q26" s="77"/>
      <c r="R26" s="77"/>
      <c r="S26" s="77"/>
    </row>
    <row r="27" ht="15.0" customHeight="1">
      <c r="A27" s="79"/>
      <c r="B27" s="79"/>
      <c r="C27" s="79"/>
      <c r="D27" s="79" t="s">
        <v>1006</v>
      </c>
      <c r="E27" s="80" t="s">
        <v>419</v>
      </c>
      <c r="F27" s="80" t="s">
        <v>997</v>
      </c>
      <c r="G27" s="80" t="s">
        <v>1007</v>
      </c>
      <c r="H27" s="80" t="s">
        <v>1008</v>
      </c>
      <c r="I27" s="79" t="s">
        <v>373</v>
      </c>
      <c r="J27" s="80"/>
      <c r="K27" s="80"/>
      <c r="L27" s="80"/>
      <c r="M27" s="80"/>
      <c r="N27" s="82" t="s">
        <v>586</v>
      </c>
      <c r="O27" s="80"/>
      <c r="P27" s="80"/>
      <c r="Q27" s="80"/>
      <c r="R27" s="80"/>
      <c r="S27" s="80"/>
    </row>
    <row r="28" ht="15.0" customHeight="1">
      <c r="A28" s="68"/>
      <c r="B28" s="68"/>
      <c r="C28" s="68"/>
      <c r="D28" s="68" t="s">
        <v>1009</v>
      </c>
      <c r="E28" s="77" t="s">
        <v>419</v>
      </c>
      <c r="F28" s="77" t="s">
        <v>997</v>
      </c>
      <c r="G28" s="77" t="s">
        <v>1010</v>
      </c>
      <c r="H28" s="77" t="s">
        <v>1011</v>
      </c>
      <c r="I28" s="68" t="s">
        <v>373</v>
      </c>
      <c r="J28" s="77"/>
      <c r="K28" s="77"/>
      <c r="L28" s="77"/>
      <c r="M28" s="77"/>
      <c r="N28" s="78" t="s">
        <v>586</v>
      </c>
      <c r="O28" s="77"/>
      <c r="P28" s="77"/>
      <c r="Q28" s="77"/>
      <c r="R28" s="77"/>
      <c r="S28" s="77"/>
    </row>
    <row r="29" ht="15.0" customHeight="1">
      <c r="A29" s="79"/>
      <c r="B29" s="79"/>
      <c r="C29" s="79"/>
      <c r="D29" s="79" t="s">
        <v>1012</v>
      </c>
      <c r="E29" s="80" t="s">
        <v>419</v>
      </c>
      <c r="F29" s="80" t="s">
        <v>997</v>
      </c>
      <c r="G29" s="80" t="s">
        <v>1013</v>
      </c>
      <c r="H29" s="80" t="s">
        <v>1014</v>
      </c>
      <c r="I29" s="79" t="s">
        <v>373</v>
      </c>
      <c r="J29" s="80"/>
      <c r="K29" s="80"/>
      <c r="L29" s="80"/>
      <c r="M29" s="80"/>
      <c r="N29" s="82" t="s">
        <v>586</v>
      </c>
      <c r="O29" s="80"/>
      <c r="P29" s="80"/>
      <c r="Q29" s="80"/>
      <c r="R29" s="80"/>
      <c r="S29" s="80"/>
    </row>
    <row r="30" ht="15.0" customHeight="1">
      <c r="A30" s="68"/>
      <c r="B30" s="68"/>
      <c r="C30" s="68"/>
      <c r="D30" s="68" t="s">
        <v>1015</v>
      </c>
      <c r="E30" s="77" t="s">
        <v>419</v>
      </c>
      <c r="F30" s="77" t="s">
        <v>1016</v>
      </c>
      <c r="G30" s="77" t="s">
        <v>1017</v>
      </c>
      <c r="H30" s="77" t="s">
        <v>1018</v>
      </c>
      <c r="I30" s="68" t="s">
        <v>373</v>
      </c>
      <c r="J30" s="77"/>
      <c r="K30" s="77"/>
      <c r="L30" s="77"/>
      <c r="M30" s="77"/>
      <c r="N30" s="78" t="s">
        <v>586</v>
      </c>
      <c r="O30" s="77"/>
      <c r="P30" s="77"/>
      <c r="Q30" s="77"/>
      <c r="R30" s="77"/>
      <c r="S30" s="77"/>
    </row>
    <row r="31" ht="15.0" customHeight="1">
      <c r="A31" s="79"/>
      <c r="B31" s="79"/>
      <c r="C31" s="79"/>
      <c r="D31" s="79" t="s">
        <v>1019</v>
      </c>
      <c r="E31" s="80" t="s">
        <v>419</v>
      </c>
      <c r="F31" s="80" t="s">
        <v>1016</v>
      </c>
      <c r="G31" s="80" t="s">
        <v>1020</v>
      </c>
      <c r="H31" s="80" t="s">
        <v>1021</v>
      </c>
      <c r="I31" s="79" t="s">
        <v>373</v>
      </c>
      <c r="J31" s="80"/>
      <c r="K31" s="80"/>
      <c r="L31" s="80"/>
      <c r="M31" s="80"/>
      <c r="N31" s="82" t="s">
        <v>586</v>
      </c>
      <c r="O31" s="80"/>
      <c r="P31" s="80"/>
      <c r="Q31" s="80"/>
      <c r="R31" s="80"/>
      <c r="S31" s="80"/>
    </row>
    <row r="32" ht="15.0" customHeight="1">
      <c r="A32" s="68"/>
      <c r="B32" s="68"/>
      <c r="C32" s="68"/>
      <c r="D32" s="68" t="s">
        <v>1022</v>
      </c>
      <c r="E32" s="77" t="s">
        <v>419</v>
      </c>
      <c r="F32" s="77" t="s">
        <v>1016</v>
      </c>
      <c r="G32" s="77" t="s">
        <v>1023</v>
      </c>
      <c r="H32" s="77" t="s">
        <v>1024</v>
      </c>
      <c r="I32" s="68" t="s">
        <v>373</v>
      </c>
      <c r="J32" s="77"/>
      <c r="K32" s="77"/>
      <c r="L32" s="77"/>
      <c r="M32" s="77"/>
      <c r="N32" s="78" t="s">
        <v>586</v>
      </c>
      <c r="O32" s="77"/>
      <c r="P32" s="77"/>
      <c r="Q32" s="77"/>
      <c r="R32" s="77"/>
      <c r="S32" s="77"/>
    </row>
    <row r="33" ht="15.0" customHeight="1">
      <c r="A33" s="79"/>
      <c r="B33" s="79"/>
      <c r="C33" s="79"/>
      <c r="D33" s="79" t="s">
        <v>1025</v>
      </c>
      <c r="E33" s="80" t="s">
        <v>419</v>
      </c>
      <c r="F33" s="80" t="s">
        <v>1016</v>
      </c>
      <c r="G33" s="80" t="s">
        <v>1026</v>
      </c>
      <c r="H33" s="80" t="s">
        <v>1027</v>
      </c>
      <c r="I33" s="79" t="s">
        <v>373</v>
      </c>
      <c r="J33" s="80"/>
      <c r="K33" s="80"/>
      <c r="L33" s="80"/>
      <c r="M33" s="80"/>
      <c r="N33" s="82" t="s">
        <v>586</v>
      </c>
      <c r="O33" s="80"/>
      <c r="P33" s="80"/>
      <c r="Q33" s="80"/>
      <c r="R33" s="80"/>
      <c r="S33" s="80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33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33">
    <cfRule type="cellIs" dxfId="10" priority="4" operator="equal">
      <formula>"OK"</formula>
    </cfRule>
  </conditionalFormatting>
  <conditionalFormatting sqref="I2:I33">
    <cfRule type="cellIs" dxfId="5" priority="5" operator="equal">
      <formula>"NOT OK"</formula>
    </cfRule>
  </conditionalFormatting>
  <conditionalFormatting sqref="I2:I33">
    <cfRule type="cellIs" dxfId="11" priority="6" operator="equal">
      <formula>"Pending"</formula>
    </cfRule>
  </conditionalFormatting>
  <conditionalFormatting sqref="I2:I33">
    <cfRule type="cellIs" dxfId="12" priority="7" operator="equal">
      <formula>"N/A"</formula>
    </cfRule>
  </conditionalFormatting>
  <conditionalFormatting sqref="A2:S33">
    <cfRule type="expression" dxfId="13" priority="8">
      <formula>$I2="NOT OK"</formula>
    </cfRule>
  </conditionalFormatting>
  <conditionalFormatting sqref="P2:P33">
    <cfRule type="cellIs" dxfId="10" priority="9" operator="equal">
      <formula>"Yes"</formula>
    </cfRule>
  </conditionalFormatting>
  <conditionalFormatting sqref="P2:P33">
    <cfRule type="cellIs" dxfId="11" priority="10" operator="equal">
      <formula>"In Progress"</formula>
    </cfRule>
  </conditionalFormatting>
  <conditionalFormatting sqref="P2:P33">
    <cfRule type="cellIs" dxfId="5" priority="11" operator="equal">
      <formula>"No"</formula>
    </cfRule>
  </conditionalFormatting>
  <conditionalFormatting sqref="O2:O33">
    <cfRule type="expression" dxfId="14" priority="12">
      <formula>AND($I2="NOT OK",O2="")</formula>
    </cfRule>
  </conditionalFormatting>
  <dataValidations>
    <dataValidation type="list" allowBlank="1" sqref="P2:P33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33">
      <formula1>CONFIG!$D$2:$D$5</formula1>
    </dataValidation>
    <dataValidation type="list" allowBlank="1" sqref="B2:B1000">
      <formula1>CONFIG!$B$2:$B$44</formula1>
    </dataValidation>
  </dataValidations>
  <hyperlinks>
    <hyperlink r:id="rId2" ref="M7"/>
    <hyperlink r:id="rId3" ref="M13"/>
    <hyperlink r:id="rId4" ref="M14"/>
    <hyperlink r:id="rId5" ref="M15"/>
    <hyperlink r:id="rId6" ref="M16"/>
    <hyperlink r:id="rId7" ref="M17"/>
    <hyperlink r:id="rId8" ref="M18"/>
    <hyperlink r:id="rId9" ref="M19"/>
    <hyperlink r:id="rId10" ref="M23"/>
  </hyperlinks>
  <printOptions/>
  <pageMargins bottom="1.0" footer="0.0" header="0.0" left="0.75" right="0.75" top="1.0"/>
  <pageSetup paperSize="9" orientation="portrait"/>
  <drawing r:id="rId11"/>
  <legacy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1028</v>
      </c>
      <c r="E2" s="77" t="s">
        <v>368</v>
      </c>
      <c r="F2" s="77" t="s">
        <v>1029</v>
      </c>
      <c r="G2" s="77" t="s">
        <v>1030</v>
      </c>
      <c r="H2" s="77" t="s">
        <v>1031</v>
      </c>
      <c r="I2" s="68" t="s">
        <v>373</v>
      </c>
      <c r="J2" s="77"/>
      <c r="K2" s="77"/>
      <c r="L2" s="77"/>
      <c r="M2" s="81" t="s">
        <v>557</v>
      </c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1032</v>
      </c>
      <c r="E3" s="80" t="s">
        <v>368</v>
      </c>
      <c r="F3" s="80" t="s">
        <v>1029</v>
      </c>
      <c r="G3" s="80" t="s">
        <v>1033</v>
      </c>
      <c r="H3" s="80" t="s">
        <v>1034</v>
      </c>
      <c r="I3" s="79" t="s">
        <v>373</v>
      </c>
      <c r="J3" s="80"/>
      <c r="K3" s="80"/>
      <c r="L3" s="80"/>
      <c r="M3" s="81" t="s">
        <v>557</v>
      </c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1035</v>
      </c>
      <c r="E4" s="77" t="s">
        <v>368</v>
      </c>
      <c r="F4" s="77" t="s">
        <v>1029</v>
      </c>
      <c r="G4" s="77" t="s">
        <v>1036</v>
      </c>
      <c r="H4" s="77" t="s">
        <v>1037</v>
      </c>
      <c r="I4" s="68" t="s">
        <v>373</v>
      </c>
      <c r="J4" s="77"/>
      <c r="K4" s="77"/>
      <c r="L4" s="77"/>
      <c r="M4" s="81" t="s">
        <v>557</v>
      </c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1038</v>
      </c>
      <c r="E5" s="80" t="s">
        <v>368</v>
      </c>
      <c r="F5" s="80" t="s">
        <v>1029</v>
      </c>
      <c r="G5" s="80" t="s">
        <v>1039</v>
      </c>
      <c r="H5" s="80" t="s">
        <v>1040</v>
      </c>
      <c r="I5" s="79" t="s">
        <v>373</v>
      </c>
      <c r="J5" s="80"/>
      <c r="K5" s="80"/>
      <c r="L5" s="80"/>
      <c r="M5" s="81" t="s">
        <v>557</v>
      </c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1041</v>
      </c>
      <c r="E6" s="77" t="s">
        <v>368</v>
      </c>
      <c r="F6" s="77" t="s">
        <v>1029</v>
      </c>
      <c r="G6" s="77" t="s">
        <v>1042</v>
      </c>
      <c r="H6" s="77" t="s">
        <v>1043</v>
      </c>
      <c r="I6" s="68" t="s">
        <v>373</v>
      </c>
      <c r="J6" s="77"/>
      <c r="K6" s="77"/>
      <c r="L6" s="77"/>
      <c r="M6" s="81" t="s">
        <v>557</v>
      </c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1044</v>
      </c>
      <c r="E7" s="80" t="s">
        <v>368</v>
      </c>
      <c r="F7" s="80" t="s">
        <v>1029</v>
      </c>
      <c r="G7" s="80" t="s">
        <v>1045</v>
      </c>
      <c r="H7" s="80" t="s">
        <v>1046</v>
      </c>
      <c r="I7" s="79" t="s">
        <v>373</v>
      </c>
      <c r="J7" s="80"/>
      <c r="K7" s="80"/>
      <c r="L7" s="80"/>
      <c r="M7" s="81" t="s">
        <v>557</v>
      </c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1047</v>
      </c>
      <c r="E8" s="77" t="s">
        <v>368</v>
      </c>
      <c r="F8" s="77" t="s">
        <v>1029</v>
      </c>
      <c r="G8" s="77" t="s">
        <v>1048</v>
      </c>
      <c r="H8" s="77" t="s">
        <v>1049</v>
      </c>
      <c r="I8" s="68" t="s">
        <v>373</v>
      </c>
      <c r="J8" s="77"/>
      <c r="K8" s="77"/>
      <c r="L8" s="77"/>
      <c r="M8" s="81" t="s">
        <v>557</v>
      </c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1050</v>
      </c>
      <c r="E9" s="80" t="s">
        <v>368</v>
      </c>
      <c r="F9" s="80" t="s">
        <v>1029</v>
      </c>
      <c r="G9" s="80" t="s">
        <v>1051</v>
      </c>
      <c r="H9" s="80" t="s">
        <v>1052</v>
      </c>
      <c r="I9" s="79" t="s">
        <v>373</v>
      </c>
      <c r="J9" s="80"/>
      <c r="K9" s="80"/>
      <c r="L9" s="80"/>
      <c r="M9" s="81" t="s">
        <v>557</v>
      </c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1053</v>
      </c>
      <c r="E10" s="77" t="s">
        <v>368</v>
      </c>
      <c r="F10" s="77" t="s">
        <v>1054</v>
      </c>
      <c r="G10" s="77" t="s">
        <v>1055</v>
      </c>
      <c r="H10" s="77" t="s">
        <v>1056</v>
      </c>
      <c r="I10" s="68" t="s">
        <v>373</v>
      </c>
      <c r="J10" s="77"/>
      <c r="K10" s="77"/>
      <c r="L10" s="77"/>
      <c r="M10" s="81" t="s">
        <v>557</v>
      </c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1057</v>
      </c>
      <c r="E11" s="80" t="s">
        <v>368</v>
      </c>
      <c r="F11" s="80" t="s">
        <v>1054</v>
      </c>
      <c r="G11" s="80" t="s">
        <v>1058</v>
      </c>
      <c r="H11" s="80" t="s">
        <v>1059</v>
      </c>
      <c r="I11" s="79" t="s">
        <v>373</v>
      </c>
      <c r="J11" s="80"/>
      <c r="K11" s="80"/>
      <c r="L11" s="80"/>
      <c r="M11" s="81" t="s">
        <v>557</v>
      </c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1060</v>
      </c>
      <c r="E12" s="77" t="s">
        <v>368</v>
      </c>
      <c r="F12" s="77" t="s">
        <v>1054</v>
      </c>
      <c r="G12" s="77" t="s">
        <v>1061</v>
      </c>
      <c r="H12" s="77" t="s">
        <v>1062</v>
      </c>
      <c r="I12" s="68" t="s">
        <v>373</v>
      </c>
      <c r="J12" s="77"/>
      <c r="K12" s="77"/>
      <c r="L12" s="77"/>
      <c r="M12" s="81" t="s">
        <v>557</v>
      </c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1063</v>
      </c>
      <c r="E13" s="80" t="s">
        <v>368</v>
      </c>
      <c r="F13" s="80" t="s">
        <v>1054</v>
      </c>
      <c r="G13" s="80" t="s">
        <v>1064</v>
      </c>
      <c r="H13" s="80" t="s">
        <v>1065</v>
      </c>
      <c r="I13" s="79" t="s">
        <v>373</v>
      </c>
      <c r="J13" s="80"/>
      <c r="K13" s="80"/>
      <c r="L13" s="80"/>
      <c r="M13" s="81" t="s">
        <v>557</v>
      </c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1066</v>
      </c>
      <c r="E14" s="77" t="s">
        <v>368</v>
      </c>
      <c r="F14" s="77" t="s">
        <v>1054</v>
      </c>
      <c r="G14" s="77" t="s">
        <v>1067</v>
      </c>
      <c r="H14" s="77" t="s">
        <v>1068</v>
      </c>
      <c r="I14" s="68" t="s">
        <v>373</v>
      </c>
      <c r="J14" s="77"/>
      <c r="K14" s="77"/>
      <c r="L14" s="77"/>
      <c r="M14" s="81" t="s">
        <v>557</v>
      </c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1069</v>
      </c>
      <c r="E15" s="80" t="s">
        <v>368</v>
      </c>
      <c r="F15" s="80" t="s">
        <v>1054</v>
      </c>
      <c r="G15" s="80" t="s">
        <v>1070</v>
      </c>
      <c r="H15" s="80" t="s">
        <v>1071</v>
      </c>
      <c r="I15" s="79" t="s">
        <v>373</v>
      </c>
      <c r="J15" s="80"/>
      <c r="K15" s="80"/>
      <c r="L15" s="80"/>
      <c r="M15" s="81" t="s">
        <v>557</v>
      </c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1072</v>
      </c>
      <c r="E16" s="77" t="s">
        <v>368</v>
      </c>
      <c r="F16" s="77" t="s">
        <v>1054</v>
      </c>
      <c r="G16" s="77" t="s">
        <v>1073</v>
      </c>
      <c r="H16" s="77" t="s">
        <v>1074</v>
      </c>
      <c r="I16" s="68" t="s">
        <v>373</v>
      </c>
      <c r="J16" s="77"/>
      <c r="K16" s="77"/>
      <c r="L16" s="77"/>
      <c r="M16" s="81" t="s">
        <v>557</v>
      </c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1075</v>
      </c>
      <c r="E17" s="80" t="s">
        <v>368</v>
      </c>
      <c r="F17" s="80" t="s">
        <v>1076</v>
      </c>
      <c r="G17" s="80" t="s">
        <v>1077</v>
      </c>
      <c r="H17" s="80" t="s">
        <v>1078</v>
      </c>
      <c r="I17" s="79" t="s">
        <v>373</v>
      </c>
      <c r="J17" s="80"/>
      <c r="K17" s="80"/>
      <c r="L17" s="80"/>
      <c r="M17" s="81" t="s">
        <v>557</v>
      </c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1079</v>
      </c>
      <c r="E18" s="77" t="s">
        <v>368</v>
      </c>
      <c r="F18" s="77" t="s">
        <v>1076</v>
      </c>
      <c r="G18" s="77" t="s">
        <v>1080</v>
      </c>
      <c r="H18" s="77" t="s">
        <v>1081</v>
      </c>
      <c r="I18" s="68" t="s">
        <v>373</v>
      </c>
      <c r="J18" s="77"/>
      <c r="K18" s="77"/>
      <c r="L18" s="77"/>
      <c r="M18" s="81" t="s">
        <v>557</v>
      </c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1082</v>
      </c>
      <c r="E19" s="80" t="s">
        <v>368</v>
      </c>
      <c r="F19" s="80" t="s">
        <v>1076</v>
      </c>
      <c r="G19" s="80" t="s">
        <v>1083</v>
      </c>
      <c r="H19" s="80" t="s">
        <v>1084</v>
      </c>
      <c r="I19" s="79" t="s">
        <v>373</v>
      </c>
      <c r="J19" s="80"/>
      <c r="K19" s="80"/>
      <c r="L19" s="80"/>
      <c r="M19" s="81" t="s">
        <v>557</v>
      </c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1085</v>
      </c>
      <c r="E20" s="77" t="s">
        <v>368</v>
      </c>
      <c r="F20" s="77" t="s">
        <v>1076</v>
      </c>
      <c r="G20" s="77" t="s">
        <v>1086</v>
      </c>
      <c r="H20" s="77" t="s">
        <v>1087</v>
      </c>
      <c r="I20" s="68" t="s">
        <v>373</v>
      </c>
      <c r="J20" s="77"/>
      <c r="K20" s="77"/>
      <c r="L20" s="77"/>
      <c r="M20" s="81" t="s">
        <v>557</v>
      </c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1088</v>
      </c>
      <c r="E21" s="80" t="s">
        <v>368</v>
      </c>
      <c r="F21" s="80" t="s">
        <v>1076</v>
      </c>
      <c r="G21" s="80" t="s">
        <v>1089</v>
      </c>
      <c r="H21" s="80" t="s">
        <v>1090</v>
      </c>
      <c r="I21" s="79" t="s">
        <v>373</v>
      </c>
      <c r="J21" s="80"/>
      <c r="K21" s="80"/>
      <c r="L21" s="80"/>
      <c r="M21" s="81" t="s">
        <v>557</v>
      </c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1091</v>
      </c>
      <c r="E22" s="77" t="s">
        <v>368</v>
      </c>
      <c r="F22" s="77" t="s">
        <v>1092</v>
      </c>
      <c r="G22" s="77" t="s">
        <v>1093</v>
      </c>
      <c r="H22" s="77" t="s">
        <v>1094</v>
      </c>
      <c r="I22" s="68" t="s">
        <v>373</v>
      </c>
      <c r="J22" s="77"/>
      <c r="K22" s="77"/>
      <c r="L22" s="77"/>
      <c r="M22" s="81" t="s">
        <v>557</v>
      </c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1095</v>
      </c>
      <c r="E23" s="80" t="s">
        <v>368</v>
      </c>
      <c r="F23" s="80" t="s">
        <v>1092</v>
      </c>
      <c r="G23" s="80" t="s">
        <v>1096</v>
      </c>
      <c r="H23" s="80" t="s">
        <v>1097</v>
      </c>
      <c r="I23" s="79" t="s">
        <v>373</v>
      </c>
      <c r="J23" s="80"/>
      <c r="K23" s="80"/>
      <c r="L23" s="80"/>
      <c r="M23" s="81" t="s">
        <v>557</v>
      </c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1098</v>
      </c>
      <c r="E24" s="77" t="s">
        <v>368</v>
      </c>
      <c r="F24" s="77" t="s">
        <v>1092</v>
      </c>
      <c r="G24" s="77" t="s">
        <v>1099</v>
      </c>
      <c r="H24" s="77" t="s">
        <v>1100</v>
      </c>
      <c r="I24" s="68" t="s">
        <v>373</v>
      </c>
      <c r="J24" s="77"/>
      <c r="K24" s="77"/>
      <c r="L24" s="77"/>
      <c r="M24" s="81" t="s">
        <v>557</v>
      </c>
      <c r="N24" s="78" t="s">
        <v>586</v>
      </c>
      <c r="O24" s="77"/>
      <c r="P24" s="77"/>
      <c r="Q24" s="77"/>
      <c r="R24" s="77"/>
      <c r="S24" s="77"/>
    </row>
    <row r="25" ht="15.0" customHeight="1">
      <c r="A25" s="79"/>
      <c r="B25" s="79"/>
      <c r="C25" s="79"/>
      <c r="D25" s="79" t="s">
        <v>1101</v>
      </c>
      <c r="E25" s="80" t="s">
        <v>368</v>
      </c>
      <c r="F25" s="80" t="s">
        <v>1092</v>
      </c>
      <c r="G25" s="80" t="s">
        <v>1102</v>
      </c>
      <c r="H25" s="80" t="s">
        <v>1103</v>
      </c>
      <c r="I25" s="79" t="s">
        <v>373</v>
      </c>
      <c r="J25" s="80"/>
      <c r="K25" s="80"/>
      <c r="L25" s="80"/>
      <c r="M25" s="81" t="s">
        <v>557</v>
      </c>
      <c r="N25" s="82" t="s">
        <v>586</v>
      </c>
      <c r="O25" s="80"/>
      <c r="P25" s="80"/>
      <c r="Q25" s="80"/>
      <c r="R25" s="80"/>
      <c r="S25" s="80"/>
    </row>
    <row r="26" ht="15.0" customHeight="1">
      <c r="A26" s="68"/>
      <c r="B26" s="68"/>
      <c r="C26" s="68"/>
      <c r="D26" s="68" t="s">
        <v>1104</v>
      </c>
      <c r="E26" s="77" t="s">
        <v>368</v>
      </c>
      <c r="F26" s="77" t="s">
        <v>1105</v>
      </c>
      <c r="G26" s="77" t="s">
        <v>1106</v>
      </c>
      <c r="H26" s="77" t="s">
        <v>1107</v>
      </c>
      <c r="I26" s="68" t="s">
        <v>373</v>
      </c>
      <c r="J26" s="77"/>
      <c r="K26" s="77"/>
      <c r="L26" s="77"/>
      <c r="M26" s="81" t="s">
        <v>557</v>
      </c>
      <c r="N26" s="78" t="s">
        <v>586</v>
      </c>
      <c r="O26" s="77"/>
      <c r="P26" s="77"/>
      <c r="Q26" s="77"/>
      <c r="R26" s="77"/>
      <c r="S26" s="77"/>
    </row>
    <row r="27" ht="15.0" customHeight="1">
      <c r="A27" s="79"/>
      <c r="B27" s="79"/>
      <c r="C27" s="79"/>
      <c r="D27" s="79" t="s">
        <v>1108</v>
      </c>
      <c r="E27" s="80" t="s">
        <v>368</v>
      </c>
      <c r="F27" s="80" t="s">
        <v>1105</v>
      </c>
      <c r="G27" s="80" t="s">
        <v>1109</v>
      </c>
      <c r="H27" s="80" t="s">
        <v>1110</v>
      </c>
      <c r="I27" s="79" t="s">
        <v>373</v>
      </c>
      <c r="J27" s="80"/>
      <c r="K27" s="80"/>
      <c r="L27" s="80"/>
      <c r="M27" s="81" t="s">
        <v>557</v>
      </c>
      <c r="N27" s="82" t="s">
        <v>586</v>
      </c>
      <c r="O27" s="80"/>
      <c r="P27" s="80"/>
      <c r="Q27" s="80"/>
      <c r="R27" s="80"/>
      <c r="S27" s="80"/>
    </row>
    <row r="28" ht="15.0" customHeight="1">
      <c r="A28" s="68"/>
      <c r="B28" s="68"/>
      <c r="C28" s="68"/>
      <c r="D28" s="68" t="s">
        <v>1111</v>
      </c>
      <c r="E28" s="77" t="s">
        <v>368</v>
      </c>
      <c r="F28" s="77" t="s">
        <v>1112</v>
      </c>
      <c r="G28" s="77" t="s">
        <v>1113</v>
      </c>
      <c r="H28" s="77" t="s">
        <v>1114</v>
      </c>
      <c r="I28" s="68" t="s">
        <v>373</v>
      </c>
      <c r="J28" s="77"/>
      <c r="K28" s="77"/>
      <c r="L28" s="77"/>
      <c r="M28" s="81" t="s">
        <v>557</v>
      </c>
      <c r="N28" s="78" t="s">
        <v>586</v>
      </c>
      <c r="O28" s="77"/>
      <c r="P28" s="77"/>
      <c r="Q28" s="77"/>
      <c r="R28" s="77"/>
      <c r="S28" s="77"/>
    </row>
    <row r="29" ht="15.0" customHeight="1">
      <c r="A29" s="79"/>
      <c r="B29" s="79"/>
      <c r="C29" s="79"/>
      <c r="D29" s="79" t="s">
        <v>1115</v>
      </c>
      <c r="E29" s="80" t="s">
        <v>368</v>
      </c>
      <c r="F29" s="80" t="s">
        <v>1112</v>
      </c>
      <c r="G29" s="80" t="s">
        <v>1116</v>
      </c>
      <c r="H29" s="80" t="s">
        <v>1117</v>
      </c>
      <c r="I29" s="79" t="s">
        <v>373</v>
      </c>
      <c r="J29" s="80"/>
      <c r="K29" s="80"/>
      <c r="L29" s="80"/>
      <c r="M29" s="81" t="s">
        <v>557</v>
      </c>
      <c r="N29" s="82" t="s">
        <v>586</v>
      </c>
      <c r="O29" s="80"/>
      <c r="P29" s="80"/>
      <c r="Q29" s="80"/>
      <c r="R29" s="80"/>
      <c r="S29" s="80"/>
    </row>
    <row r="30" ht="15.0" customHeight="1">
      <c r="A30" s="68"/>
      <c r="B30" s="68"/>
      <c r="C30" s="68"/>
      <c r="D30" s="68" t="s">
        <v>1118</v>
      </c>
      <c r="E30" s="77" t="s">
        <v>368</v>
      </c>
      <c r="F30" s="77" t="s">
        <v>1119</v>
      </c>
      <c r="G30" s="77" t="s">
        <v>1120</v>
      </c>
      <c r="H30" s="77" t="s">
        <v>1121</v>
      </c>
      <c r="I30" s="68" t="s">
        <v>373</v>
      </c>
      <c r="J30" s="77"/>
      <c r="K30" s="77"/>
      <c r="L30" s="77"/>
      <c r="M30" s="81" t="s">
        <v>557</v>
      </c>
      <c r="N30" s="78" t="s">
        <v>586</v>
      </c>
      <c r="O30" s="77"/>
      <c r="P30" s="77"/>
      <c r="Q30" s="77"/>
      <c r="R30" s="77"/>
      <c r="S30" s="77"/>
    </row>
    <row r="31" ht="15.0" customHeight="1">
      <c r="A31" s="79"/>
      <c r="B31" s="79"/>
      <c r="C31" s="79"/>
      <c r="D31" s="79" t="s">
        <v>1122</v>
      </c>
      <c r="E31" s="80" t="s">
        <v>368</v>
      </c>
      <c r="F31" s="80" t="s">
        <v>1119</v>
      </c>
      <c r="G31" s="80" t="s">
        <v>1123</v>
      </c>
      <c r="H31" s="80" t="s">
        <v>1124</v>
      </c>
      <c r="I31" s="79" t="s">
        <v>373</v>
      </c>
      <c r="J31" s="80"/>
      <c r="K31" s="80"/>
      <c r="L31" s="80"/>
      <c r="M31" s="81" t="s">
        <v>557</v>
      </c>
      <c r="N31" s="82" t="s">
        <v>586</v>
      </c>
      <c r="O31" s="80"/>
      <c r="P31" s="80"/>
      <c r="Q31" s="80"/>
      <c r="R31" s="80"/>
      <c r="S31" s="80"/>
    </row>
    <row r="32" ht="15.0" customHeight="1">
      <c r="A32" s="68"/>
      <c r="B32" s="68"/>
      <c r="C32" s="68"/>
      <c r="D32" s="68" t="s">
        <v>1125</v>
      </c>
      <c r="E32" s="77" t="s">
        <v>368</v>
      </c>
      <c r="F32" s="77" t="s">
        <v>1119</v>
      </c>
      <c r="G32" s="77" t="s">
        <v>1126</v>
      </c>
      <c r="H32" s="77" t="s">
        <v>1127</v>
      </c>
      <c r="I32" s="68" t="s">
        <v>373</v>
      </c>
      <c r="J32" s="77"/>
      <c r="K32" s="77"/>
      <c r="L32" s="77"/>
      <c r="M32" s="81" t="s">
        <v>557</v>
      </c>
      <c r="N32" s="78" t="s">
        <v>586</v>
      </c>
      <c r="O32" s="77"/>
      <c r="P32" s="77"/>
      <c r="Q32" s="77"/>
      <c r="R32" s="77"/>
      <c r="S32" s="77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32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32">
    <cfRule type="cellIs" dxfId="10" priority="4" operator="equal">
      <formula>"OK"</formula>
    </cfRule>
  </conditionalFormatting>
  <conditionalFormatting sqref="I2:I32">
    <cfRule type="cellIs" dxfId="5" priority="5" operator="equal">
      <formula>"NOT OK"</formula>
    </cfRule>
  </conditionalFormatting>
  <conditionalFormatting sqref="I2:I32">
    <cfRule type="cellIs" dxfId="11" priority="6" operator="equal">
      <formula>"Pending"</formula>
    </cfRule>
  </conditionalFormatting>
  <conditionalFormatting sqref="I2:I32">
    <cfRule type="cellIs" dxfId="12" priority="7" operator="equal">
      <formula>"N/A"</formula>
    </cfRule>
  </conditionalFormatting>
  <conditionalFormatting sqref="A2:S32">
    <cfRule type="expression" dxfId="13" priority="8">
      <formula>$I2="NOT OK"</formula>
    </cfRule>
  </conditionalFormatting>
  <conditionalFormatting sqref="P2:P32">
    <cfRule type="cellIs" dxfId="10" priority="9" operator="equal">
      <formula>"Yes"</formula>
    </cfRule>
  </conditionalFormatting>
  <conditionalFormatting sqref="P2:P32">
    <cfRule type="cellIs" dxfId="11" priority="10" operator="equal">
      <formula>"In Progress"</formula>
    </cfRule>
  </conditionalFormatting>
  <conditionalFormatting sqref="P2:P32">
    <cfRule type="cellIs" dxfId="5" priority="11" operator="equal">
      <formula>"No"</formula>
    </cfRule>
  </conditionalFormatting>
  <conditionalFormatting sqref="O2:O32">
    <cfRule type="expression" dxfId="14" priority="12">
      <formula>AND($I2="NOT OK",O2="")</formula>
    </cfRule>
  </conditionalFormatting>
  <dataValidations>
    <dataValidation type="list" allowBlank="1" sqref="P2:P32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32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  <hyperlink r:id="rId25" ref="M25"/>
    <hyperlink r:id="rId26" ref="M26"/>
    <hyperlink r:id="rId27" ref="M27"/>
    <hyperlink r:id="rId28" ref="M28"/>
    <hyperlink r:id="rId29" ref="M29"/>
    <hyperlink r:id="rId30" ref="M30"/>
    <hyperlink r:id="rId31" ref="M31"/>
    <hyperlink r:id="rId32" ref="M32"/>
  </hyperlinks>
  <printOptions/>
  <pageMargins bottom="1.0" footer="0.0" header="0.0" left="0.75" right="0.75" top="1.0"/>
  <pageSetup paperSize="9" orientation="portrait"/>
  <drawing r:id="rId33"/>
  <legacyDrawing r:id="rId3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1128</v>
      </c>
      <c r="E2" s="77" t="s">
        <v>379</v>
      </c>
      <c r="F2" s="77" t="s">
        <v>668</v>
      </c>
      <c r="G2" s="77" t="s">
        <v>1129</v>
      </c>
      <c r="H2" s="77" t="s">
        <v>1130</v>
      </c>
      <c r="I2" s="68" t="s">
        <v>373</v>
      </c>
      <c r="J2" s="77"/>
      <c r="K2" s="77"/>
      <c r="L2" s="77"/>
      <c r="M2" s="77"/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1131</v>
      </c>
      <c r="E3" s="80" t="s">
        <v>379</v>
      </c>
      <c r="F3" s="80" t="s">
        <v>668</v>
      </c>
      <c r="G3" s="80" t="s">
        <v>1132</v>
      </c>
      <c r="H3" s="80" t="s">
        <v>1133</v>
      </c>
      <c r="I3" s="79" t="s">
        <v>373</v>
      </c>
      <c r="J3" s="80"/>
      <c r="K3" s="80"/>
      <c r="L3" s="80"/>
      <c r="M3" s="80"/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1134</v>
      </c>
      <c r="E4" s="77" t="s">
        <v>379</v>
      </c>
      <c r="F4" s="77" t="s">
        <v>668</v>
      </c>
      <c r="G4" s="77" t="s">
        <v>1135</v>
      </c>
      <c r="H4" s="77" t="s">
        <v>1136</v>
      </c>
      <c r="I4" s="68" t="s">
        <v>373</v>
      </c>
      <c r="J4" s="77"/>
      <c r="K4" s="77"/>
      <c r="L4" s="77"/>
      <c r="M4" s="77"/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1137</v>
      </c>
      <c r="E5" s="80" t="s">
        <v>379</v>
      </c>
      <c r="F5" s="80" t="s">
        <v>752</v>
      </c>
      <c r="G5" s="80" t="s">
        <v>1138</v>
      </c>
      <c r="H5" s="80" t="s">
        <v>1139</v>
      </c>
      <c r="I5" s="79" t="s">
        <v>373</v>
      </c>
      <c r="J5" s="80"/>
      <c r="K5" s="80"/>
      <c r="L5" s="80"/>
      <c r="M5" s="80"/>
      <c r="N5" s="82" t="s">
        <v>586</v>
      </c>
      <c r="O5" s="80"/>
      <c r="P5" s="80"/>
      <c r="Q5" s="80"/>
      <c r="R5" s="80"/>
      <c r="S5" s="80"/>
    </row>
    <row r="6" ht="23.25" customHeight="1">
      <c r="A6" s="68"/>
      <c r="B6" s="68"/>
      <c r="C6" s="68"/>
      <c r="D6" s="68" t="s">
        <v>1140</v>
      </c>
      <c r="E6" s="77" t="s">
        <v>379</v>
      </c>
      <c r="F6" s="77" t="s">
        <v>752</v>
      </c>
      <c r="G6" s="77" t="s">
        <v>1141</v>
      </c>
      <c r="H6" s="77" t="s">
        <v>1142</v>
      </c>
      <c r="I6" s="68" t="s">
        <v>373</v>
      </c>
      <c r="J6" s="77"/>
      <c r="K6" s="77"/>
      <c r="L6" s="77"/>
      <c r="M6" s="77"/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1143</v>
      </c>
      <c r="E7" s="80" t="s">
        <v>379</v>
      </c>
      <c r="F7" s="80" t="s">
        <v>752</v>
      </c>
      <c r="G7" s="80" t="s">
        <v>1144</v>
      </c>
      <c r="H7" s="80" t="s">
        <v>1145</v>
      </c>
      <c r="I7" s="79" t="s">
        <v>373</v>
      </c>
      <c r="J7" s="80"/>
      <c r="K7" s="80"/>
      <c r="L7" s="80"/>
      <c r="M7" s="80"/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1146</v>
      </c>
      <c r="E8" s="77" t="s">
        <v>379</v>
      </c>
      <c r="F8" s="77" t="s">
        <v>752</v>
      </c>
      <c r="G8" s="77" t="s">
        <v>1147</v>
      </c>
      <c r="H8" s="77" t="s">
        <v>1148</v>
      </c>
      <c r="I8" s="68" t="s">
        <v>373</v>
      </c>
      <c r="J8" s="77"/>
      <c r="K8" s="77"/>
      <c r="L8" s="77"/>
      <c r="M8" s="77"/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1149</v>
      </c>
      <c r="E9" s="80" t="s">
        <v>379</v>
      </c>
      <c r="F9" s="80" t="s">
        <v>1150</v>
      </c>
      <c r="G9" s="80" t="s">
        <v>1151</v>
      </c>
      <c r="H9" s="80" t="s">
        <v>1152</v>
      </c>
      <c r="I9" s="79" t="s">
        <v>373</v>
      </c>
      <c r="J9" s="80"/>
      <c r="K9" s="80"/>
      <c r="L9" s="80"/>
      <c r="M9" s="80"/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1153</v>
      </c>
      <c r="E10" s="77" t="s">
        <v>379</v>
      </c>
      <c r="F10" s="77" t="s">
        <v>1150</v>
      </c>
      <c r="G10" s="77" t="s">
        <v>1154</v>
      </c>
      <c r="H10" s="77" t="s">
        <v>1155</v>
      </c>
      <c r="I10" s="68" t="s">
        <v>373</v>
      </c>
      <c r="J10" s="77"/>
      <c r="K10" s="77"/>
      <c r="L10" s="77"/>
      <c r="M10" s="77"/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1156</v>
      </c>
      <c r="E11" s="80" t="s">
        <v>379</v>
      </c>
      <c r="F11" s="80" t="s">
        <v>1150</v>
      </c>
      <c r="G11" s="80" t="s">
        <v>1157</v>
      </c>
      <c r="H11" s="80" t="s">
        <v>1158</v>
      </c>
      <c r="I11" s="79" t="s">
        <v>373</v>
      </c>
      <c r="J11" s="80"/>
      <c r="K11" s="80"/>
      <c r="L11" s="80"/>
      <c r="M11" s="80"/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1159</v>
      </c>
      <c r="E12" s="77" t="s">
        <v>379</v>
      </c>
      <c r="F12" s="77" t="s">
        <v>1150</v>
      </c>
      <c r="G12" s="77" t="s">
        <v>1160</v>
      </c>
      <c r="H12" s="77" t="s">
        <v>1161</v>
      </c>
      <c r="I12" s="68" t="s">
        <v>373</v>
      </c>
      <c r="J12" s="77"/>
      <c r="K12" s="77"/>
      <c r="L12" s="77"/>
      <c r="M12" s="77"/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1162</v>
      </c>
      <c r="E13" s="80" t="s">
        <v>379</v>
      </c>
      <c r="F13" s="80" t="s">
        <v>1150</v>
      </c>
      <c r="G13" s="80" t="s">
        <v>1163</v>
      </c>
      <c r="H13" s="80" t="s">
        <v>1164</v>
      </c>
      <c r="I13" s="79" t="s">
        <v>373</v>
      </c>
      <c r="J13" s="80"/>
      <c r="K13" s="80"/>
      <c r="L13" s="80"/>
      <c r="M13" s="80"/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1165</v>
      </c>
      <c r="E14" s="77" t="s">
        <v>379</v>
      </c>
      <c r="F14" s="77" t="s">
        <v>1166</v>
      </c>
      <c r="G14" s="77" t="s">
        <v>1167</v>
      </c>
      <c r="H14" s="77" t="s">
        <v>1168</v>
      </c>
      <c r="I14" s="68" t="s">
        <v>373</v>
      </c>
      <c r="J14" s="77"/>
      <c r="K14" s="77"/>
      <c r="L14" s="77"/>
      <c r="M14" s="77"/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1169</v>
      </c>
      <c r="E15" s="80" t="s">
        <v>379</v>
      </c>
      <c r="F15" s="80" t="s">
        <v>1166</v>
      </c>
      <c r="G15" s="80" t="s">
        <v>1170</v>
      </c>
      <c r="H15" s="80" t="s">
        <v>1171</v>
      </c>
      <c r="I15" s="79" t="s">
        <v>373</v>
      </c>
      <c r="J15" s="80"/>
      <c r="K15" s="80"/>
      <c r="L15" s="80"/>
      <c r="M15" s="80"/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1172</v>
      </c>
      <c r="E16" s="77" t="s">
        <v>379</v>
      </c>
      <c r="F16" s="77" t="s">
        <v>1166</v>
      </c>
      <c r="G16" s="77" t="s">
        <v>1173</v>
      </c>
      <c r="H16" s="77" t="s">
        <v>1174</v>
      </c>
      <c r="I16" s="68" t="s">
        <v>373</v>
      </c>
      <c r="J16" s="77"/>
      <c r="K16" s="77"/>
      <c r="L16" s="77"/>
      <c r="M16" s="77"/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1175</v>
      </c>
      <c r="E17" s="80" t="s">
        <v>379</v>
      </c>
      <c r="F17" s="80" t="s">
        <v>1166</v>
      </c>
      <c r="G17" s="80" t="s">
        <v>1176</v>
      </c>
      <c r="H17" s="80" t="s">
        <v>1177</v>
      </c>
      <c r="I17" s="79" t="s">
        <v>373</v>
      </c>
      <c r="J17" s="80"/>
      <c r="K17" s="80"/>
      <c r="L17" s="80"/>
      <c r="M17" s="80"/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1178</v>
      </c>
      <c r="E18" s="77" t="s">
        <v>379</v>
      </c>
      <c r="F18" s="77" t="s">
        <v>864</v>
      </c>
      <c r="G18" s="77" t="s">
        <v>1179</v>
      </c>
      <c r="H18" s="77" t="s">
        <v>1180</v>
      </c>
      <c r="I18" s="68" t="s">
        <v>373</v>
      </c>
      <c r="J18" s="77"/>
      <c r="K18" s="77"/>
      <c r="L18" s="77"/>
      <c r="M18" s="77"/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1181</v>
      </c>
      <c r="E19" s="80" t="s">
        <v>379</v>
      </c>
      <c r="F19" s="80" t="s">
        <v>864</v>
      </c>
      <c r="G19" s="80" t="s">
        <v>1182</v>
      </c>
      <c r="H19" s="80" t="s">
        <v>1183</v>
      </c>
      <c r="I19" s="79" t="s">
        <v>373</v>
      </c>
      <c r="J19" s="80"/>
      <c r="K19" s="80"/>
      <c r="L19" s="80"/>
      <c r="M19" s="80"/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1184</v>
      </c>
      <c r="E20" s="77" t="s">
        <v>379</v>
      </c>
      <c r="F20" s="77" t="s">
        <v>864</v>
      </c>
      <c r="G20" s="77" t="s">
        <v>1185</v>
      </c>
      <c r="H20" s="77" t="s">
        <v>1186</v>
      </c>
      <c r="I20" s="68" t="s">
        <v>373</v>
      </c>
      <c r="J20" s="77"/>
      <c r="K20" s="77"/>
      <c r="L20" s="77"/>
      <c r="M20" s="77"/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1187</v>
      </c>
      <c r="E21" s="80" t="s">
        <v>379</v>
      </c>
      <c r="F21" s="80" t="s">
        <v>864</v>
      </c>
      <c r="G21" s="80" t="s">
        <v>1188</v>
      </c>
      <c r="H21" s="80" t="s">
        <v>1189</v>
      </c>
      <c r="I21" s="79" t="s">
        <v>373</v>
      </c>
      <c r="J21" s="80"/>
      <c r="K21" s="80"/>
      <c r="L21" s="80"/>
      <c r="M21" s="80"/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1190</v>
      </c>
      <c r="E22" s="77" t="s">
        <v>379</v>
      </c>
      <c r="F22" s="77" t="s">
        <v>864</v>
      </c>
      <c r="G22" s="77" t="s">
        <v>1191</v>
      </c>
      <c r="H22" s="77" t="s">
        <v>1192</v>
      </c>
      <c r="I22" s="68" t="s">
        <v>373</v>
      </c>
      <c r="J22" s="77"/>
      <c r="K22" s="77"/>
      <c r="L22" s="77"/>
      <c r="M22" s="77"/>
      <c r="N22" s="78" t="s">
        <v>586</v>
      </c>
      <c r="O22" s="77"/>
      <c r="P22" s="77"/>
      <c r="Q22" s="77"/>
      <c r="R22" s="77"/>
      <c r="S22" s="77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22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22">
    <cfRule type="cellIs" dxfId="10" priority="4" operator="equal">
      <formula>"OK"</formula>
    </cfRule>
  </conditionalFormatting>
  <conditionalFormatting sqref="I2:I22">
    <cfRule type="cellIs" dxfId="5" priority="5" operator="equal">
      <formula>"NOT OK"</formula>
    </cfRule>
  </conditionalFormatting>
  <conditionalFormatting sqref="I2:I22">
    <cfRule type="cellIs" dxfId="11" priority="6" operator="equal">
      <formula>"Pending"</formula>
    </cfRule>
  </conditionalFormatting>
  <conditionalFormatting sqref="I2:I22">
    <cfRule type="cellIs" dxfId="12" priority="7" operator="equal">
      <formula>"N/A"</formula>
    </cfRule>
  </conditionalFormatting>
  <conditionalFormatting sqref="A2:S22">
    <cfRule type="expression" dxfId="13" priority="8">
      <formula>$I2="NOT OK"</formula>
    </cfRule>
  </conditionalFormatting>
  <conditionalFormatting sqref="P2:P22">
    <cfRule type="cellIs" dxfId="10" priority="9" operator="equal">
      <formula>"Yes"</formula>
    </cfRule>
  </conditionalFormatting>
  <conditionalFormatting sqref="P2:P22">
    <cfRule type="cellIs" dxfId="11" priority="10" operator="equal">
      <formula>"In Progress"</formula>
    </cfRule>
  </conditionalFormatting>
  <conditionalFormatting sqref="P2:P22">
    <cfRule type="cellIs" dxfId="5" priority="11" operator="equal">
      <formula>"No"</formula>
    </cfRule>
  </conditionalFormatting>
  <conditionalFormatting sqref="O2:O22">
    <cfRule type="expression" dxfId="14" priority="12">
      <formula>AND($I2="NOT OK",O2="")</formula>
    </cfRule>
  </conditionalFormatting>
  <dataValidations>
    <dataValidation type="list" allowBlank="1" sqref="P2:P22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22">
      <formula1>CONFIG!$D$2:$D$5</formula1>
    </dataValidation>
    <dataValidation type="list" allowBlank="1" sqref="B2:B1000">
      <formula1>CONFIG!$B$2:$B$44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23.25" customHeight="1">
      <c r="A2" s="68"/>
      <c r="B2" s="68"/>
      <c r="C2" s="68"/>
      <c r="D2" s="68" t="s">
        <v>1193</v>
      </c>
      <c r="E2" s="77" t="s">
        <v>423</v>
      </c>
      <c r="F2" s="77" t="s">
        <v>1194</v>
      </c>
      <c r="G2" s="77" t="s">
        <v>1195</v>
      </c>
      <c r="H2" s="77" t="s">
        <v>1196</v>
      </c>
      <c r="I2" s="68" t="s">
        <v>373</v>
      </c>
      <c r="J2" s="77"/>
      <c r="K2" s="77"/>
      <c r="L2" s="77"/>
      <c r="M2" s="81" t="s">
        <v>557</v>
      </c>
      <c r="N2" s="78" t="s">
        <v>538</v>
      </c>
      <c r="O2" s="77"/>
      <c r="P2" s="77"/>
      <c r="Q2" s="77"/>
      <c r="R2" s="77"/>
      <c r="S2" s="77"/>
    </row>
    <row r="3" ht="23.25" customHeight="1">
      <c r="A3" s="79"/>
      <c r="B3" s="79"/>
      <c r="C3" s="79"/>
      <c r="D3" s="79" t="s">
        <v>1197</v>
      </c>
      <c r="E3" s="80" t="s">
        <v>423</v>
      </c>
      <c r="F3" s="80" t="s">
        <v>1194</v>
      </c>
      <c r="G3" s="80" t="s">
        <v>1198</v>
      </c>
      <c r="H3" s="80" t="s">
        <v>1199</v>
      </c>
      <c r="I3" s="79" t="s">
        <v>373</v>
      </c>
      <c r="J3" s="80"/>
      <c r="K3" s="80"/>
      <c r="L3" s="80"/>
      <c r="M3" s="81" t="s">
        <v>557</v>
      </c>
      <c r="N3" s="82" t="s">
        <v>538</v>
      </c>
      <c r="O3" s="80"/>
      <c r="P3" s="80"/>
      <c r="Q3" s="80"/>
      <c r="R3" s="80"/>
      <c r="S3" s="80"/>
    </row>
    <row r="4" ht="23.25" customHeight="1">
      <c r="A4" s="68"/>
      <c r="B4" s="68"/>
      <c r="C4" s="68"/>
      <c r="D4" s="68" t="s">
        <v>1200</v>
      </c>
      <c r="E4" s="77" t="s">
        <v>423</v>
      </c>
      <c r="F4" s="77" t="s">
        <v>1194</v>
      </c>
      <c r="G4" s="77" t="s">
        <v>1201</v>
      </c>
      <c r="H4" s="77" t="s">
        <v>1196</v>
      </c>
      <c r="I4" s="68" t="s">
        <v>373</v>
      </c>
      <c r="J4" s="77"/>
      <c r="K4" s="77"/>
      <c r="L4" s="77"/>
      <c r="M4" s="81" t="s">
        <v>557</v>
      </c>
      <c r="N4" s="78" t="s">
        <v>538</v>
      </c>
      <c r="O4" s="77"/>
      <c r="P4" s="77"/>
      <c r="Q4" s="77"/>
      <c r="R4" s="77"/>
      <c r="S4" s="77"/>
    </row>
    <row r="5" ht="23.25" customHeight="1">
      <c r="A5" s="79"/>
      <c r="B5" s="79"/>
      <c r="C5" s="79"/>
      <c r="D5" s="79" t="s">
        <v>1202</v>
      </c>
      <c r="E5" s="80" t="s">
        <v>423</v>
      </c>
      <c r="F5" s="80" t="s">
        <v>1194</v>
      </c>
      <c r="G5" s="80" t="s">
        <v>1203</v>
      </c>
      <c r="H5" s="80" t="s">
        <v>1199</v>
      </c>
      <c r="I5" s="79" t="s">
        <v>373</v>
      </c>
      <c r="J5" s="80"/>
      <c r="K5" s="80"/>
      <c r="L5" s="80"/>
      <c r="M5" s="81" t="s">
        <v>557</v>
      </c>
      <c r="N5" s="82" t="s">
        <v>538</v>
      </c>
      <c r="O5" s="80"/>
      <c r="P5" s="80"/>
      <c r="Q5" s="80"/>
      <c r="R5" s="80"/>
      <c r="S5" s="80"/>
    </row>
    <row r="6" ht="23.25" customHeight="1">
      <c r="A6" s="68"/>
      <c r="B6" s="68"/>
      <c r="C6" s="68"/>
      <c r="D6" s="68" t="s">
        <v>1204</v>
      </c>
      <c r="E6" s="77" t="s">
        <v>423</v>
      </c>
      <c r="F6" s="77" t="s">
        <v>733</v>
      </c>
      <c r="G6" s="77" t="s">
        <v>1205</v>
      </c>
      <c r="H6" s="77" t="s">
        <v>1206</v>
      </c>
      <c r="I6" s="68" t="s">
        <v>373</v>
      </c>
      <c r="J6" s="77"/>
      <c r="K6" s="77"/>
      <c r="L6" s="77"/>
      <c r="M6" s="77"/>
      <c r="N6" s="78" t="s">
        <v>538</v>
      </c>
      <c r="O6" s="77"/>
      <c r="P6" s="77"/>
      <c r="Q6" s="77"/>
      <c r="R6" s="77"/>
      <c r="S6" s="77"/>
    </row>
    <row r="7" ht="23.25" customHeight="1">
      <c r="A7" s="79"/>
      <c r="B7" s="79"/>
      <c r="C7" s="79"/>
      <c r="D7" s="79" t="s">
        <v>1207</v>
      </c>
      <c r="E7" s="80" t="s">
        <v>423</v>
      </c>
      <c r="F7" s="80" t="s">
        <v>733</v>
      </c>
      <c r="G7" s="80" t="s">
        <v>1208</v>
      </c>
      <c r="H7" s="80" t="s">
        <v>1199</v>
      </c>
      <c r="I7" s="79" t="s">
        <v>373</v>
      </c>
      <c r="J7" s="80"/>
      <c r="K7" s="80"/>
      <c r="L7" s="80"/>
      <c r="M7" s="81" t="s">
        <v>557</v>
      </c>
      <c r="N7" s="82" t="s">
        <v>538</v>
      </c>
      <c r="O7" s="80"/>
      <c r="P7" s="80"/>
      <c r="Q7" s="80"/>
      <c r="R7" s="80"/>
      <c r="S7" s="80"/>
    </row>
    <row r="8" ht="23.25" customHeight="1">
      <c r="A8" s="68"/>
      <c r="B8" s="68"/>
      <c r="C8" s="68"/>
      <c r="D8" s="68" t="s">
        <v>1209</v>
      </c>
      <c r="E8" s="77" t="s">
        <v>423</v>
      </c>
      <c r="F8" s="77" t="s">
        <v>733</v>
      </c>
      <c r="G8" s="77" t="s">
        <v>1210</v>
      </c>
      <c r="H8" s="77" t="s">
        <v>1199</v>
      </c>
      <c r="I8" s="68" t="s">
        <v>373</v>
      </c>
      <c r="J8" s="77"/>
      <c r="K8" s="77"/>
      <c r="L8" s="77"/>
      <c r="M8" s="81" t="s">
        <v>557</v>
      </c>
      <c r="N8" s="78" t="s">
        <v>538</v>
      </c>
      <c r="O8" s="77"/>
      <c r="P8" s="77"/>
      <c r="Q8" s="77"/>
      <c r="R8" s="77"/>
      <c r="S8" s="77"/>
    </row>
    <row r="9" ht="23.25" customHeight="1">
      <c r="A9" s="79"/>
      <c r="B9" s="79"/>
      <c r="C9" s="79"/>
      <c r="D9" s="79" t="s">
        <v>1211</v>
      </c>
      <c r="E9" s="80" t="s">
        <v>423</v>
      </c>
      <c r="F9" s="80" t="s">
        <v>733</v>
      </c>
      <c r="G9" s="80" t="s">
        <v>1212</v>
      </c>
      <c r="H9" s="80" t="s">
        <v>1199</v>
      </c>
      <c r="I9" s="79" t="s">
        <v>373</v>
      </c>
      <c r="J9" s="80"/>
      <c r="K9" s="80"/>
      <c r="L9" s="80"/>
      <c r="M9" s="81" t="s">
        <v>557</v>
      </c>
      <c r="N9" s="82" t="s">
        <v>538</v>
      </c>
      <c r="O9" s="80"/>
      <c r="P9" s="80"/>
      <c r="Q9" s="80"/>
      <c r="R9" s="80"/>
      <c r="S9" s="80"/>
    </row>
    <row r="10" ht="23.25" customHeight="1">
      <c r="A10" s="68"/>
      <c r="B10" s="68"/>
      <c r="C10" s="68"/>
      <c r="D10" s="68" t="s">
        <v>1213</v>
      </c>
      <c r="E10" s="77" t="s">
        <v>423</v>
      </c>
      <c r="F10" s="77" t="s">
        <v>733</v>
      </c>
      <c r="G10" s="77" t="s">
        <v>1214</v>
      </c>
      <c r="H10" s="77" t="s">
        <v>1199</v>
      </c>
      <c r="I10" s="68" t="s">
        <v>373</v>
      </c>
      <c r="J10" s="77"/>
      <c r="K10" s="77"/>
      <c r="L10" s="77"/>
      <c r="M10" s="81" t="s">
        <v>557</v>
      </c>
      <c r="N10" s="78" t="s">
        <v>538</v>
      </c>
      <c r="O10" s="77"/>
      <c r="P10" s="77"/>
      <c r="Q10" s="77"/>
      <c r="R10" s="77"/>
      <c r="S10" s="77"/>
    </row>
    <row r="11" ht="20.25" customHeight="1">
      <c r="A11" s="79"/>
      <c r="B11" s="79"/>
      <c r="C11" s="79"/>
      <c r="D11" s="79" t="s">
        <v>1215</v>
      </c>
      <c r="E11" s="80" t="s">
        <v>423</v>
      </c>
      <c r="F11" s="80" t="s">
        <v>733</v>
      </c>
      <c r="G11" s="80" t="s">
        <v>1216</v>
      </c>
      <c r="H11" s="80" t="s">
        <v>1217</v>
      </c>
      <c r="I11" s="79" t="s">
        <v>373</v>
      </c>
      <c r="J11" s="80"/>
      <c r="K11" s="80"/>
      <c r="L11" s="80"/>
      <c r="M11" s="80"/>
      <c r="N11" s="82" t="s">
        <v>532</v>
      </c>
      <c r="O11" s="80"/>
      <c r="P11" s="80"/>
      <c r="Q11" s="80"/>
      <c r="R11" s="80"/>
      <c r="S11" s="80"/>
    </row>
    <row r="12" ht="23.25" customHeight="1">
      <c r="A12" s="68"/>
      <c r="B12" s="68"/>
      <c r="C12" s="68"/>
      <c r="D12" s="68" t="s">
        <v>1218</v>
      </c>
      <c r="E12" s="77" t="s">
        <v>423</v>
      </c>
      <c r="F12" s="77" t="s">
        <v>1219</v>
      </c>
      <c r="G12" s="77" t="s">
        <v>1220</v>
      </c>
      <c r="H12" s="77" t="s">
        <v>1199</v>
      </c>
      <c r="I12" s="68" t="s">
        <v>373</v>
      </c>
      <c r="J12" s="77"/>
      <c r="K12" s="77"/>
      <c r="L12" s="77"/>
      <c r="M12" s="81" t="s">
        <v>557</v>
      </c>
      <c r="N12" s="78" t="s">
        <v>538</v>
      </c>
      <c r="O12" s="77"/>
      <c r="P12" s="77"/>
      <c r="Q12" s="77"/>
      <c r="R12" s="77"/>
      <c r="S12" s="77"/>
    </row>
    <row r="13" ht="23.25" customHeight="1">
      <c r="A13" s="79"/>
      <c r="B13" s="79"/>
      <c r="C13" s="79"/>
      <c r="D13" s="79" t="s">
        <v>1221</v>
      </c>
      <c r="E13" s="80" t="s">
        <v>423</v>
      </c>
      <c r="F13" s="80" t="s">
        <v>1219</v>
      </c>
      <c r="G13" s="80" t="s">
        <v>1222</v>
      </c>
      <c r="H13" s="80" t="s">
        <v>1199</v>
      </c>
      <c r="I13" s="79" t="s">
        <v>373</v>
      </c>
      <c r="J13" s="80"/>
      <c r="K13" s="80"/>
      <c r="L13" s="80"/>
      <c r="M13" s="81" t="s">
        <v>557</v>
      </c>
      <c r="N13" s="82" t="s">
        <v>538</v>
      </c>
      <c r="O13" s="80"/>
      <c r="P13" s="80"/>
      <c r="Q13" s="80"/>
      <c r="R13" s="80"/>
      <c r="S13" s="80"/>
    </row>
    <row r="14" ht="23.25" customHeight="1">
      <c r="A14" s="68"/>
      <c r="B14" s="68"/>
      <c r="C14" s="68"/>
      <c r="D14" s="68" t="s">
        <v>1223</v>
      </c>
      <c r="E14" s="77" t="s">
        <v>423</v>
      </c>
      <c r="F14" s="77" t="s">
        <v>1219</v>
      </c>
      <c r="G14" s="77" t="s">
        <v>1224</v>
      </c>
      <c r="H14" s="77" t="s">
        <v>1199</v>
      </c>
      <c r="I14" s="68" t="s">
        <v>373</v>
      </c>
      <c r="J14" s="77"/>
      <c r="K14" s="77"/>
      <c r="L14" s="77"/>
      <c r="M14" s="81" t="s">
        <v>557</v>
      </c>
      <c r="N14" s="78" t="s">
        <v>538</v>
      </c>
      <c r="O14" s="77"/>
      <c r="P14" s="77"/>
      <c r="Q14" s="77"/>
      <c r="R14" s="77"/>
      <c r="S14" s="77"/>
    </row>
    <row r="15" ht="23.25" customHeight="1">
      <c r="A15" s="79"/>
      <c r="B15" s="79"/>
      <c r="C15" s="79"/>
      <c r="D15" s="79" t="s">
        <v>1225</v>
      </c>
      <c r="E15" s="80" t="s">
        <v>423</v>
      </c>
      <c r="F15" s="80" t="s">
        <v>1219</v>
      </c>
      <c r="G15" s="80" t="s">
        <v>1226</v>
      </c>
      <c r="H15" s="80" t="s">
        <v>1206</v>
      </c>
      <c r="I15" s="79" t="s">
        <v>373</v>
      </c>
      <c r="J15" s="80"/>
      <c r="K15" s="80"/>
      <c r="L15" s="80"/>
      <c r="M15" s="80"/>
      <c r="N15" s="82" t="s">
        <v>538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1227</v>
      </c>
      <c r="E16" s="77" t="s">
        <v>423</v>
      </c>
      <c r="F16" s="77" t="s">
        <v>733</v>
      </c>
      <c r="G16" s="77" t="s">
        <v>1228</v>
      </c>
      <c r="H16" s="77" t="s">
        <v>1229</v>
      </c>
      <c r="I16" s="68" t="s">
        <v>373</v>
      </c>
      <c r="J16" s="77"/>
      <c r="K16" s="77"/>
      <c r="L16" s="77"/>
      <c r="M16" s="77"/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1230</v>
      </c>
      <c r="E17" s="80" t="s">
        <v>423</v>
      </c>
      <c r="F17" s="80" t="s">
        <v>733</v>
      </c>
      <c r="G17" s="80" t="s">
        <v>1231</v>
      </c>
      <c r="H17" s="80" t="s">
        <v>1232</v>
      </c>
      <c r="I17" s="79" t="s">
        <v>373</v>
      </c>
      <c r="J17" s="80"/>
      <c r="K17" s="80"/>
      <c r="L17" s="80"/>
      <c r="M17" s="80"/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1233</v>
      </c>
      <c r="E18" s="77" t="s">
        <v>423</v>
      </c>
      <c r="F18" s="77" t="s">
        <v>752</v>
      </c>
      <c r="G18" s="77" t="s">
        <v>1234</v>
      </c>
      <c r="H18" s="77" t="s">
        <v>1235</v>
      </c>
      <c r="I18" s="68" t="s">
        <v>373</v>
      </c>
      <c r="J18" s="77"/>
      <c r="K18" s="77"/>
      <c r="L18" s="77"/>
      <c r="M18" s="77"/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1236</v>
      </c>
      <c r="E19" s="80" t="s">
        <v>423</v>
      </c>
      <c r="F19" s="80" t="s">
        <v>752</v>
      </c>
      <c r="G19" s="80" t="s">
        <v>1237</v>
      </c>
      <c r="H19" s="80" t="s">
        <v>1238</v>
      </c>
      <c r="I19" s="79" t="s">
        <v>373</v>
      </c>
      <c r="J19" s="80"/>
      <c r="K19" s="80"/>
      <c r="L19" s="80"/>
      <c r="M19" s="80"/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1239</v>
      </c>
      <c r="E20" s="77" t="s">
        <v>423</v>
      </c>
      <c r="F20" s="77" t="s">
        <v>752</v>
      </c>
      <c r="G20" s="77" t="s">
        <v>1240</v>
      </c>
      <c r="H20" s="77" t="s">
        <v>1241</v>
      </c>
      <c r="I20" s="68" t="s">
        <v>373</v>
      </c>
      <c r="J20" s="77"/>
      <c r="K20" s="77"/>
      <c r="L20" s="77"/>
      <c r="M20" s="77"/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1242</v>
      </c>
      <c r="E21" s="80" t="s">
        <v>423</v>
      </c>
      <c r="F21" s="80" t="s">
        <v>752</v>
      </c>
      <c r="G21" s="80" t="s">
        <v>1243</v>
      </c>
      <c r="H21" s="80" t="s">
        <v>1244</v>
      </c>
      <c r="I21" s="79" t="s">
        <v>373</v>
      </c>
      <c r="J21" s="80"/>
      <c r="K21" s="80"/>
      <c r="L21" s="80"/>
      <c r="M21" s="80"/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1245</v>
      </c>
      <c r="E22" s="77" t="s">
        <v>423</v>
      </c>
      <c r="F22" s="77" t="s">
        <v>1246</v>
      </c>
      <c r="G22" s="77" t="s">
        <v>1247</v>
      </c>
      <c r="H22" s="77" t="s">
        <v>1248</v>
      </c>
      <c r="I22" s="68" t="s">
        <v>373</v>
      </c>
      <c r="J22" s="77"/>
      <c r="K22" s="77"/>
      <c r="L22" s="77"/>
      <c r="M22" s="77"/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1249</v>
      </c>
      <c r="E23" s="80" t="s">
        <v>423</v>
      </c>
      <c r="F23" s="80" t="s">
        <v>1246</v>
      </c>
      <c r="G23" s="80" t="s">
        <v>1250</v>
      </c>
      <c r="H23" s="80" t="s">
        <v>1251</v>
      </c>
      <c r="I23" s="79" t="s">
        <v>373</v>
      </c>
      <c r="J23" s="80"/>
      <c r="K23" s="80"/>
      <c r="L23" s="80"/>
      <c r="M23" s="80"/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1252</v>
      </c>
      <c r="E24" s="77" t="s">
        <v>423</v>
      </c>
      <c r="F24" s="77" t="s">
        <v>1246</v>
      </c>
      <c r="G24" s="77" t="s">
        <v>905</v>
      </c>
      <c r="H24" s="77" t="s">
        <v>1253</v>
      </c>
      <c r="I24" s="68" t="s">
        <v>373</v>
      </c>
      <c r="J24" s="77"/>
      <c r="K24" s="77"/>
      <c r="L24" s="77"/>
      <c r="M24" s="77"/>
      <c r="N24" s="78" t="s">
        <v>586</v>
      </c>
      <c r="O24" s="77"/>
      <c r="P24" s="77"/>
      <c r="Q24" s="77"/>
      <c r="R24" s="77"/>
      <c r="S24" s="77"/>
    </row>
    <row r="25" ht="15.0" customHeight="1">
      <c r="A25" s="79"/>
      <c r="B25" s="79"/>
      <c r="C25" s="79"/>
      <c r="D25" s="79" t="s">
        <v>1254</v>
      </c>
      <c r="E25" s="80" t="s">
        <v>423</v>
      </c>
      <c r="F25" s="80" t="s">
        <v>1246</v>
      </c>
      <c r="G25" s="80" t="s">
        <v>1255</v>
      </c>
      <c r="H25" s="80" t="s">
        <v>1256</v>
      </c>
      <c r="I25" s="79" t="s">
        <v>373</v>
      </c>
      <c r="J25" s="80"/>
      <c r="K25" s="80"/>
      <c r="L25" s="80"/>
      <c r="M25" s="80"/>
      <c r="N25" s="82" t="s">
        <v>586</v>
      </c>
      <c r="O25" s="80"/>
      <c r="P25" s="80"/>
      <c r="Q25" s="80"/>
      <c r="R25" s="80"/>
      <c r="S25" s="80"/>
    </row>
    <row r="26" ht="15.0" customHeight="1">
      <c r="A26" s="68"/>
      <c r="B26" s="68"/>
      <c r="C26" s="68"/>
      <c r="D26" s="68" t="s">
        <v>1257</v>
      </c>
      <c r="E26" s="77" t="s">
        <v>423</v>
      </c>
      <c r="F26" s="77" t="s">
        <v>1246</v>
      </c>
      <c r="G26" s="77" t="s">
        <v>1258</v>
      </c>
      <c r="H26" s="77" t="s">
        <v>1259</v>
      </c>
      <c r="I26" s="68" t="s">
        <v>373</v>
      </c>
      <c r="J26" s="77"/>
      <c r="K26" s="77"/>
      <c r="L26" s="77"/>
      <c r="M26" s="77"/>
      <c r="N26" s="78" t="s">
        <v>586</v>
      </c>
      <c r="O26" s="77"/>
      <c r="P26" s="77"/>
      <c r="Q26" s="77"/>
      <c r="R26" s="77"/>
      <c r="S26" s="77"/>
    </row>
    <row r="27" ht="15.0" customHeight="1">
      <c r="A27" s="79"/>
      <c r="B27" s="79"/>
      <c r="C27" s="79"/>
      <c r="D27" s="79" t="s">
        <v>1260</v>
      </c>
      <c r="E27" s="80" t="s">
        <v>423</v>
      </c>
      <c r="F27" s="80" t="s">
        <v>1246</v>
      </c>
      <c r="G27" s="80" t="s">
        <v>1261</v>
      </c>
      <c r="H27" s="80" t="s">
        <v>1262</v>
      </c>
      <c r="I27" s="79" t="s">
        <v>373</v>
      </c>
      <c r="J27" s="80"/>
      <c r="K27" s="80"/>
      <c r="L27" s="80"/>
      <c r="M27" s="80"/>
      <c r="N27" s="82" t="s">
        <v>586</v>
      </c>
      <c r="O27" s="80"/>
      <c r="P27" s="80"/>
      <c r="Q27" s="80"/>
      <c r="R27" s="80"/>
      <c r="S27" s="80"/>
    </row>
    <row r="28" ht="15.0" customHeight="1">
      <c r="A28" s="68"/>
      <c r="B28" s="68"/>
      <c r="C28" s="68"/>
      <c r="D28" s="68" t="s">
        <v>1263</v>
      </c>
      <c r="E28" s="77" t="s">
        <v>423</v>
      </c>
      <c r="F28" s="77" t="s">
        <v>1264</v>
      </c>
      <c r="G28" s="77" t="s">
        <v>1265</v>
      </c>
      <c r="H28" s="77" t="s">
        <v>1266</v>
      </c>
      <c r="I28" s="68" t="s">
        <v>373</v>
      </c>
      <c r="J28" s="77"/>
      <c r="K28" s="77"/>
      <c r="L28" s="77"/>
      <c r="M28" s="77"/>
      <c r="N28" s="78" t="s">
        <v>586</v>
      </c>
      <c r="O28" s="77"/>
      <c r="P28" s="77"/>
      <c r="Q28" s="77"/>
      <c r="R28" s="77"/>
      <c r="S28" s="77"/>
    </row>
    <row r="29" ht="15.0" customHeight="1">
      <c r="A29" s="79"/>
      <c r="B29" s="79"/>
      <c r="C29" s="79"/>
      <c r="D29" s="79" t="s">
        <v>1267</v>
      </c>
      <c r="E29" s="80" t="s">
        <v>423</v>
      </c>
      <c r="F29" s="80" t="s">
        <v>1264</v>
      </c>
      <c r="G29" s="80" t="s">
        <v>1268</v>
      </c>
      <c r="H29" s="80" t="s">
        <v>1269</v>
      </c>
      <c r="I29" s="79" t="s">
        <v>373</v>
      </c>
      <c r="J29" s="80"/>
      <c r="K29" s="80"/>
      <c r="L29" s="80"/>
      <c r="M29" s="80"/>
      <c r="N29" s="82" t="s">
        <v>586</v>
      </c>
      <c r="O29" s="80"/>
      <c r="P29" s="80"/>
      <c r="Q29" s="80"/>
      <c r="R29" s="80"/>
      <c r="S29" s="80"/>
    </row>
    <row r="30" ht="15.0" customHeight="1">
      <c r="A30" s="68"/>
      <c r="B30" s="68"/>
      <c r="C30" s="68"/>
      <c r="D30" s="68" t="s">
        <v>1270</v>
      </c>
      <c r="E30" s="77" t="s">
        <v>423</v>
      </c>
      <c r="F30" s="77" t="s">
        <v>1264</v>
      </c>
      <c r="G30" s="77" t="s">
        <v>1271</v>
      </c>
      <c r="H30" s="77" t="s">
        <v>1272</v>
      </c>
      <c r="I30" s="68" t="s">
        <v>373</v>
      </c>
      <c r="J30" s="77"/>
      <c r="K30" s="77"/>
      <c r="L30" s="77"/>
      <c r="M30" s="77"/>
      <c r="N30" s="78" t="s">
        <v>586</v>
      </c>
      <c r="O30" s="77"/>
      <c r="P30" s="77"/>
      <c r="Q30" s="77"/>
      <c r="R30" s="77"/>
      <c r="S30" s="77"/>
    </row>
    <row r="31" ht="15.0" customHeight="1">
      <c r="A31" s="79"/>
      <c r="B31" s="79"/>
      <c r="C31" s="79"/>
      <c r="D31" s="79" t="s">
        <v>1273</v>
      </c>
      <c r="E31" s="80" t="s">
        <v>423</v>
      </c>
      <c r="F31" s="80" t="s">
        <v>1264</v>
      </c>
      <c r="G31" s="80" t="s">
        <v>1274</v>
      </c>
      <c r="H31" s="80" t="s">
        <v>1275</v>
      </c>
      <c r="I31" s="79" t="s">
        <v>373</v>
      </c>
      <c r="J31" s="80"/>
      <c r="K31" s="80"/>
      <c r="L31" s="80"/>
      <c r="M31" s="80"/>
      <c r="N31" s="82" t="s">
        <v>586</v>
      </c>
      <c r="O31" s="80"/>
      <c r="P31" s="80"/>
      <c r="Q31" s="80"/>
      <c r="R31" s="80"/>
      <c r="S31" s="80"/>
    </row>
    <row r="32" ht="15.0" customHeight="1">
      <c r="A32" s="68"/>
      <c r="B32" s="68"/>
      <c r="C32" s="68"/>
      <c r="D32" s="68" t="s">
        <v>1276</v>
      </c>
      <c r="E32" s="77" t="s">
        <v>423</v>
      </c>
      <c r="F32" s="77" t="s">
        <v>1264</v>
      </c>
      <c r="G32" s="77" t="s">
        <v>1277</v>
      </c>
      <c r="H32" s="77" t="s">
        <v>1278</v>
      </c>
      <c r="I32" s="68" t="s">
        <v>373</v>
      </c>
      <c r="J32" s="77"/>
      <c r="K32" s="77"/>
      <c r="L32" s="77"/>
      <c r="M32" s="77"/>
      <c r="N32" s="78" t="s">
        <v>586</v>
      </c>
      <c r="O32" s="77"/>
      <c r="P32" s="77"/>
      <c r="Q32" s="77"/>
      <c r="R32" s="77"/>
      <c r="S32" s="77"/>
    </row>
    <row r="33" ht="15.0" customHeight="1">
      <c r="A33" s="79"/>
      <c r="B33" s="79"/>
      <c r="C33" s="79"/>
      <c r="D33" s="79" t="s">
        <v>1279</v>
      </c>
      <c r="E33" s="80" t="s">
        <v>423</v>
      </c>
      <c r="F33" s="80" t="s">
        <v>1264</v>
      </c>
      <c r="G33" s="80" t="s">
        <v>1280</v>
      </c>
      <c r="H33" s="80" t="s">
        <v>1281</v>
      </c>
      <c r="I33" s="79" t="s">
        <v>373</v>
      </c>
      <c r="J33" s="80"/>
      <c r="K33" s="80"/>
      <c r="L33" s="80"/>
      <c r="M33" s="80"/>
      <c r="N33" s="82" t="s">
        <v>586</v>
      </c>
      <c r="O33" s="80"/>
      <c r="P33" s="80"/>
      <c r="Q33" s="80"/>
      <c r="R33" s="80"/>
      <c r="S33" s="80"/>
    </row>
    <row r="34" ht="15.0" customHeight="1">
      <c r="A34" s="68"/>
      <c r="B34" s="68"/>
      <c r="C34" s="68"/>
      <c r="D34" s="68" t="s">
        <v>1282</v>
      </c>
      <c r="E34" s="77" t="s">
        <v>423</v>
      </c>
      <c r="F34" s="77" t="s">
        <v>1264</v>
      </c>
      <c r="G34" s="77" t="s">
        <v>1283</v>
      </c>
      <c r="H34" s="77" t="s">
        <v>1284</v>
      </c>
      <c r="I34" s="68" t="s">
        <v>373</v>
      </c>
      <c r="J34" s="77"/>
      <c r="K34" s="77"/>
      <c r="L34" s="77"/>
      <c r="M34" s="77"/>
      <c r="N34" s="78" t="s">
        <v>586</v>
      </c>
      <c r="O34" s="77"/>
      <c r="P34" s="77"/>
      <c r="Q34" s="77"/>
      <c r="R34" s="77"/>
      <c r="S34" s="77"/>
    </row>
    <row r="35" ht="15.0" customHeight="1">
      <c r="A35" s="79"/>
      <c r="B35" s="79"/>
      <c r="C35" s="79"/>
      <c r="D35" s="79" t="s">
        <v>1285</v>
      </c>
      <c r="E35" s="80" t="s">
        <v>423</v>
      </c>
      <c r="F35" s="80" t="s">
        <v>1286</v>
      </c>
      <c r="G35" s="80" t="s">
        <v>1287</v>
      </c>
      <c r="H35" s="80" t="s">
        <v>1288</v>
      </c>
      <c r="I35" s="79" t="s">
        <v>373</v>
      </c>
      <c r="J35" s="80"/>
      <c r="K35" s="80"/>
      <c r="L35" s="80"/>
      <c r="M35" s="80"/>
      <c r="N35" s="82" t="s">
        <v>586</v>
      </c>
      <c r="O35" s="80"/>
      <c r="P35" s="80"/>
      <c r="Q35" s="80"/>
      <c r="R35" s="80"/>
      <c r="S35" s="80"/>
    </row>
    <row r="36" ht="15.0" customHeight="1">
      <c r="A36" s="68"/>
      <c r="B36" s="68"/>
      <c r="C36" s="68"/>
      <c r="D36" s="68" t="s">
        <v>1289</v>
      </c>
      <c r="E36" s="77" t="s">
        <v>423</v>
      </c>
      <c r="F36" s="77" t="s">
        <v>1286</v>
      </c>
      <c r="G36" s="77" t="s">
        <v>1290</v>
      </c>
      <c r="H36" s="77" t="s">
        <v>1291</v>
      </c>
      <c r="I36" s="68" t="s">
        <v>373</v>
      </c>
      <c r="J36" s="77"/>
      <c r="K36" s="77"/>
      <c r="L36" s="77"/>
      <c r="M36" s="77"/>
      <c r="N36" s="78" t="s">
        <v>586</v>
      </c>
      <c r="O36" s="77"/>
      <c r="P36" s="77"/>
      <c r="Q36" s="77"/>
      <c r="R36" s="77"/>
      <c r="S36" s="77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36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36">
    <cfRule type="cellIs" dxfId="10" priority="4" operator="equal">
      <formula>"OK"</formula>
    </cfRule>
  </conditionalFormatting>
  <conditionalFormatting sqref="I2:I36">
    <cfRule type="cellIs" dxfId="5" priority="5" operator="equal">
      <formula>"NOT OK"</formula>
    </cfRule>
  </conditionalFormatting>
  <conditionalFormatting sqref="I2:I36">
    <cfRule type="cellIs" dxfId="11" priority="6" operator="equal">
      <formula>"Pending"</formula>
    </cfRule>
  </conditionalFormatting>
  <conditionalFormatting sqref="I2:I36">
    <cfRule type="cellIs" dxfId="12" priority="7" operator="equal">
      <formula>"N/A"</formula>
    </cfRule>
  </conditionalFormatting>
  <conditionalFormatting sqref="A2:S36">
    <cfRule type="expression" dxfId="13" priority="8">
      <formula>$I2="NOT OK"</formula>
    </cfRule>
  </conditionalFormatting>
  <conditionalFormatting sqref="P2:P36">
    <cfRule type="cellIs" dxfId="10" priority="9" operator="equal">
      <formula>"Yes"</formula>
    </cfRule>
  </conditionalFormatting>
  <conditionalFormatting sqref="P2:P36">
    <cfRule type="cellIs" dxfId="11" priority="10" operator="equal">
      <formula>"In Progress"</formula>
    </cfRule>
  </conditionalFormatting>
  <conditionalFormatting sqref="P2:P36">
    <cfRule type="cellIs" dxfId="5" priority="11" operator="equal">
      <formula>"No"</formula>
    </cfRule>
  </conditionalFormatting>
  <conditionalFormatting sqref="O2:O36">
    <cfRule type="expression" dxfId="14" priority="12">
      <formula>AND($I2="NOT OK",O2="")</formula>
    </cfRule>
  </conditionalFormatting>
  <dataValidations>
    <dataValidation type="list" allowBlank="1" sqref="P2:P36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36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7"/>
    <hyperlink r:id="rId7" ref="M8"/>
    <hyperlink r:id="rId8" ref="M9"/>
    <hyperlink r:id="rId9" ref="M10"/>
    <hyperlink r:id="rId10" ref="M12"/>
    <hyperlink r:id="rId11" ref="M13"/>
    <hyperlink r:id="rId12" ref="M14"/>
  </hyperlinks>
  <printOptions/>
  <pageMargins bottom="1.0" footer="0.0" header="0.0" left="0.75" right="0.75" top="1.0"/>
  <pageSetup paperSize="9" orientation="portrait"/>
  <drawing r:id="rId13"/>
  <legacyDrawing r:id="rId1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1292</v>
      </c>
      <c r="E2" s="77" t="s">
        <v>346</v>
      </c>
      <c r="F2" s="77" t="s">
        <v>1293</v>
      </c>
      <c r="G2" s="77" t="s">
        <v>1294</v>
      </c>
      <c r="H2" s="77" t="s">
        <v>1295</v>
      </c>
      <c r="I2" s="68" t="s">
        <v>373</v>
      </c>
      <c r="J2" s="77"/>
      <c r="K2" s="77"/>
      <c r="L2" s="77"/>
      <c r="M2" s="77"/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1296</v>
      </c>
      <c r="E3" s="80" t="s">
        <v>346</v>
      </c>
      <c r="F3" s="80" t="s">
        <v>1293</v>
      </c>
      <c r="G3" s="80" t="s">
        <v>1297</v>
      </c>
      <c r="H3" s="80" t="s">
        <v>1298</v>
      </c>
      <c r="I3" s="79" t="s">
        <v>373</v>
      </c>
      <c r="J3" s="80"/>
      <c r="K3" s="80"/>
      <c r="L3" s="80"/>
      <c r="M3" s="80"/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1299</v>
      </c>
      <c r="E4" s="77" t="s">
        <v>346</v>
      </c>
      <c r="F4" s="77" t="s">
        <v>1293</v>
      </c>
      <c r="G4" s="77" t="s">
        <v>1300</v>
      </c>
      <c r="H4" s="77" t="s">
        <v>1301</v>
      </c>
      <c r="I4" s="68" t="s">
        <v>373</v>
      </c>
      <c r="J4" s="77"/>
      <c r="K4" s="77"/>
      <c r="L4" s="77"/>
      <c r="M4" s="77"/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1302</v>
      </c>
      <c r="E5" s="80" t="s">
        <v>346</v>
      </c>
      <c r="F5" s="80" t="s">
        <v>1293</v>
      </c>
      <c r="G5" s="80" t="s">
        <v>1303</v>
      </c>
      <c r="H5" s="80" t="s">
        <v>1304</v>
      </c>
      <c r="I5" s="79" t="s">
        <v>373</v>
      </c>
      <c r="J5" s="80"/>
      <c r="K5" s="80"/>
      <c r="L5" s="80"/>
      <c r="M5" s="80"/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1305</v>
      </c>
      <c r="E6" s="77" t="s">
        <v>346</v>
      </c>
      <c r="F6" s="77" t="s">
        <v>1306</v>
      </c>
      <c r="G6" s="77" t="s">
        <v>1307</v>
      </c>
      <c r="H6" s="77" t="s">
        <v>1308</v>
      </c>
      <c r="I6" s="68" t="s">
        <v>373</v>
      </c>
      <c r="J6" s="77"/>
      <c r="K6" s="77"/>
      <c r="L6" s="77"/>
      <c r="M6" s="77"/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1309</v>
      </c>
      <c r="E7" s="80" t="s">
        <v>346</v>
      </c>
      <c r="F7" s="80" t="s">
        <v>1306</v>
      </c>
      <c r="G7" s="80" t="s">
        <v>1310</v>
      </c>
      <c r="H7" s="80" t="s">
        <v>1311</v>
      </c>
      <c r="I7" s="79" t="s">
        <v>373</v>
      </c>
      <c r="J7" s="80"/>
      <c r="K7" s="80"/>
      <c r="L7" s="80"/>
      <c r="M7" s="80"/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1312</v>
      </c>
      <c r="E8" s="77" t="s">
        <v>346</v>
      </c>
      <c r="F8" s="77" t="s">
        <v>1313</v>
      </c>
      <c r="G8" s="77" t="s">
        <v>1314</v>
      </c>
      <c r="H8" s="77" t="s">
        <v>1315</v>
      </c>
      <c r="I8" s="68" t="s">
        <v>373</v>
      </c>
      <c r="J8" s="77"/>
      <c r="K8" s="77"/>
      <c r="L8" s="77"/>
      <c r="M8" s="77"/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1316</v>
      </c>
      <c r="E9" s="80" t="s">
        <v>346</v>
      </c>
      <c r="F9" s="80" t="s">
        <v>1313</v>
      </c>
      <c r="G9" s="80" t="s">
        <v>1317</v>
      </c>
      <c r="H9" s="80" t="s">
        <v>1318</v>
      </c>
      <c r="I9" s="79" t="s">
        <v>373</v>
      </c>
      <c r="J9" s="80"/>
      <c r="K9" s="80"/>
      <c r="L9" s="80"/>
      <c r="M9" s="80"/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1319</v>
      </c>
      <c r="E10" s="77" t="s">
        <v>346</v>
      </c>
      <c r="F10" s="77" t="s">
        <v>1313</v>
      </c>
      <c r="G10" s="77" t="s">
        <v>1320</v>
      </c>
      <c r="H10" s="77" t="s">
        <v>1321</v>
      </c>
      <c r="I10" s="68" t="s">
        <v>373</v>
      </c>
      <c r="J10" s="77"/>
      <c r="K10" s="77"/>
      <c r="L10" s="77"/>
      <c r="M10" s="77"/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1322</v>
      </c>
      <c r="E11" s="80" t="s">
        <v>346</v>
      </c>
      <c r="F11" s="80" t="s">
        <v>1313</v>
      </c>
      <c r="G11" s="80" t="s">
        <v>1323</v>
      </c>
      <c r="H11" s="80" t="s">
        <v>1324</v>
      </c>
      <c r="I11" s="79" t="s">
        <v>373</v>
      </c>
      <c r="J11" s="80"/>
      <c r="K11" s="80"/>
      <c r="L11" s="80"/>
      <c r="M11" s="80"/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1325</v>
      </c>
      <c r="E12" s="77" t="s">
        <v>346</v>
      </c>
      <c r="F12" s="77" t="s">
        <v>1313</v>
      </c>
      <c r="G12" s="77" t="s">
        <v>1326</v>
      </c>
      <c r="H12" s="77" t="s">
        <v>1327</v>
      </c>
      <c r="I12" s="68" t="s">
        <v>373</v>
      </c>
      <c r="J12" s="77"/>
      <c r="K12" s="77"/>
      <c r="L12" s="77"/>
      <c r="M12" s="77"/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1328</v>
      </c>
      <c r="E13" s="80" t="s">
        <v>346</v>
      </c>
      <c r="F13" s="80" t="s">
        <v>1329</v>
      </c>
      <c r="G13" s="80" t="s">
        <v>1330</v>
      </c>
      <c r="H13" s="80" t="s">
        <v>1331</v>
      </c>
      <c r="I13" s="79" t="s">
        <v>373</v>
      </c>
      <c r="J13" s="80"/>
      <c r="K13" s="80"/>
      <c r="L13" s="80"/>
      <c r="M13" s="80"/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1332</v>
      </c>
      <c r="E14" s="77" t="s">
        <v>346</v>
      </c>
      <c r="F14" s="77" t="s">
        <v>1329</v>
      </c>
      <c r="G14" s="77" t="s">
        <v>1333</v>
      </c>
      <c r="H14" s="77" t="s">
        <v>1334</v>
      </c>
      <c r="I14" s="68" t="s">
        <v>373</v>
      </c>
      <c r="J14" s="77"/>
      <c r="K14" s="77"/>
      <c r="L14" s="77"/>
      <c r="M14" s="77"/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1335</v>
      </c>
      <c r="E15" s="80" t="s">
        <v>346</v>
      </c>
      <c r="F15" s="80" t="s">
        <v>1336</v>
      </c>
      <c r="G15" s="80" t="s">
        <v>1337</v>
      </c>
      <c r="H15" s="80" t="s">
        <v>1338</v>
      </c>
      <c r="I15" s="79" t="s">
        <v>373</v>
      </c>
      <c r="J15" s="80"/>
      <c r="K15" s="80"/>
      <c r="L15" s="80"/>
      <c r="M15" s="80"/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1339</v>
      </c>
      <c r="E16" s="77" t="s">
        <v>346</v>
      </c>
      <c r="F16" s="77" t="s">
        <v>1336</v>
      </c>
      <c r="G16" s="77" t="s">
        <v>1340</v>
      </c>
      <c r="H16" s="77" t="s">
        <v>1341</v>
      </c>
      <c r="I16" s="68" t="s">
        <v>373</v>
      </c>
      <c r="J16" s="77"/>
      <c r="K16" s="77"/>
      <c r="L16" s="77"/>
      <c r="M16" s="77"/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1342</v>
      </c>
      <c r="E17" s="80" t="s">
        <v>346</v>
      </c>
      <c r="F17" s="80" t="s">
        <v>1336</v>
      </c>
      <c r="G17" s="80" t="s">
        <v>1343</v>
      </c>
      <c r="H17" s="80" t="s">
        <v>1344</v>
      </c>
      <c r="I17" s="79" t="s">
        <v>373</v>
      </c>
      <c r="J17" s="80"/>
      <c r="K17" s="80"/>
      <c r="L17" s="80"/>
      <c r="M17" s="80"/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1345</v>
      </c>
      <c r="E18" s="77" t="s">
        <v>346</v>
      </c>
      <c r="F18" s="77" t="s">
        <v>1346</v>
      </c>
      <c r="G18" s="77" t="s">
        <v>1347</v>
      </c>
      <c r="H18" s="77" t="s">
        <v>1348</v>
      </c>
      <c r="I18" s="68" t="s">
        <v>373</v>
      </c>
      <c r="J18" s="77"/>
      <c r="K18" s="77"/>
      <c r="L18" s="77"/>
      <c r="M18" s="77"/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1349</v>
      </c>
      <c r="E19" s="80" t="s">
        <v>346</v>
      </c>
      <c r="F19" s="80" t="s">
        <v>1346</v>
      </c>
      <c r="G19" s="80" t="s">
        <v>1350</v>
      </c>
      <c r="H19" s="80" t="s">
        <v>1351</v>
      </c>
      <c r="I19" s="79" t="s">
        <v>373</v>
      </c>
      <c r="J19" s="80"/>
      <c r="K19" s="80"/>
      <c r="L19" s="80"/>
      <c r="M19" s="80"/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1352</v>
      </c>
      <c r="E20" s="77" t="s">
        <v>346</v>
      </c>
      <c r="F20" s="77" t="s">
        <v>1346</v>
      </c>
      <c r="G20" s="77" t="s">
        <v>1353</v>
      </c>
      <c r="H20" s="77" t="s">
        <v>1354</v>
      </c>
      <c r="I20" s="68" t="s">
        <v>373</v>
      </c>
      <c r="J20" s="77"/>
      <c r="K20" s="77"/>
      <c r="L20" s="77"/>
      <c r="M20" s="77"/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1355</v>
      </c>
      <c r="E21" s="80" t="s">
        <v>346</v>
      </c>
      <c r="F21" s="80" t="s">
        <v>1356</v>
      </c>
      <c r="G21" s="80" t="s">
        <v>1357</v>
      </c>
      <c r="H21" s="80" t="s">
        <v>1358</v>
      </c>
      <c r="I21" s="79" t="s">
        <v>373</v>
      </c>
      <c r="J21" s="80"/>
      <c r="K21" s="80"/>
      <c r="L21" s="80"/>
      <c r="M21" s="80"/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1359</v>
      </c>
      <c r="E22" s="77" t="s">
        <v>346</v>
      </c>
      <c r="F22" s="77" t="s">
        <v>1356</v>
      </c>
      <c r="G22" s="77" t="s">
        <v>1360</v>
      </c>
      <c r="H22" s="77" t="s">
        <v>1361</v>
      </c>
      <c r="I22" s="68" t="s">
        <v>373</v>
      </c>
      <c r="J22" s="77"/>
      <c r="K22" s="77"/>
      <c r="L22" s="77"/>
      <c r="M22" s="77"/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1362</v>
      </c>
      <c r="E23" s="80" t="s">
        <v>346</v>
      </c>
      <c r="F23" s="80" t="s">
        <v>1356</v>
      </c>
      <c r="G23" s="80" t="s">
        <v>1363</v>
      </c>
      <c r="H23" s="80" t="s">
        <v>1364</v>
      </c>
      <c r="I23" s="79" t="s">
        <v>373</v>
      </c>
      <c r="J23" s="80"/>
      <c r="K23" s="80"/>
      <c r="L23" s="80"/>
      <c r="M23" s="80"/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1365</v>
      </c>
      <c r="E24" s="77" t="s">
        <v>346</v>
      </c>
      <c r="F24" s="77" t="s">
        <v>1366</v>
      </c>
      <c r="G24" s="77" t="s">
        <v>1367</v>
      </c>
      <c r="H24" s="77" t="s">
        <v>1368</v>
      </c>
      <c r="I24" s="68" t="s">
        <v>373</v>
      </c>
      <c r="J24" s="77"/>
      <c r="K24" s="77"/>
      <c r="L24" s="77"/>
      <c r="M24" s="77"/>
      <c r="N24" s="78" t="s">
        <v>586</v>
      </c>
      <c r="O24" s="77"/>
      <c r="P24" s="77"/>
      <c r="Q24" s="77"/>
      <c r="R24" s="77"/>
      <c r="S24" s="77"/>
    </row>
    <row r="25" ht="15.0" customHeight="1">
      <c r="A25" s="79"/>
      <c r="B25" s="79"/>
      <c r="C25" s="79"/>
      <c r="D25" s="79" t="s">
        <v>1369</v>
      </c>
      <c r="E25" s="80" t="s">
        <v>346</v>
      </c>
      <c r="F25" s="80" t="s">
        <v>1366</v>
      </c>
      <c r="G25" s="80" t="s">
        <v>1370</v>
      </c>
      <c r="H25" s="80" t="s">
        <v>1371</v>
      </c>
      <c r="I25" s="79" t="s">
        <v>373</v>
      </c>
      <c r="J25" s="80"/>
      <c r="K25" s="80"/>
      <c r="L25" s="80"/>
      <c r="M25" s="80"/>
      <c r="N25" s="82" t="s">
        <v>586</v>
      </c>
      <c r="O25" s="80"/>
      <c r="P25" s="80"/>
      <c r="Q25" s="80"/>
      <c r="R25" s="80"/>
      <c r="S25" s="80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25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25">
    <cfRule type="cellIs" dxfId="10" priority="4" operator="equal">
      <formula>"OK"</formula>
    </cfRule>
  </conditionalFormatting>
  <conditionalFormatting sqref="I2:I25">
    <cfRule type="cellIs" dxfId="5" priority="5" operator="equal">
      <formula>"NOT OK"</formula>
    </cfRule>
  </conditionalFormatting>
  <conditionalFormatting sqref="I2:I25">
    <cfRule type="cellIs" dxfId="11" priority="6" operator="equal">
      <formula>"Pending"</formula>
    </cfRule>
  </conditionalFormatting>
  <conditionalFormatting sqref="I2:I25">
    <cfRule type="cellIs" dxfId="12" priority="7" operator="equal">
      <formula>"N/A"</formula>
    </cfRule>
  </conditionalFormatting>
  <conditionalFormatting sqref="A2:S25">
    <cfRule type="expression" dxfId="13" priority="8">
      <formula>$I2="NOT OK"</formula>
    </cfRule>
  </conditionalFormatting>
  <conditionalFormatting sqref="P2:P25">
    <cfRule type="cellIs" dxfId="10" priority="9" operator="equal">
      <formula>"Yes"</formula>
    </cfRule>
  </conditionalFormatting>
  <conditionalFormatting sqref="P2:P25">
    <cfRule type="cellIs" dxfId="11" priority="10" operator="equal">
      <formula>"In Progress"</formula>
    </cfRule>
  </conditionalFormatting>
  <conditionalFormatting sqref="P2:P25">
    <cfRule type="cellIs" dxfId="5" priority="11" operator="equal">
      <formula>"No"</formula>
    </cfRule>
  </conditionalFormatting>
  <conditionalFormatting sqref="O2:O25">
    <cfRule type="expression" dxfId="14" priority="12">
      <formula>AND($I2="NOT OK",O2="")</formula>
    </cfRule>
  </conditionalFormatting>
  <dataValidations>
    <dataValidation type="list" allowBlank="1" sqref="P2:P25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25">
      <formula1>CONFIG!$D$2:$D$5</formula1>
    </dataValidation>
    <dataValidation type="list" allowBlank="1" sqref="B2:B1000">
      <formula1>CONFIG!$B$2:$B$44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272D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2" width="10.0"/>
    <col customWidth="1" min="3" max="3" width="9.0"/>
    <col customWidth="1" min="4" max="4" width="12.0"/>
    <col customWidth="1" min="5" max="5" width="20.0"/>
    <col customWidth="1" min="6" max="6" width="18.0"/>
    <col customWidth="1" min="7" max="8" width="46.0"/>
    <col customWidth="1" min="9" max="9" width="12.0"/>
    <col customWidth="1" min="10" max="10" width="13.0"/>
    <col customWidth="1" min="11" max="11" width="16.0"/>
    <col customWidth="1" min="12" max="12" width="30.0"/>
    <col customWidth="1" min="13" max="13" width="18.0"/>
    <col customWidth="1" min="14" max="15" width="22.0"/>
    <col customWidth="1" min="16" max="16" width="13.0"/>
    <col customWidth="1" min="17" max="17" width="14.0"/>
    <col customWidth="1" min="18" max="18" width="22.0"/>
    <col customWidth="1" min="19" max="19" width="30.0"/>
    <col customWidth="1" min="20" max="26" width="8.71"/>
  </cols>
  <sheetData>
    <row r="1" ht="33.75" customHeight="1">
      <c r="A1" s="74" t="s">
        <v>2</v>
      </c>
      <c r="B1" s="74" t="s">
        <v>3</v>
      </c>
      <c r="C1" s="74" t="s">
        <v>4</v>
      </c>
      <c r="D1" s="74" t="s">
        <v>507</v>
      </c>
      <c r="E1" s="74" t="s">
        <v>5</v>
      </c>
      <c r="F1" s="74" t="s">
        <v>516</v>
      </c>
      <c r="G1" s="74" t="s">
        <v>508</v>
      </c>
      <c r="H1" s="74" t="s">
        <v>517</v>
      </c>
      <c r="I1" s="74" t="s">
        <v>509</v>
      </c>
      <c r="J1" s="74" t="s">
        <v>518</v>
      </c>
      <c r="K1" s="74" t="s">
        <v>519</v>
      </c>
      <c r="L1" s="74" t="s">
        <v>520</v>
      </c>
      <c r="M1" s="74" t="s">
        <v>521</v>
      </c>
      <c r="N1" s="74" t="s">
        <v>522</v>
      </c>
      <c r="O1" s="75" t="s">
        <v>510</v>
      </c>
      <c r="P1" s="75" t="s">
        <v>524</v>
      </c>
      <c r="Q1" s="75" t="s">
        <v>525</v>
      </c>
      <c r="R1" s="75" t="s">
        <v>526</v>
      </c>
      <c r="S1" s="75" t="s">
        <v>527</v>
      </c>
    </row>
    <row r="2" ht="15.0" customHeight="1">
      <c r="A2" s="68"/>
      <c r="B2" s="68"/>
      <c r="C2" s="68"/>
      <c r="D2" s="68" t="s">
        <v>1372</v>
      </c>
      <c r="E2" s="77" t="s">
        <v>340</v>
      </c>
      <c r="F2" s="77" t="s">
        <v>1373</v>
      </c>
      <c r="G2" s="77" t="s">
        <v>1374</v>
      </c>
      <c r="H2" s="77" t="s">
        <v>1375</v>
      </c>
      <c r="I2" s="68" t="s">
        <v>373</v>
      </c>
      <c r="J2" s="77"/>
      <c r="K2" s="77"/>
      <c r="L2" s="77"/>
      <c r="M2" s="81" t="s">
        <v>557</v>
      </c>
      <c r="N2" s="78" t="s">
        <v>586</v>
      </c>
      <c r="O2" s="77"/>
      <c r="P2" s="77"/>
      <c r="Q2" s="77"/>
      <c r="R2" s="77"/>
      <c r="S2" s="77"/>
    </row>
    <row r="3" ht="15.0" customHeight="1">
      <c r="A3" s="79"/>
      <c r="B3" s="79"/>
      <c r="C3" s="79"/>
      <c r="D3" s="79" t="s">
        <v>1376</v>
      </c>
      <c r="E3" s="80" t="s">
        <v>340</v>
      </c>
      <c r="F3" s="80" t="s">
        <v>1373</v>
      </c>
      <c r="G3" s="80" t="s">
        <v>1377</v>
      </c>
      <c r="H3" s="80" t="s">
        <v>1378</v>
      </c>
      <c r="I3" s="79" t="s">
        <v>373</v>
      </c>
      <c r="J3" s="80"/>
      <c r="K3" s="80"/>
      <c r="L3" s="80"/>
      <c r="M3" s="81" t="s">
        <v>557</v>
      </c>
      <c r="N3" s="82" t="s">
        <v>586</v>
      </c>
      <c r="O3" s="80"/>
      <c r="P3" s="80"/>
      <c r="Q3" s="80"/>
      <c r="R3" s="80"/>
      <c r="S3" s="80"/>
    </row>
    <row r="4" ht="15.0" customHeight="1">
      <c r="A4" s="68"/>
      <c r="B4" s="68"/>
      <c r="C4" s="68"/>
      <c r="D4" s="68" t="s">
        <v>1379</v>
      </c>
      <c r="E4" s="77" t="s">
        <v>340</v>
      </c>
      <c r="F4" s="77" t="s">
        <v>1380</v>
      </c>
      <c r="G4" s="77" t="s">
        <v>1381</v>
      </c>
      <c r="H4" s="77" t="s">
        <v>1382</v>
      </c>
      <c r="I4" s="68" t="s">
        <v>373</v>
      </c>
      <c r="J4" s="77"/>
      <c r="K4" s="77"/>
      <c r="L4" s="77"/>
      <c r="M4" s="81" t="s">
        <v>557</v>
      </c>
      <c r="N4" s="78" t="s">
        <v>586</v>
      </c>
      <c r="O4" s="77"/>
      <c r="P4" s="77"/>
      <c r="Q4" s="77"/>
      <c r="R4" s="77"/>
      <c r="S4" s="77"/>
    </row>
    <row r="5" ht="15.0" customHeight="1">
      <c r="A5" s="79"/>
      <c r="B5" s="79"/>
      <c r="C5" s="79"/>
      <c r="D5" s="79" t="s">
        <v>1383</v>
      </c>
      <c r="E5" s="80" t="s">
        <v>340</v>
      </c>
      <c r="F5" s="80" t="s">
        <v>1380</v>
      </c>
      <c r="G5" s="80" t="s">
        <v>1384</v>
      </c>
      <c r="H5" s="80" t="s">
        <v>1385</v>
      </c>
      <c r="I5" s="79" t="s">
        <v>373</v>
      </c>
      <c r="J5" s="80"/>
      <c r="K5" s="80"/>
      <c r="L5" s="80"/>
      <c r="M5" s="81" t="s">
        <v>557</v>
      </c>
      <c r="N5" s="82" t="s">
        <v>586</v>
      </c>
      <c r="O5" s="80"/>
      <c r="P5" s="80"/>
      <c r="Q5" s="80"/>
      <c r="R5" s="80"/>
      <c r="S5" s="80"/>
    </row>
    <row r="6" ht="15.0" customHeight="1">
      <c r="A6" s="68"/>
      <c r="B6" s="68"/>
      <c r="C6" s="68"/>
      <c r="D6" s="68" t="s">
        <v>1386</v>
      </c>
      <c r="E6" s="77" t="s">
        <v>340</v>
      </c>
      <c r="F6" s="77" t="s">
        <v>1380</v>
      </c>
      <c r="G6" s="77" t="s">
        <v>1387</v>
      </c>
      <c r="H6" s="77" t="s">
        <v>1388</v>
      </c>
      <c r="I6" s="68" t="s">
        <v>373</v>
      </c>
      <c r="J6" s="77"/>
      <c r="K6" s="77"/>
      <c r="L6" s="77"/>
      <c r="M6" s="81" t="s">
        <v>557</v>
      </c>
      <c r="N6" s="78" t="s">
        <v>586</v>
      </c>
      <c r="O6" s="77"/>
      <c r="P6" s="77"/>
      <c r="Q6" s="77"/>
      <c r="R6" s="77"/>
      <c r="S6" s="77"/>
    </row>
    <row r="7" ht="15.0" customHeight="1">
      <c r="A7" s="79"/>
      <c r="B7" s="79"/>
      <c r="C7" s="79"/>
      <c r="D7" s="79" t="s">
        <v>1389</v>
      </c>
      <c r="E7" s="80" t="s">
        <v>340</v>
      </c>
      <c r="F7" s="80" t="s">
        <v>1380</v>
      </c>
      <c r="G7" s="80" t="s">
        <v>1390</v>
      </c>
      <c r="H7" s="80" t="s">
        <v>1391</v>
      </c>
      <c r="I7" s="79" t="s">
        <v>373</v>
      </c>
      <c r="J7" s="80"/>
      <c r="K7" s="80"/>
      <c r="L7" s="80"/>
      <c r="M7" s="81" t="s">
        <v>557</v>
      </c>
      <c r="N7" s="82" t="s">
        <v>586</v>
      </c>
      <c r="O7" s="80"/>
      <c r="P7" s="80"/>
      <c r="Q7" s="80"/>
      <c r="R7" s="80"/>
      <c r="S7" s="80"/>
    </row>
    <row r="8" ht="15.0" customHeight="1">
      <c r="A8" s="68"/>
      <c r="B8" s="68"/>
      <c r="C8" s="68"/>
      <c r="D8" s="68" t="s">
        <v>1392</v>
      </c>
      <c r="E8" s="77" t="s">
        <v>340</v>
      </c>
      <c r="F8" s="77" t="s">
        <v>1380</v>
      </c>
      <c r="G8" s="77" t="s">
        <v>1393</v>
      </c>
      <c r="H8" s="77" t="s">
        <v>1394</v>
      </c>
      <c r="I8" s="68" t="s">
        <v>373</v>
      </c>
      <c r="J8" s="77"/>
      <c r="K8" s="77"/>
      <c r="L8" s="77"/>
      <c r="M8" s="81" t="s">
        <v>557</v>
      </c>
      <c r="N8" s="78" t="s">
        <v>586</v>
      </c>
      <c r="O8" s="77"/>
      <c r="P8" s="77"/>
      <c r="Q8" s="77"/>
      <c r="R8" s="77"/>
      <c r="S8" s="77"/>
    </row>
    <row r="9" ht="15.0" customHeight="1">
      <c r="A9" s="79"/>
      <c r="B9" s="79"/>
      <c r="C9" s="79"/>
      <c r="D9" s="79" t="s">
        <v>1395</v>
      </c>
      <c r="E9" s="80" t="s">
        <v>340</v>
      </c>
      <c r="F9" s="80" t="s">
        <v>1396</v>
      </c>
      <c r="G9" s="80" t="s">
        <v>1397</v>
      </c>
      <c r="H9" s="80" t="s">
        <v>1398</v>
      </c>
      <c r="I9" s="79" t="s">
        <v>373</v>
      </c>
      <c r="J9" s="80"/>
      <c r="K9" s="80"/>
      <c r="L9" s="80"/>
      <c r="M9" s="81" t="s">
        <v>557</v>
      </c>
      <c r="N9" s="82" t="s">
        <v>586</v>
      </c>
      <c r="O9" s="80"/>
      <c r="P9" s="80"/>
      <c r="Q9" s="80"/>
      <c r="R9" s="80"/>
      <c r="S9" s="80"/>
    </row>
    <row r="10" ht="15.0" customHeight="1">
      <c r="A10" s="68"/>
      <c r="B10" s="68"/>
      <c r="C10" s="68"/>
      <c r="D10" s="68" t="s">
        <v>1399</v>
      </c>
      <c r="E10" s="77" t="s">
        <v>340</v>
      </c>
      <c r="F10" s="77" t="s">
        <v>1396</v>
      </c>
      <c r="G10" s="77" t="s">
        <v>1400</v>
      </c>
      <c r="H10" s="77" t="s">
        <v>1401</v>
      </c>
      <c r="I10" s="68" t="s">
        <v>373</v>
      </c>
      <c r="J10" s="77"/>
      <c r="K10" s="77"/>
      <c r="L10" s="77"/>
      <c r="M10" s="81" t="s">
        <v>557</v>
      </c>
      <c r="N10" s="78" t="s">
        <v>586</v>
      </c>
      <c r="O10" s="77"/>
      <c r="P10" s="77"/>
      <c r="Q10" s="77"/>
      <c r="R10" s="77"/>
      <c r="S10" s="77"/>
    </row>
    <row r="11" ht="15.0" customHeight="1">
      <c r="A11" s="79"/>
      <c r="B11" s="79"/>
      <c r="C11" s="79"/>
      <c r="D11" s="79" t="s">
        <v>1402</v>
      </c>
      <c r="E11" s="80" t="s">
        <v>340</v>
      </c>
      <c r="F11" s="80" t="s">
        <v>1396</v>
      </c>
      <c r="G11" s="80" t="s">
        <v>1403</v>
      </c>
      <c r="H11" s="80" t="s">
        <v>1404</v>
      </c>
      <c r="I11" s="79" t="s">
        <v>373</v>
      </c>
      <c r="J11" s="80"/>
      <c r="K11" s="80"/>
      <c r="L11" s="80"/>
      <c r="M11" s="81" t="s">
        <v>557</v>
      </c>
      <c r="N11" s="82" t="s">
        <v>586</v>
      </c>
      <c r="O11" s="80"/>
      <c r="P11" s="80"/>
      <c r="Q11" s="80"/>
      <c r="R11" s="80"/>
      <c r="S11" s="80"/>
    </row>
    <row r="12" ht="15.0" customHeight="1">
      <c r="A12" s="68"/>
      <c r="B12" s="68"/>
      <c r="C12" s="68"/>
      <c r="D12" s="68" t="s">
        <v>1405</v>
      </c>
      <c r="E12" s="77" t="s">
        <v>340</v>
      </c>
      <c r="F12" s="77" t="s">
        <v>1396</v>
      </c>
      <c r="G12" s="77" t="s">
        <v>1406</v>
      </c>
      <c r="H12" s="77" t="s">
        <v>1407</v>
      </c>
      <c r="I12" s="68" t="s">
        <v>373</v>
      </c>
      <c r="J12" s="77"/>
      <c r="K12" s="77"/>
      <c r="L12" s="77"/>
      <c r="M12" s="81" t="s">
        <v>557</v>
      </c>
      <c r="N12" s="78" t="s">
        <v>586</v>
      </c>
      <c r="O12" s="77"/>
      <c r="P12" s="77"/>
      <c r="Q12" s="77"/>
      <c r="R12" s="77"/>
      <c r="S12" s="77"/>
    </row>
    <row r="13" ht="15.0" customHeight="1">
      <c r="A13" s="79"/>
      <c r="B13" s="79"/>
      <c r="C13" s="79"/>
      <c r="D13" s="79" t="s">
        <v>1408</v>
      </c>
      <c r="E13" s="80" t="s">
        <v>340</v>
      </c>
      <c r="F13" s="80" t="s">
        <v>1396</v>
      </c>
      <c r="G13" s="80" t="s">
        <v>1409</v>
      </c>
      <c r="H13" s="80" t="s">
        <v>1410</v>
      </c>
      <c r="I13" s="79" t="s">
        <v>373</v>
      </c>
      <c r="J13" s="80"/>
      <c r="K13" s="80"/>
      <c r="L13" s="80"/>
      <c r="M13" s="81" t="s">
        <v>557</v>
      </c>
      <c r="N13" s="82" t="s">
        <v>586</v>
      </c>
      <c r="O13" s="80"/>
      <c r="P13" s="80"/>
      <c r="Q13" s="80"/>
      <c r="R13" s="80"/>
      <c r="S13" s="80"/>
    </row>
    <row r="14" ht="15.0" customHeight="1">
      <c r="A14" s="68"/>
      <c r="B14" s="68"/>
      <c r="C14" s="68"/>
      <c r="D14" s="68" t="s">
        <v>1411</v>
      </c>
      <c r="E14" s="77" t="s">
        <v>340</v>
      </c>
      <c r="F14" s="77" t="s">
        <v>1412</v>
      </c>
      <c r="G14" s="77" t="s">
        <v>1413</v>
      </c>
      <c r="H14" s="77" t="s">
        <v>1414</v>
      </c>
      <c r="I14" s="68" t="s">
        <v>373</v>
      </c>
      <c r="J14" s="77"/>
      <c r="K14" s="77"/>
      <c r="L14" s="77"/>
      <c r="M14" s="81" t="s">
        <v>557</v>
      </c>
      <c r="N14" s="78" t="s">
        <v>586</v>
      </c>
      <c r="O14" s="77"/>
      <c r="P14" s="77"/>
      <c r="Q14" s="77"/>
      <c r="R14" s="77"/>
      <c r="S14" s="77"/>
    </row>
    <row r="15" ht="15.0" customHeight="1">
      <c r="A15" s="79"/>
      <c r="B15" s="79"/>
      <c r="C15" s="79"/>
      <c r="D15" s="79" t="s">
        <v>1415</v>
      </c>
      <c r="E15" s="80" t="s">
        <v>340</v>
      </c>
      <c r="F15" s="80" t="s">
        <v>1412</v>
      </c>
      <c r="G15" s="80" t="s">
        <v>1416</v>
      </c>
      <c r="H15" s="80" t="s">
        <v>1417</v>
      </c>
      <c r="I15" s="79" t="s">
        <v>373</v>
      </c>
      <c r="J15" s="80"/>
      <c r="K15" s="80"/>
      <c r="L15" s="80"/>
      <c r="M15" s="81" t="s">
        <v>557</v>
      </c>
      <c r="N15" s="82" t="s">
        <v>586</v>
      </c>
      <c r="O15" s="80"/>
      <c r="P15" s="80"/>
      <c r="Q15" s="80"/>
      <c r="R15" s="80"/>
      <c r="S15" s="80"/>
    </row>
    <row r="16" ht="15.0" customHeight="1">
      <c r="A16" s="68"/>
      <c r="B16" s="68"/>
      <c r="C16" s="68"/>
      <c r="D16" s="68" t="s">
        <v>1418</v>
      </c>
      <c r="E16" s="77" t="s">
        <v>340</v>
      </c>
      <c r="F16" s="77" t="s">
        <v>1412</v>
      </c>
      <c r="G16" s="77" t="s">
        <v>1419</v>
      </c>
      <c r="H16" s="77" t="s">
        <v>1420</v>
      </c>
      <c r="I16" s="68" t="s">
        <v>373</v>
      </c>
      <c r="J16" s="77"/>
      <c r="K16" s="77"/>
      <c r="L16" s="77"/>
      <c r="M16" s="81" t="s">
        <v>557</v>
      </c>
      <c r="N16" s="78" t="s">
        <v>586</v>
      </c>
      <c r="O16" s="77"/>
      <c r="P16" s="77"/>
      <c r="Q16" s="77"/>
      <c r="R16" s="77"/>
      <c r="S16" s="77"/>
    </row>
    <row r="17" ht="15.0" customHeight="1">
      <c r="A17" s="79"/>
      <c r="B17" s="79"/>
      <c r="C17" s="79"/>
      <c r="D17" s="79" t="s">
        <v>1421</v>
      </c>
      <c r="E17" s="80" t="s">
        <v>340</v>
      </c>
      <c r="F17" s="80" t="s">
        <v>1412</v>
      </c>
      <c r="G17" s="80" t="s">
        <v>1422</v>
      </c>
      <c r="H17" s="80" t="s">
        <v>1423</v>
      </c>
      <c r="I17" s="79" t="s">
        <v>373</v>
      </c>
      <c r="J17" s="80"/>
      <c r="K17" s="80"/>
      <c r="L17" s="80"/>
      <c r="M17" s="81" t="s">
        <v>557</v>
      </c>
      <c r="N17" s="82" t="s">
        <v>586</v>
      </c>
      <c r="O17" s="80"/>
      <c r="P17" s="80"/>
      <c r="Q17" s="80"/>
      <c r="R17" s="80"/>
      <c r="S17" s="80"/>
    </row>
    <row r="18" ht="15.0" customHeight="1">
      <c r="A18" s="68"/>
      <c r="B18" s="68"/>
      <c r="C18" s="68"/>
      <c r="D18" s="68" t="s">
        <v>1424</v>
      </c>
      <c r="E18" s="77" t="s">
        <v>340</v>
      </c>
      <c r="F18" s="77" t="s">
        <v>1425</v>
      </c>
      <c r="G18" s="77" t="s">
        <v>1426</v>
      </c>
      <c r="H18" s="77" t="s">
        <v>1427</v>
      </c>
      <c r="I18" s="68" t="s">
        <v>373</v>
      </c>
      <c r="J18" s="77"/>
      <c r="K18" s="77"/>
      <c r="L18" s="77"/>
      <c r="M18" s="81" t="s">
        <v>557</v>
      </c>
      <c r="N18" s="78" t="s">
        <v>586</v>
      </c>
      <c r="O18" s="77"/>
      <c r="P18" s="77"/>
      <c r="Q18" s="77"/>
      <c r="R18" s="77"/>
      <c r="S18" s="77"/>
    </row>
    <row r="19" ht="15.0" customHeight="1">
      <c r="A19" s="79"/>
      <c r="B19" s="79"/>
      <c r="C19" s="79"/>
      <c r="D19" s="79" t="s">
        <v>1428</v>
      </c>
      <c r="E19" s="80" t="s">
        <v>340</v>
      </c>
      <c r="F19" s="80" t="s">
        <v>1425</v>
      </c>
      <c r="G19" s="80" t="s">
        <v>1429</v>
      </c>
      <c r="H19" s="80" t="s">
        <v>1430</v>
      </c>
      <c r="I19" s="79" t="s">
        <v>373</v>
      </c>
      <c r="J19" s="80"/>
      <c r="K19" s="80"/>
      <c r="L19" s="80"/>
      <c r="M19" s="81" t="s">
        <v>557</v>
      </c>
      <c r="N19" s="82" t="s">
        <v>586</v>
      </c>
      <c r="O19" s="80"/>
      <c r="P19" s="80"/>
      <c r="Q19" s="80"/>
      <c r="R19" s="80"/>
      <c r="S19" s="80"/>
    </row>
    <row r="20" ht="15.0" customHeight="1">
      <c r="A20" s="68"/>
      <c r="B20" s="68"/>
      <c r="C20" s="68"/>
      <c r="D20" s="68" t="s">
        <v>1431</v>
      </c>
      <c r="E20" s="77" t="s">
        <v>340</v>
      </c>
      <c r="F20" s="77" t="s">
        <v>1425</v>
      </c>
      <c r="G20" s="77" t="s">
        <v>1432</v>
      </c>
      <c r="H20" s="77" t="s">
        <v>1433</v>
      </c>
      <c r="I20" s="68" t="s">
        <v>373</v>
      </c>
      <c r="J20" s="77"/>
      <c r="K20" s="77"/>
      <c r="L20" s="77"/>
      <c r="M20" s="81" t="s">
        <v>557</v>
      </c>
      <c r="N20" s="78" t="s">
        <v>586</v>
      </c>
      <c r="O20" s="77"/>
      <c r="P20" s="77"/>
      <c r="Q20" s="77"/>
      <c r="R20" s="77"/>
      <c r="S20" s="77"/>
    </row>
    <row r="21" ht="15.0" customHeight="1">
      <c r="A21" s="79"/>
      <c r="B21" s="79"/>
      <c r="C21" s="79"/>
      <c r="D21" s="79" t="s">
        <v>1434</v>
      </c>
      <c r="E21" s="80" t="s">
        <v>340</v>
      </c>
      <c r="F21" s="80" t="s">
        <v>1425</v>
      </c>
      <c r="G21" s="80" t="s">
        <v>1435</v>
      </c>
      <c r="H21" s="80" t="s">
        <v>1436</v>
      </c>
      <c r="I21" s="79" t="s">
        <v>373</v>
      </c>
      <c r="J21" s="80"/>
      <c r="K21" s="80"/>
      <c r="L21" s="80"/>
      <c r="M21" s="81" t="s">
        <v>557</v>
      </c>
      <c r="N21" s="82" t="s">
        <v>586</v>
      </c>
      <c r="O21" s="80"/>
      <c r="P21" s="80"/>
      <c r="Q21" s="80"/>
      <c r="R21" s="80"/>
      <c r="S21" s="80"/>
    </row>
    <row r="22" ht="15.0" customHeight="1">
      <c r="A22" s="68"/>
      <c r="B22" s="68"/>
      <c r="C22" s="68"/>
      <c r="D22" s="68" t="s">
        <v>1437</v>
      </c>
      <c r="E22" s="77" t="s">
        <v>340</v>
      </c>
      <c r="F22" s="77" t="s">
        <v>1425</v>
      </c>
      <c r="G22" s="77" t="s">
        <v>1438</v>
      </c>
      <c r="H22" s="77" t="s">
        <v>1439</v>
      </c>
      <c r="I22" s="68" t="s">
        <v>373</v>
      </c>
      <c r="J22" s="77"/>
      <c r="K22" s="77"/>
      <c r="L22" s="77"/>
      <c r="M22" s="81" t="s">
        <v>557</v>
      </c>
      <c r="N22" s="78" t="s">
        <v>586</v>
      </c>
      <c r="O22" s="77"/>
      <c r="P22" s="77"/>
      <c r="Q22" s="77"/>
      <c r="R22" s="77"/>
      <c r="S22" s="77"/>
    </row>
    <row r="23" ht="15.0" customHeight="1">
      <c r="A23" s="79"/>
      <c r="B23" s="79"/>
      <c r="C23" s="79"/>
      <c r="D23" s="79" t="s">
        <v>1440</v>
      </c>
      <c r="E23" s="80" t="s">
        <v>340</v>
      </c>
      <c r="F23" s="80" t="s">
        <v>1441</v>
      </c>
      <c r="G23" s="80" t="s">
        <v>1442</v>
      </c>
      <c r="H23" s="80" t="s">
        <v>1443</v>
      </c>
      <c r="I23" s="79" t="s">
        <v>373</v>
      </c>
      <c r="J23" s="80"/>
      <c r="K23" s="80"/>
      <c r="L23" s="80"/>
      <c r="M23" s="81" t="s">
        <v>557</v>
      </c>
      <c r="N23" s="82" t="s">
        <v>586</v>
      </c>
      <c r="O23" s="80"/>
      <c r="P23" s="80"/>
      <c r="Q23" s="80"/>
      <c r="R23" s="80"/>
      <c r="S23" s="80"/>
    </row>
    <row r="24" ht="15.0" customHeight="1">
      <c r="A24" s="68"/>
      <c r="B24" s="68"/>
      <c r="C24" s="68"/>
      <c r="D24" s="68" t="s">
        <v>1444</v>
      </c>
      <c r="E24" s="77" t="s">
        <v>340</v>
      </c>
      <c r="F24" s="77" t="s">
        <v>1441</v>
      </c>
      <c r="G24" s="77" t="s">
        <v>1445</v>
      </c>
      <c r="H24" s="77" t="s">
        <v>1446</v>
      </c>
      <c r="I24" s="68" t="s">
        <v>373</v>
      </c>
      <c r="J24" s="77"/>
      <c r="K24" s="77"/>
      <c r="L24" s="77"/>
      <c r="M24" s="81" t="s">
        <v>557</v>
      </c>
      <c r="N24" s="78" t="s">
        <v>586</v>
      </c>
      <c r="O24" s="77"/>
      <c r="P24" s="77"/>
      <c r="Q24" s="77"/>
      <c r="R24" s="77"/>
      <c r="S24" s="77"/>
    </row>
    <row r="25" ht="23.25" customHeight="1">
      <c r="A25" s="79"/>
      <c r="B25" s="79"/>
      <c r="C25" s="79"/>
      <c r="D25" s="79" t="s">
        <v>1447</v>
      </c>
      <c r="E25" s="80" t="s">
        <v>340</v>
      </c>
      <c r="F25" s="80" t="s">
        <v>1448</v>
      </c>
      <c r="G25" s="80" t="s">
        <v>1449</v>
      </c>
      <c r="H25" s="80" t="s">
        <v>1450</v>
      </c>
      <c r="I25" s="79" t="s">
        <v>373</v>
      </c>
      <c r="J25" s="80"/>
      <c r="K25" s="80"/>
      <c r="L25" s="80"/>
      <c r="M25" s="81" t="s">
        <v>557</v>
      </c>
      <c r="N25" s="82" t="s">
        <v>586</v>
      </c>
      <c r="O25" s="80"/>
      <c r="P25" s="80"/>
      <c r="Q25" s="80"/>
      <c r="R25" s="80"/>
      <c r="S25" s="80"/>
    </row>
    <row r="26" ht="23.25" customHeight="1">
      <c r="A26" s="68"/>
      <c r="B26" s="68"/>
      <c r="C26" s="68"/>
      <c r="D26" s="68" t="s">
        <v>1451</v>
      </c>
      <c r="E26" s="77" t="s">
        <v>340</v>
      </c>
      <c r="F26" s="77" t="s">
        <v>1448</v>
      </c>
      <c r="G26" s="77" t="s">
        <v>1452</v>
      </c>
      <c r="H26" s="77" t="s">
        <v>1453</v>
      </c>
      <c r="I26" s="68" t="s">
        <v>373</v>
      </c>
      <c r="J26" s="77"/>
      <c r="K26" s="77"/>
      <c r="L26" s="77"/>
      <c r="M26" s="81" t="s">
        <v>557</v>
      </c>
      <c r="N26" s="78" t="s">
        <v>586</v>
      </c>
      <c r="O26" s="77"/>
      <c r="P26" s="77"/>
      <c r="Q26" s="77"/>
      <c r="R26" s="77"/>
      <c r="S26" s="77"/>
    </row>
    <row r="27" ht="23.25" customHeight="1">
      <c r="A27" s="79"/>
      <c r="B27" s="79"/>
      <c r="C27" s="79"/>
      <c r="D27" s="79" t="s">
        <v>1454</v>
      </c>
      <c r="E27" s="80" t="s">
        <v>340</v>
      </c>
      <c r="F27" s="80" t="s">
        <v>1448</v>
      </c>
      <c r="G27" s="80" t="s">
        <v>1455</v>
      </c>
      <c r="H27" s="80" t="s">
        <v>1456</v>
      </c>
      <c r="I27" s="79" t="s">
        <v>373</v>
      </c>
      <c r="J27" s="80"/>
      <c r="K27" s="80"/>
      <c r="L27" s="80"/>
      <c r="M27" s="81" t="s">
        <v>557</v>
      </c>
      <c r="N27" s="82" t="s">
        <v>586</v>
      </c>
      <c r="O27" s="80"/>
      <c r="P27" s="80"/>
      <c r="Q27" s="80"/>
      <c r="R27" s="80"/>
      <c r="S27" s="80"/>
    </row>
    <row r="28" ht="23.25" customHeight="1">
      <c r="A28" s="68"/>
      <c r="B28" s="68"/>
      <c r="C28" s="68"/>
      <c r="D28" s="68" t="s">
        <v>1457</v>
      </c>
      <c r="E28" s="77" t="s">
        <v>340</v>
      </c>
      <c r="F28" s="77" t="s">
        <v>1448</v>
      </c>
      <c r="G28" s="77" t="s">
        <v>1458</v>
      </c>
      <c r="H28" s="77" t="s">
        <v>1459</v>
      </c>
      <c r="I28" s="68" t="s">
        <v>373</v>
      </c>
      <c r="J28" s="77"/>
      <c r="K28" s="77"/>
      <c r="L28" s="77"/>
      <c r="M28" s="81" t="s">
        <v>557</v>
      </c>
      <c r="N28" s="78" t="s">
        <v>586</v>
      </c>
      <c r="O28" s="77"/>
      <c r="P28" s="77"/>
      <c r="Q28" s="77"/>
      <c r="R28" s="77"/>
      <c r="S28" s="77"/>
    </row>
    <row r="29" ht="23.25" customHeight="1">
      <c r="A29" s="79"/>
      <c r="B29" s="79"/>
      <c r="C29" s="79"/>
      <c r="D29" s="79" t="s">
        <v>1460</v>
      </c>
      <c r="E29" s="80" t="s">
        <v>340</v>
      </c>
      <c r="F29" s="80" t="s">
        <v>1448</v>
      </c>
      <c r="G29" s="80" t="s">
        <v>1461</v>
      </c>
      <c r="H29" s="80" t="s">
        <v>1462</v>
      </c>
      <c r="I29" s="79" t="s">
        <v>373</v>
      </c>
      <c r="J29" s="80"/>
      <c r="K29" s="80"/>
      <c r="L29" s="80"/>
      <c r="M29" s="81" t="s">
        <v>557</v>
      </c>
      <c r="N29" s="82" t="s">
        <v>586</v>
      </c>
      <c r="O29" s="80"/>
      <c r="P29" s="80"/>
      <c r="Q29" s="80"/>
      <c r="R29" s="80"/>
      <c r="S29" s="80"/>
    </row>
    <row r="30" ht="23.25" customHeight="1">
      <c r="A30" s="68"/>
      <c r="B30" s="68"/>
      <c r="C30" s="68"/>
      <c r="D30" s="68" t="s">
        <v>1463</v>
      </c>
      <c r="E30" s="77" t="s">
        <v>340</v>
      </c>
      <c r="F30" s="77" t="s">
        <v>1448</v>
      </c>
      <c r="G30" s="77" t="s">
        <v>1464</v>
      </c>
      <c r="H30" s="77" t="s">
        <v>1465</v>
      </c>
      <c r="I30" s="68" t="s">
        <v>373</v>
      </c>
      <c r="J30" s="77"/>
      <c r="K30" s="77"/>
      <c r="L30" s="77"/>
      <c r="M30" s="81" t="s">
        <v>557</v>
      </c>
      <c r="N30" s="78" t="s">
        <v>586</v>
      </c>
      <c r="O30" s="77"/>
      <c r="P30" s="77"/>
      <c r="Q30" s="77"/>
      <c r="R30" s="77"/>
      <c r="S30" s="77"/>
    </row>
    <row r="31" ht="15.0" customHeight="1">
      <c r="A31" s="79"/>
      <c r="B31" s="79"/>
      <c r="C31" s="79"/>
      <c r="D31" s="79" t="s">
        <v>1466</v>
      </c>
      <c r="E31" s="80" t="s">
        <v>340</v>
      </c>
      <c r="F31" s="80" t="s">
        <v>1467</v>
      </c>
      <c r="G31" s="80" t="s">
        <v>1468</v>
      </c>
      <c r="H31" s="80" t="s">
        <v>1469</v>
      </c>
      <c r="I31" s="79" t="s">
        <v>373</v>
      </c>
      <c r="J31" s="80"/>
      <c r="K31" s="80"/>
      <c r="L31" s="80"/>
      <c r="M31" s="81" t="s">
        <v>557</v>
      </c>
      <c r="N31" s="82" t="s">
        <v>586</v>
      </c>
      <c r="O31" s="80"/>
      <c r="P31" s="80"/>
      <c r="Q31" s="80"/>
      <c r="R31" s="80"/>
      <c r="S31" s="80"/>
    </row>
    <row r="32" ht="15.0" customHeight="1">
      <c r="A32" s="68"/>
      <c r="B32" s="68"/>
      <c r="C32" s="68"/>
      <c r="D32" s="68" t="s">
        <v>1470</v>
      </c>
      <c r="E32" s="77" t="s">
        <v>340</v>
      </c>
      <c r="F32" s="77" t="s">
        <v>1467</v>
      </c>
      <c r="G32" s="77" t="s">
        <v>1471</v>
      </c>
      <c r="H32" s="77" t="s">
        <v>1472</v>
      </c>
      <c r="I32" s="68" t="s">
        <v>373</v>
      </c>
      <c r="J32" s="77"/>
      <c r="K32" s="77"/>
      <c r="L32" s="77"/>
      <c r="M32" s="81" t="s">
        <v>557</v>
      </c>
      <c r="N32" s="78" t="s">
        <v>586</v>
      </c>
      <c r="O32" s="77"/>
      <c r="P32" s="77"/>
      <c r="Q32" s="77"/>
      <c r="R32" s="77"/>
      <c r="S32" s="77"/>
    </row>
    <row r="33" ht="15.0" customHeight="1">
      <c r="A33" s="79"/>
      <c r="B33" s="79"/>
      <c r="C33" s="79"/>
      <c r="D33" s="79" t="s">
        <v>1473</v>
      </c>
      <c r="E33" s="80" t="s">
        <v>340</v>
      </c>
      <c r="F33" s="80" t="s">
        <v>1467</v>
      </c>
      <c r="G33" s="80" t="s">
        <v>1474</v>
      </c>
      <c r="H33" s="80" t="s">
        <v>1475</v>
      </c>
      <c r="I33" s="79" t="s">
        <v>373</v>
      </c>
      <c r="J33" s="80"/>
      <c r="K33" s="80"/>
      <c r="L33" s="80"/>
      <c r="M33" s="81" t="s">
        <v>557</v>
      </c>
      <c r="N33" s="82" t="s">
        <v>586</v>
      </c>
      <c r="O33" s="80"/>
      <c r="P33" s="80"/>
      <c r="Q33" s="80"/>
      <c r="R33" s="80"/>
      <c r="S33" s="80"/>
    </row>
    <row r="34" ht="15.0" customHeight="1">
      <c r="A34" s="68"/>
      <c r="B34" s="68"/>
      <c r="C34" s="68"/>
      <c r="D34" s="68" t="s">
        <v>1476</v>
      </c>
      <c r="E34" s="77" t="s">
        <v>340</v>
      </c>
      <c r="F34" s="77" t="s">
        <v>1477</v>
      </c>
      <c r="G34" s="77" t="s">
        <v>1478</v>
      </c>
      <c r="H34" s="77" t="s">
        <v>1479</v>
      </c>
      <c r="I34" s="68" t="s">
        <v>373</v>
      </c>
      <c r="J34" s="77"/>
      <c r="K34" s="77"/>
      <c r="L34" s="77"/>
      <c r="M34" s="81" t="s">
        <v>557</v>
      </c>
      <c r="N34" s="78" t="s">
        <v>586</v>
      </c>
      <c r="O34" s="77"/>
      <c r="P34" s="77"/>
      <c r="Q34" s="77"/>
      <c r="R34" s="77"/>
      <c r="S34" s="77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</row>
  </sheetData>
  <autoFilter ref="$A$1:$S$34"/>
  <conditionalFormatting sqref="I2:I1000">
    <cfRule type="cellIs" dxfId="7" priority="1" operator="equal">
      <formula>"NOT OK"</formula>
    </cfRule>
  </conditionalFormatting>
  <conditionalFormatting sqref="I2:I1000">
    <cfRule type="cellIs" dxfId="8" priority="2" operator="equal">
      <formula>"OK"</formula>
    </cfRule>
  </conditionalFormatting>
  <conditionalFormatting sqref="I2:I1000">
    <cfRule type="cellIs" dxfId="9" priority="3" operator="equal">
      <formula>"Pending"</formula>
    </cfRule>
  </conditionalFormatting>
  <conditionalFormatting sqref="I2:I34">
    <cfRule type="cellIs" dxfId="10" priority="4" operator="equal">
      <formula>"OK"</formula>
    </cfRule>
  </conditionalFormatting>
  <conditionalFormatting sqref="I2:I34">
    <cfRule type="cellIs" dxfId="5" priority="5" operator="equal">
      <formula>"NOT OK"</formula>
    </cfRule>
  </conditionalFormatting>
  <conditionalFormatting sqref="I2:I34">
    <cfRule type="cellIs" dxfId="11" priority="6" operator="equal">
      <formula>"Pending"</formula>
    </cfRule>
  </conditionalFormatting>
  <conditionalFormatting sqref="I2:I34">
    <cfRule type="cellIs" dxfId="12" priority="7" operator="equal">
      <formula>"N/A"</formula>
    </cfRule>
  </conditionalFormatting>
  <conditionalFormatting sqref="A2:S34">
    <cfRule type="expression" dxfId="13" priority="8">
      <formula>$I2="NOT OK"</formula>
    </cfRule>
  </conditionalFormatting>
  <conditionalFormatting sqref="P2:P34">
    <cfRule type="cellIs" dxfId="10" priority="9" operator="equal">
      <formula>"Yes"</formula>
    </cfRule>
  </conditionalFormatting>
  <conditionalFormatting sqref="P2:P34">
    <cfRule type="cellIs" dxfId="11" priority="10" operator="equal">
      <formula>"In Progress"</formula>
    </cfRule>
  </conditionalFormatting>
  <conditionalFormatting sqref="P2:P34">
    <cfRule type="cellIs" dxfId="5" priority="11" operator="equal">
      <formula>"No"</formula>
    </cfRule>
  </conditionalFormatting>
  <conditionalFormatting sqref="O2:O34">
    <cfRule type="expression" dxfId="14" priority="12">
      <formula>AND($I2="NOT OK",O2="")</formula>
    </cfRule>
  </conditionalFormatting>
  <dataValidations>
    <dataValidation type="list" allowBlank="1" sqref="P2:P34">
      <formula1>CONFIG!$E$2:$E$5</formula1>
    </dataValidation>
    <dataValidation type="list" allowBlank="1" sqref="A2:A1000">
      <formula1>CONFIG!$A$2:$A$16</formula1>
    </dataValidation>
    <dataValidation type="list" allowBlank="1" sqref="C2:C1000">
      <formula1>CONFIG!$C$2:$C$9</formula1>
    </dataValidation>
    <dataValidation type="list" allowBlank="1" sqref="I2:I34">
      <formula1>CONFIG!$D$2:$D$5</formula1>
    </dataValidation>
    <dataValidation type="list" allowBlank="1" sqref="B2:B1000">
      <formula1>CONFIG!$B$2:$B$44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  <hyperlink r:id="rId25" ref="M25"/>
    <hyperlink r:id="rId26" ref="M26"/>
    <hyperlink r:id="rId27" ref="M27"/>
    <hyperlink r:id="rId28" ref="M28"/>
    <hyperlink r:id="rId29" ref="M29"/>
    <hyperlink r:id="rId30" ref="M30"/>
    <hyperlink r:id="rId31" ref="M31"/>
    <hyperlink r:id="rId32" ref="M32"/>
    <hyperlink r:id="rId33" ref="M33"/>
    <hyperlink r:id="rId34" ref="M34"/>
  </hyperlinks>
  <printOptions/>
  <pageMargins bottom="1.0" footer="0.0" header="0.0" left="0.75" right="0.75" top="1.0"/>
  <pageSetup paperSize="9" orientation="portrait"/>
  <drawing r:id="rId35"/>
  <legacyDrawing r:id="rId3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7C7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2" width="18.0"/>
    <col customWidth="1" min="3" max="3" width="22.0"/>
    <col customWidth="1" min="4" max="5" width="14.0"/>
    <col customWidth="1" min="6" max="6" width="26.0"/>
    <col customWidth="1" min="7" max="7" width="30.0"/>
    <col customWidth="1" min="8" max="26" width="8.71"/>
  </cols>
  <sheetData>
    <row r="1" ht="30.0" customHeight="1">
      <c r="A1" s="86" t="s">
        <v>1505</v>
      </c>
      <c r="B1" s="15"/>
      <c r="C1" s="15"/>
      <c r="D1" s="15"/>
      <c r="E1" s="15"/>
      <c r="F1" s="15"/>
      <c r="G1" s="16"/>
    </row>
    <row r="2" ht="18.0" customHeight="1">
      <c r="A2" s="87" t="s">
        <v>1506</v>
      </c>
      <c r="B2" s="15"/>
      <c r="C2" s="15"/>
      <c r="D2" s="15"/>
      <c r="E2" s="15"/>
      <c r="F2" s="15"/>
      <c r="G2" s="16"/>
    </row>
    <row r="3">
      <c r="A3" s="13"/>
      <c r="B3" s="13"/>
      <c r="C3" s="13"/>
      <c r="D3" s="13"/>
      <c r="E3" s="13"/>
      <c r="F3" s="13"/>
      <c r="G3" s="13"/>
    </row>
    <row r="4" ht="25.5" customHeight="1">
      <c r="A4" s="74" t="s">
        <v>1507</v>
      </c>
      <c r="B4" s="74" t="s">
        <v>1508</v>
      </c>
      <c r="C4" s="74" t="s">
        <v>5</v>
      </c>
      <c r="D4" s="74" t="s">
        <v>1509</v>
      </c>
      <c r="E4" s="74" t="s">
        <v>1510</v>
      </c>
      <c r="F4" s="74" t="s">
        <v>1511</v>
      </c>
      <c r="G4" s="74" t="s">
        <v>1512</v>
      </c>
    </row>
    <row r="5" ht="15.0" customHeight="1">
      <c r="A5" s="88" t="s">
        <v>1513</v>
      </c>
      <c r="B5" s="88" t="s">
        <v>1514</v>
      </c>
      <c r="C5" s="88" t="s">
        <v>333</v>
      </c>
      <c r="D5" s="88" t="s">
        <v>406</v>
      </c>
      <c r="E5" s="81" t="s">
        <v>1515</v>
      </c>
      <c r="F5" s="89" t="s">
        <v>1516</v>
      </c>
      <c r="G5" s="89" t="s">
        <v>1517</v>
      </c>
    </row>
    <row r="6" ht="15.0" customHeight="1">
      <c r="A6" s="90" t="s">
        <v>1518</v>
      </c>
      <c r="B6" s="90" t="s">
        <v>1514</v>
      </c>
      <c r="C6" s="90" t="s">
        <v>382</v>
      </c>
      <c r="D6" s="90" t="s">
        <v>406</v>
      </c>
      <c r="E6" s="81" t="s">
        <v>1515</v>
      </c>
      <c r="F6" s="91" t="s">
        <v>1516</v>
      </c>
      <c r="G6" s="91" t="s">
        <v>1517</v>
      </c>
    </row>
    <row r="7" ht="15.0" customHeight="1">
      <c r="A7" s="88" t="s">
        <v>1519</v>
      </c>
      <c r="B7" s="88" t="s">
        <v>1514</v>
      </c>
      <c r="C7" s="88" t="s">
        <v>382</v>
      </c>
      <c r="D7" s="88" t="s">
        <v>406</v>
      </c>
      <c r="E7" s="81" t="s">
        <v>1515</v>
      </c>
      <c r="F7" s="89" t="s">
        <v>1516</v>
      </c>
      <c r="G7" s="89" t="s">
        <v>1517</v>
      </c>
    </row>
    <row r="8" ht="15.0" customHeight="1">
      <c r="A8" s="90" t="s">
        <v>1520</v>
      </c>
      <c r="B8" s="90" t="s">
        <v>1514</v>
      </c>
      <c r="C8" s="90" t="s">
        <v>415</v>
      </c>
      <c r="D8" s="90" t="s">
        <v>406</v>
      </c>
      <c r="E8" s="81" t="s">
        <v>1515</v>
      </c>
      <c r="F8" s="91" t="s">
        <v>1516</v>
      </c>
      <c r="G8" s="91" t="s">
        <v>1517</v>
      </c>
    </row>
    <row r="9" ht="15.0" customHeight="1">
      <c r="A9" s="88" t="s">
        <v>1521</v>
      </c>
      <c r="B9" s="88" t="s">
        <v>1514</v>
      </c>
      <c r="C9" s="88" t="s">
        <v>415</v>
      </c>
      <c r="D9" s="88" t="s">
        <v>406</v>
      </c>
      <c r="E9" s="81" t="s">
        <v>1515</v>
      </c>
      <c r="F9" s="89" t="s">
        <v>1516</v>
      </c>
      <c r="G9" s="89" t="s">
        <v>1517</v>
      </c>
    </row>
    <row r="10" ht="15.0" customHeight="1">
      <c r="A10" s="90" t="s">
        <v>1522</v>
      </c>
      <c r="B10" s="90" t="s">
        <v>1514</v>
      </c>
      <c r="C10" s="90" t="s">
        <v>415</v>
      </c>
      <c r="D10" s="90" t="s">
        <v>406</v>
      </c>
      <c r="E10" s="81" t="s">
        <v>1515</v>
      </c>
      <c r="F10" s="91" t="s">
        <v>1516</v>
      </c>
      <c r="G10" s="91" t="s">
        <v>1517</v>
      </c>
    </row>
    <row r="11" ht="15.0" customHeight="1">
      <c r="A11" s="88" t="s">
        <v>1523</v>
      </c>
      <c r="B11" s="88" t="s">
        <v>1514</v>
      </c>
      <c r="C11" s="88" t="s">
        <v>423</v>
      </c>
      <c r="D11" s="88" t="s">
        <v>406</v>
      </c>
      <c r="E11" s="81" t="s">
        <v>1515</v>
      </c>
      <c r="F11" s="89" t="s">
        <v>1516</v>
      </c>
      <c r="G11" s="89" t="s">
        <v>1517</v>
      </c>
    </row>
    <row r="12" ht="15.0" customHeight="1">
      <c r="A12" s="90" t="s">
        <v>1524</v>
      </c>
      <c r="B12" s="90" t="s">
        <v>1514</v>
      </c>
      <c r="C12" s="90" t="s">
        <v>423</v>
      </c>
      <c r="D12" s="90"/>
      <c r="E12" s="92" t="s">
        <v>1525</v>
      </c>
      <c r="F12" s="91" t="s">
        <v>1516</v>
      </c>
      <c r="G12" s="91" t="s">
        <v>1517</v>
      </c>
    </row>
    <row r="13" ht="15.0" customHeight="1">
      <c r="A13" s="88" t="s">
        <v>1526</v>
      </c>
      <c r="B13" s="88" t="s">
        <v>1514</v>
      </c>
      <c r="C13" s="88" t="s">
        <v>415</v>
      </c>
      <c r="D13" s="88" t="s">
        <v>406</v>
      </c>
      <c r="E13" s="81" t="s">
        <v>1515</v>
      </c>
      <c r="F13" s="89" t="s">
        <v>1516</v>
      </c>
      <c r="G13" s="89" t="s">
        <v>1517</v>
      </c>
    </row>
    <row r="14" ht="15.0" customHeight="1">
      <c r="A14" s="90" t="s">
        <v>1527</v>
      </c>
      <c r="B14" s="90" t="s">
        <v>1514</v>
      </c>
      <c r="C14" s="90" t="s">
        <v>419</v>
      </c>
      <c r="D14" s="90" t="s">
        <v>406</v>
      </c>
      <c r="E14" s="81" t="s">
        <v>1515</v>
      </c>
      <c r="F14" s="91" t="s">
        <v>1516</v>
      </c>
      <c r="G14" s="91" t="s">
        <v>1517</v>
      </c>
    </row>
    <row r="15" ht="15.0" customHeight="1">
      <c r="A15" s="88" t="s">
        <v>1528</v>
      </c>
      <c r="B15" s="88" t="s">
        <v>1514</v>
      </c>
      <c r="C15" s="88" t="s">
        <v>333</v>
      </c>
      <c r="D15" s="88" t="s">
        <v>406</v>
      </c>
      <c r="E15" s="81" t="s">
        <v>1515</v>
      </c>
      <c r="F15" s="89" t="s">
        <v>1516</v>
      </c>
      <c r="G15" s="89" t="s">
        <v>1517</v>
      </c>
    </row>
    <row r="16" ht="15.0" customHeight="1">
      <c r="A16" s="90" t="s">
        <v>1529</v>
      </c>
      <c r="B16" s="90" t="s">
        <v>1530</v>
      </c>
      <c r="C16" s="90" t="s">
        <v>1531</v>
      </c>
      <c r="D16" s="90" t="s">
        <v>406</v>
      </c>
      <c r="E16" s="81" t="s">
        <v>1515</v>
      </c>
      <c r="F16" s="91" t="s">
        <v>1532</v>
      </c>
      <c r="G16" s="91" t="s">
        <v>1517</v>
      </c>
    </row>
    <row r="17" ht="15.0" customHeight="1">
      <c r="A17" s="88" t="s">
        <v>1533</v>
      </c>
      <c r="B17" s="88" t="s">
        <v>1530</v>
      </c>
      <c r="C17" s="88" t="s">
        <v>415</v>
      </c>
      <c r="D17" s="88" t="s">
        <v>406</v>
      </c>
      <c r="E17" s="81" t="s">
        <v>1515</v>
      </c>
      <c r="F17" s="89" t="s">
        <v>1532</v>
      </c>
      <c r="G17" s="89" t="s">
        <v>1517</v>
      </c>
    </row>
    <row r="18" ht="15.0" customHeight="1">
      <c r="A18" s="90" t="s">
        <v>1534</v>
      </c>
      <c r="B18" s="90" t="s">
        <v>1530</v>
      </c>
      <c r="C18" s="90" t="s">
        <v>382</v>
      </c>
      <c r="D18" s="90" t="s">
        <v>406</v>
      </c>
      <c r="E18" s="81" t="s">
        <v>1515</v>
      </c>
      <c r="F18" s="91" t="s">
        <v>1532</v>
      </c>
      <c r="G18" s="91" t="s">
        <v>1517</v>
      </c>
    </row>
    <row r="19" ht="15.0" customHeight="1">
      <c r="A19" s="88" t="s">
        <v>1535</v>
      </c>
      <c r="B19" s="88" t="s">
        <v>1530</v>
      </c>
      <c r="C19" s="88" t="s">
        <v>333</v>
      </c>
      <c r="D19" s="88" t="s">
        <v>406</v>
      </c>
      <c r="E19" s="81" t="s">
        <v>1515</v>
      </c>
      <c r="F19" s="89" t="s">
        <v>1532</v>
      </c>
      <c r="G19" s="89" t="s">
        <v>1517</v>
      </c>
    </row>
    <row r="20" ht="15.0" customHeight="1">
      <c r="A20" s="90" t="s">
        <v>1536</v>
      </c>
      <c r="B20" s="90" t="s">
        <v>1530</v>
      </c>
      <c r="C20" s="90" t="s">
        <v>415</v>
      </c>
      <c r="D20" s="90" t="s">
        <v>406</v>
      </c>
      <c r="E20" s="81" t="s">
        <v>1515</v>
      </c>
      <c r="F20" s="91" t="s">
        <v>1532</v>
      </c>
      <c r="G20" s="91" t="s">
        <v>1517</v>
      </c>
    </row>
    <row r="21" ht="15.0" customHeight="1">
      <c r="A21" s="88" t="s">
        <v>1537</v>
      </c>
      <c r="B21" s="88" t="s">
        <v>1530</v>
      </c>
      <c r="C21" s="88" t="s">
        <v>415</v>
      </c>
      <c r="D21" s="88" t="s">
        <v>406</v>
      </c>
      <c r="E21" s="81" t="s">
        <v>1515</v>
      </c>
      <c r="F21" s="89" t="s">
        <v>1532</v>
      </c>
      <c r="G21" s="89" t="s">
        <v>1517</v>
      </c>
    </row>
    <row r="22" ht="15.0" customHeight="1">
      <c r="A22" s="90" t="s">
        <v>1538</v>
      </c>
      <c r="B22" s="90" t="s">
        <v>1530</v>
      </c>
      <c r="C22" s="90" t="s">
        <v>333</v>
      </c>
      <c r="D22" s="90" t="s">
        <v>406</v>
      </c>
      <c r="E22" s="81" t="s">
        <v>1515</v>
      </c>
      <c r="F22" s="91" t="s">
        <v>1532</v>
      </c>
      <c r="G22" s="91" t="s">
        <v>1517</v>
      </c>
    </row>
    <row r="23" ht="15.0" customHeight="1">
      <c r="A23" s="88" t="s">
        <v>1539</v>
      </c>
      <c r="B23" s="88" t="s">
        <v>1530</v>
      </c>
      <c r="C23" s="88" t="s">
        <v>333</v>
      </c>
      <c r="D23" s="88" t="s">
        <v>406</v>
      </c>
      <c r="E23" s="81" t="s">
        <v>1515</v>
      </c>
      <c r="F23" s="89" t="s">
        <v>1532</v>
      </c>
      <c r="G23" s="89" t="s">
        <v>1517</v>
      </c>
    </row>
    <row r="24" ht="15.0" customHeight="1">
      <c r="A24" s="90" t="s">
        <v>1540</v>
      </c>
      <c r="B24" s="90" t="s">
        <v>1530</v>
      </c>
      <c r="C24" s="90" t="s">
        <v>333</v>
      </c>
      <c r="D24" s="90" t="s">
        <v>406</v>
      </c>
      <c r="E24" s="81" t="s">
        <v>1515</v>
      </c>
      <c r="F24" s="91" t="s">
        <v>1532</v>
      </c>
      <c r="G24" s="91" t="s">
        <v>1517</v>
      </c>
    </row>
    <row r="25" ht="15.0" customHeight="1">
      <c r="A25" s="88" t="s">
        <v>1541</v>
      </c>
      <c r="B25" s="88" t="s">
        <v>1530</v>
      </c>
      <c r="C25" s="88" t="s">
        <v>333</v>
      </c>
      <c r="D25" s="88" t="s">
        <v>406</v>
      </c>
      <c r="E25" s="81" t="s">
        <v>1515</v>
      </c>
      <c r="F25" s="89" t="s">
        <v>1532</v>
      </c>
      <c r="G25" s="89" t="s">
        <v>1517</v>
      </c>
    </row>
    <row r="26" ht="15.0" customHeight="1">
      <c r="A26" s="90" t="s">
        <v>1542</v>
      </c>
      <c r="B26" s="90" t="s">
        <v>1530</v>
      </c>
      <c r="C26" s="90" t="s">
        <v>333</v>
      </c>
      <c r="D26" s="90" t="s">
        <v>406</v>
      </c>
      <c r="E26" s="81" t="s">
        <v>1515</v>
      </c>
      <c r="F26" s="91" t="s">
        <v>1532</v>
      </c>
      <c r="G26" s="91" t="s">
        <v>1517</v>
      </c>
    </row>
    <row r="27" ht="15.0" customHeight="1">
      <c r="A27" s="88" t="s">
        <v>1543</v>
      </c>
      <c r="B27" s="88" t="s">
        <v>1530</v>
      </c>
      <c r="C27" s="88" t="s">
        <v>1531</v>
      </c>
      <c r="D27" s="88" t="s">
        <v>406</v>
      </c>
      <c r="E27" s="81" t="s">
        <v>1515</v>
      </c>
      <c r="F27" s="89" t="s">
        <v>1532</v>
      </c>
      <c r="G27" s="89" t="s">
        <v>1517</v>
      </c>
    </row>
    <row r="28" ht="15.0" customHeight="1">
      <c r="A28" s="90" t="s">
        <v>1544</v>
      </c>
      <c r="B28" s="90" t="s">
        <v>1530</v>
      </c>
      <c r="C28" s="90" t="s">
        <v>372</v>
      </c>
      <c r="D28" s="90" t="s">
        <v>406</v>
      </c>
      <c r="E28" s="81" t="s">
        <v>1515</v>
      </c>
      <c r="F28" s="91" t="s">
        <v>1532</v>
      </c>
      <c r="G28" s="91" t="s">
        <v>1517</v>
      </c>
    </row>
    <row r="29" ht="15.0" customHeight="1">
      <c r="A29" s="88" t="s">
        <v>1545</v>
      </c>
      <c r="B29" s="88" t="s">
        <v>1530</v>
      </c>
      <c r="C29" s="88" t="s">
        <v>368</v>
      </c>
      <c r="D29" s="88"/>
      <c r="E29" s="93" t="s">
        <v>1525</v>
      </c>
      <c r="F29" s="89" t="s">
        <v>1532</v>
      </c>
      <c r="G29" s="89" t="s">
        <v>1517</v>
      </c>
    </row>
    <row r="30" ht="15.0" customHeight="1">
      <c r="A30" s="90" t="s">
        <v>1546</v>
      </c>
      <c r="B30" s="90" t="s">
        <v>1530</v>
      </c>
      <c r="C30" s="90" t="s">
        <v>368</v>
      </c>
      <c r="D30" s="90"/>
      <c r="E30" s="92" t="s">
        <v>1525</v>
      </c>
      <c r="F30" s="91" t="s">
        <v>1532</v>
      </c>
      <c r="G30" s="91" t="s">
        <v>1517</v>
      </c>
    </row>
    <row r="31" ht="15.0" customHeight="1">
      <c r="A31" s="88" t="s">
        <v>1547</v>
      </c>
      <c r="B31" s="88" t="s">
        <v>1530</v>
      </c>
      <c r="C31" s="88" t="s">
        <v>1531</v>
      </c>
      <c r="D31" s="88"/>
      <c r="E31" s="93" t="s">
        <v>1525</v>
      </c>
      <c r="F31" s="89" t="s">
        <v>1532</v>
      </c>
      <c r="G31" s="89" t="s">
        <v>1517</v>
      </c>
    </row>
    <row r="32" ht="15.0" customHeight="1">
      <c r="A32" s="90" t="s">
        <v>1548</v>
      </c>
      <c r="B32" s="90" t="s">
        <v>1530</v>
      </c>
      <c r="C32" s="90" t="s">
        <v>333</v>
      </c>
      <c r="D32" s="90" t="s">
        <v>406</v>
      </c>
      <c r="E32" s="81" t="s">
        <v>1515</v>
      </c>
      <c r="F32" s="91" t="s">
        <v>1532</v>
      </c>
      <c r="G32" s="91" t="s">
        <v>1517</v>
      </c>
    </row>
    <row r="33" ht="15.0" customHeight="1">
      <c r="A33" s="88" t="s">
        <v>1549</v>
      </c>
      <c r="B33" s="88" t="s">
        <v>1530</v>
      </c>
      <c r="C33" s="88" t="s">
        <v>365</v>
      </c>
      <c r="D33" s="88" t="s">
        <v>406</v>
      </c>
      <c r="E33" s="81" t="s">
        <v>1515</v>
      </c>
      <c r="F33" s="89" t="s">
        <v>1532</v>
      </c>
      <c r="G33" s="89" t="s">
        <v>1517</v>
      </c>
    </row>
    <row r="34" ht="15.0" customHeight="1">
      <c r="A34" s="90" t="s">
        <v>1550</v>
      </c>
      <c r="B34" s="90" t="s">
        <v>1530</v>
      </c>
      <c r="C34" s="90" t="s">
        <v>419</v>
      </c>
      <c r="D34" s="90" t="s">
        <v>406</v>
      </c>
      <c r="E34" s="81" t="s">
        <v>1515</v>
      </c>
      <c r="F34" s="91" t="s">
        <v>1532</v>
      </c>
      <c r="G34" s="91" t="s">
        <v>1517</v>
      </c>
    </row>
    <row r="35" ht="15.0" customHeight="1">
      <c r="A35" s="88" t="s">
        <v>1551</v>
      </c>
      <c r="B35" s="88" t="s">
        <v>1530</v>
      </c>
      <c r="C35" s="88" t="s">
        <v>419</v>
      </c>
      <c r="D35" s="88"/>
      <c r="E35" s="93" t="s">
        <v>1525</v>
      </c>
      <c r="F35" s="89" t="s">
        <v>1532</v>
      </c>
      <c r="G35" s="89" t="s">
        <v>1517</v>
      </c>
    </row>
    <row r="36" ht="15.0" customHeight="1">
      <c r="A36" s="90" t="s">
        <v>1552</v>
      </c>
      <c r="B36" s="90" t="s">
        <v>1530</v>
      </c>
      <c r="C36" s="90" t="s">
        <v>423</v>
      </c>
      <c r="D36" s="90" t="s">
        <v>406</v>
      </c>
      <c r="E36" s="81" t="s">
        <v>1515</v>
      </c>
      <c r="F36" s="91" t="s">
        <v>1532</v>
      </c>
      <c r="G36" s="91" t="s">
        <v>1517</v>
      </c>
    </row>
    <row r="37" ht="15.0" customHeight="1">
      <c r="A37" s="88" t="s">
        <v>1553</v>
      </c>
      <c r="B37" s="88" t="s">
        <v>1530</v>
      </c>
      <c r="C37" s="88" t="s">
        <v>1531</v>
      </c>
      <c r="D37" s="88" t="s">
        <v>406</v>
      </c>
      <c r="E37" s="81" t="s">
        <v>1515</v>
      </c>
      <c r="F37" s="89" t="s">
        <v>1532</v>
      </c>
      <c r="G37" s="89" t="s">
        <v>1517</v>
      </c>
    </row>
    <row r="38" ht="15.0" customHeight="1">
      <c r="A38" s="90" t="s">
        <v>1554</v>
      </c>
      <c r="B38" s="90" t="s">
        <v>1530</v>
      </c>
      <c r="C38" s="90" t="s">
        <v>415</v>
      </c>
      <c r="D38" s="90" t="s">
        <v>406</v>
      </c>
      <c r="E38" s="81" t="s">
        <v>1515</v>
      </c>
      <c r="F38" s="91" t="s">
        <v>1532</v>
      </c>
      <c r="G38" s="91" t="s">
        <v>1517</v>
      </c>
    </row>
    <row r="39" ht="15.0" customHeight="1">
      <c r="A39" s="88" t="s">
        <v>368</v>
      </c>
      <c r="B39" s="88" t="s">
        <v>1530</v>
      </c>
      <c r="C39" s="88" t="s">
        <v>368</v>
      </c>
      <c r="D39" s="88" t="s">
        <v>406</v>
      </c>
      <c r="E39" s="81" t="s">
        <v>1515</v>
      </c>
      <c r="F39" s="89" t="s">
        <v>1532</v>
      </c>
      <c r="G39" s="89" t="s">
        <v>1517</v>
      </c>
    </row>
    <row r="40" ht="15.0" customHeight="1">
      <c r="A40" s="90" t="s">
        <v>1555</v>
      </c>
      <c r="B40" s="90" t="s">
        <v>1530</v>
      </c>
      <c r="C40" s="90" t="s">
        <v>1531</v>
      </c>
      <c r="D40" s="90" t="s">
        <v>406</v>
      </c>
      <c r="E40" s="81" t="s">
        <v>1515</v>
      </c>
      <c r="F40" s="91" t="s">
        <v>1532</v>
      </c>
      <c r="G40" s="91" t="s">
        <v>1517</v>
      </c>
    </row>
    <row r="41" ht="15.0" customHeight="1">
      <c r="A41" s="88" t="s">
        <v>1556</v>
      </c>
      <c r="B41" s="88" t="s">
        <v>1530</v>
      </c>
      <c r="C41" s="88" t="s">
        <v>1531</v>
      </c>
      <c r="D41" s="88" t="s">
        <v>406</v>
      </c>
      <c r="E41" s="81" t="s">
        <v>1515</v>
      </c>
      <c r="F41" s="89" t="s">
        <v>1532</v>
      </c>
      <c r="G41" s="89" t="s">
        <v>1517</v>
      </c>
    </row>
    <row r="42" ht="15.0" customHeight="1">
      <c r="A42" s="90" t="s">
        <v>1557</v>
      </c>
      <c r="B42" s="90" t="s">
        <v>1530</v>
      </c>
      <c r="C42" s="90" t="s">
        <v>1531</v>
      </c>
      <c r="D42" s="90" t="s">
        <v>406</v>
      </c>
      <c r="E42" s="81" t="s">
        <v>1515</v>
      </c>
      <c r="F42" s="91" t="s">
        <v>1532</v>
      </c>
      <c r="G42" s="91" t="s">
        <v>1517</v>
      </c>
    </row>
    <row r="43" ht="15.0" customHeight="1">
      <c r="A43" s="88" t="s">
        <v>1558</v>
      </c>
      <c r="B43" s="88" t="s">
        <v>1530</v>
      </c>
      <c r="C43" s="88" t="s">
        <v>372</v>
      </c>
      <c r="D43" s="88" t="s">
        <v>406</v>
      </c>
      <c r="E43" s="81" t="s">
        <v>1515</v>
      </c>
      <c r="F43" s="89" t="s">
        <v>1532</v>
      </c>
      <c r="G43" s="89" t="s">
        <v>1517</v>
      </c>
    </row>
    <row r="44" ht="15.0" customHeight="1">
      <c r="A44" s="90" t="s">
        <v>1559</v>
      </c>
      <c r="B44" s="90" t="s">
        <v>1530</v>
      </c>
      <c r="C44" s="90" t="s">
        <v>419</v>
      </c>
      <c r="D44" s="90" t="s">
        <v>406</v>
      </c>
      <c r="E44" s="81" t="s">
        <v>1515</v>
      </c>
      <c r="F44" s="91" t="s">
        <v>1532</v>
      </c>
      <c r="G44" s="91" t="s">
        <v>1517</v>
      </c>
    </row>
    <row r="45" ht="15.0" customHeight="1">
      <c r="A45" s="88" t="s">
        <v>1560</v>
      </c>
      <c r="B45" s="88" t="s">
        <v>1530</v>
      </c>
      <c r="C45" s="88" t="s">
        <v>357</v>
      </c>
      <c r="D45" s="88" t="s">
        <v>406</v>
      </c>
      <c r="E45" s="81" t="s">
        <v>1515</v>
      </c>
      <c r="F45" s="89" t="s">
        <v>1532</v>
      </c>
      <c r="G45" s="89" t="s">
        <v>1517</v>
      </c>
    </row>
    <row r="46" ht="15.0" customHeight="1">
      <c r="A46" s="90" t="s">
        <v>1561</v>
      </c>
      <c r="B46" s="90" t="s">
        <v>1530</v>
      </c>
      <c r="C46" s="90" t="s">
        <v>340</v>
      </c>
      <c r="D46" s="90" t="s">
        <v>406</v>
      </c>
      <c r="E46" s="81" t="s">
        <v>1515</v>
      </c>
      <c r="F46" s="91" t="s">
        <v>1532</v>
      </c>
      <c r="G46" s="91" t="s">
        <v>1517</v>
      </c>
    </row>
    <row r="47" ht="15.0" customHeight="1">
      <c r="A47" s="88" t="s">
        <v>1562</v>
      </c>
      <c r="B47" s="88" t="s">
        <v>1530</v>
      </c>
      <c r="C47" s="88" t="s">
        <v>1531</v>
      </c>
      <c r="D47" s="88" t="s">
        <v>406</v>
      </c>
      <c r="E47" s="81" t="s">
        <v>1515</v>
      </c>
      <c r="F47" s="89" t="s">
        <v>1532</v>
      </c>
      <c r="G47" s="89" t="s">
        <v>1517</v>
      </c>
    </row>
    <row r="48" ht="15.0" customHeight="1">
      <c r="A48" s="90" t="s">
        <v>1563</v>
      </c>
      <c r="B48" s="90" t="s">
        <v>1530</v>
      </c>
      <c r="C48" s="90" t="s">
        <v>382</v>
      </c>
      <c r="D48" s="90" t="s">
        <v>406</v>
      </c>
      <c r="E48" s="81" t="s">
        <v>1515</v>
      </c>
      <c r="F48" s="91" t="s">
        <v>1532</v>
      </c>
      <c r="G48" s="91" t="s">
        <v>1517</v>
      </c>
    </row>
    <row r="49" ht="15.0" customHeight="1">
      <c r="A49" s="88" t="s">
        <v>1564</v>
      </c>
      <c r="B49" s="88" t="s">
        <v>1530</v>
      </c>
      <c r="C49" s="88" t="s">
        <v>415</v>
      </c>
      <c r="D49" s="88" t="s">
        <v>406</v>
      </c>
      <c r="E49" s="81" t="s">
        <v>1515</v>
      </c>
      <c r="F49" s="89" t="s">
        <v>1532</v>
      </c>
      <c r="G49" s="89" t="s">
        <v>1517</v>
      </c>
    </row>
    <row r="50" ht="15.0" customHeight="1">
      <c r="A50" s="90" t="s">
        <v>1565</v>
      </c>
      <c r="B50" s="90" t="s">
        <v>1530</v>
      </c>
      <c r="C50" s="90" t="s">
        <v>372</v>
      </c>
      <c r="D50" s="90" t="s">
        <v>406</v>
      </c>
      <c r="E50" s="81" t="s">
        <v>1515</v>
      </c>
      <c r="F50" s="91" t="s">
        <v>1532</v>
      </c>
      <c r="G50" s="91" t="s">
        <v>1517</v>
      </c>
    </row>
    <row r="51" ht="15.0" customHeight="1">
      <c r="A51" s="88" t="s">
        <v>1566</v>
      </c>
      <c r="B51" s="88" t="s">
        <v>1567</v>
      </c>
      <c r="C51" s="88" t="s">
        <v>1531</v>
      </c>
      <c r="D51" s="88" t="s">
        <v>406</v>
      </c>
      <c r="E51" s="81" t="s">
        <v>1515</v>
      </c>
      <c r="F51" s="89" t="s">
        <v>1568</v>
      </c>
      <c r="G51" s="89" t="s">
        <v>1517</v>
      </c>
    </row>
    <row r="52" ht="15.0" customHeight="1">
      <c r="A52" s="90" t="s">
        <v>1566</v>
      </c>
      <c r="B52" s="90" t="s">
        <v>1567</v>
      </c>
      <c r="C52" s="90" t="s">
        <v>1531</v>
      </c>
      <c r="D52" s="90" t="s">
        <v>406</v>
      </c>
      <c r="E52" s="81" t="s">
        <v>1515</v>
      </c>
      <c r="F52" s="91" t="s">
        <v>1568</v>
      </c>
      <c r="G52" s="91" t="s">
        <v>1517</v>
      </c>
    </row>
    <row r="53" ht="15.0" customHeight="1">
      <c r="A53" s="88" t="s">
        <v>1566</v>
      </c>
      <c r="B53" s="88" t="s">
        <v>1567</v>
      </c>
      <c r="C53" s="88" t="s">
        <v>1531</v>
      </c>
      <c r="D53" s="88" t="s">
        <v>406</v>
      </c>
      <c r="E53" s="81" t="s">
        <v>1515</v>
      </c>
      <c r="F53" s="89" t="s">
        <v>1568</v>
      </c>
      <c r="G53" s="89" t="s">
        <v>1517</v>
      </c>
    </row>
    <row r="54" ht="15.0" customHeight="1">
      <c r="A54" s="90" t="s">
        <v>1569</v>
      </c>
      <c r="B54" s="90" t="s">
        <v>1567</v>
      </c>
      <c r="C54" s="90" t="s">
        <v>1531</v>
      </c>
      <c r="D54" s="90" t="s">
        <v>406</v>
      </c>
      <c r="E54" s="81" t="s">
        <v>1515</v>
      </c>
      <c r="F54" s="91" t="s">
        <v>1568</v>
      </c>
      <c r="G54" s="91" t="s">
        <v>1517</v>
      </c>
    </row>
    <row r="55" ht="15.0" customHeight="1">
      <c r="A55" s="88" t="s">
        <v>1570</v>
      </c>
      <c r="B55" s="88" t="s">
        <v>1567</v>
      </c>
      <c r="C55" s="88" t="s">
        <v>1531</v>
      </c>
      <c r="D55" s="88" t="s">
        <v>406</v>
      </c>
      <c r="E55" s="81" t="s">
        <v>1515</v>
      </c>
      <c r="F55" s="89" t="s">
        <v>1568</v>
      </c>
      <c r="G55" s="89" t="s">
        <v>1517</v>
      </c>
    </row>
    <row r="56" ht="15.0" customHeight="1">
      <c r="A56" s="90" t="s">
        <v>1571</v>
      </c>
      <c r="B56" s="90" t="s">
        <v>1567</v>
      </c>
      <c r="C56" s="90" t="s">
        <v>1531</v>
      </c>
      <c r="D56" s="90" t="s">
        <v>406</v>
      </c>
      <c r="E56" s="81" t="s">
        <v>1515</v>
      </c>
      <c r="F56" s="91" t="s">
        <v>1568</v>
      </c>
      <c r="G56" s="91" t="s">
        <v>1517</v>
      </c>
    </row>
    <row r="57" ht="15.0" customHeight="1">
      <c r="A57" s="88" t="s">
        <v>1572</v>
      </c>
      <c r="B57" s="88" t="s">
        <v>1567</v>
      </c>
      <c r="C57" s="88" t="s">
        <v>1531</v>
      </c>
      <c r="D57" s="88" t="s">
        <v>406</v>
      </c>
      <c r="E57" s="81" t="s">
        <v>1515</v>
      </c>
      <c r="F57" s="89" t="s">
        <v>1568</v>
      </c>
      <c r="G57" s="89" t="s">
        <v>1517</v>
      </c>
    </row>
    <row r="58" ht="15.75" customHeight="1">
      <c r="A58" s="13"/>
      <c r="B58" s="13"/>
      <c r="C58" s="13"/>
      <c r="D58" s="13"/>
      <c r="E58" s="13"/>
      <c r="F58" s="13"/>
      <c r="G58" s="13"/>
    </row>
    <row r="59" ht="15.75" customHeight="1">
      <c r="A59" s="13"/>
      <c r="B59" s="13"/>
      <c r="C59" s="13"/>
      <c r="D59" s="13"/>
      <c r="E59" s="13"/>
      <c r="F59" s="13"/>
      <c r="G59" s="13"/>
    </row>
    <row r="60" ht="15.75" customHeight="1">
      <c r="A60" s="13"/>
      <c r="B60" s="13"/>
      <c r="C60" s="13"/>
      <c r="D60" s="13"/>
      <c r="E60" s="13"/>
      <c r="F60" s="13"/>
      <c r="G60" s="13"/>
    </row>
    <row r="61" ht="15.75" customHeight="1">
      <c r="A61" s="13"/>
      <c r="B61" s="13"/>
      <c r="C61" s="13"/>
      <c r="D61" s="13"/>
      <c r="E61" s="13"/>
      <c r="F61" s="13"/>
      <c r="G61" s="13"/>
    </row>
    <row r="62" ht="15.75" customHeight="1">
      <c r="A62" s="13"/>
      <c r="B62" s="13"/>
      <c r="C62" s="13"/>
      <c r="D62" s="13"/>
      <c r="E62" s="13"/>
      <c r="F62" s="13"/>
      <c r="G62" s="13"/>
    </row>
    <row r="63" ht="15.75" customHeight="1">
      <c r="A63" s="13"/>
      <c r="B63" s="13"/>
      <c r="C63" s="13"/>
      <c r="D63" s="13"/>
      <c r="E63" s="13"/>
      <c r="F63" s="13"/>
      <c r="G63" s="13"/>
    </row>
    <row r="64" ht="15.75" customHeight="1">
      <c r="A64" s="13"/>
      <c r="B64" s="13"/>
      <c r="C64" s="13"/>
      <c r="D64" s="13"/>
      <c r="E64" s="13"/>
      <c r="F64" s="13"/>
      <c r="G64" s="13"/>
    </row>
    <row r="65" ht="15.75" customHeight="1">
      <c r="A65" s="13"/>
      <c r="B65" s="13"/>
      <c r="C65" s="13"/>
      <c r="D65" s="13"/>
      <c r="E65" s="13"/>
      <c r="F65" s="13"/>
      <c r="G65" s="13"/>
    </row>
    <row r="66" ht="15.75" customHeight="1">
      <c r="A66" s="13"/>
      <c r="B66" s="13"/>
      <c r="C66" s="13"/>
      <c r="D66" s="13"/>
      <c r="E66" s="13"/>
      <c r="F66" s="13"/>
      <c r="G66" s="13"/>
    </row>
    <row r="67" ht="15.75" customHeight="1">
      <c r="A67" s="13"/>
      <c r="B67" s="13"/>
      <c r="C67" s="13"/>
      <c r="D67" s="13"/>
      <c r="E67" s="13"/>
      <c r="F67" s="13"/>
      <c r="G67" s="13"/>
    </row>
    <row r="68" ht="15.75" customHeight="1">
      <c r="A68" s="13"/>
      <c r="B68" s="13"/>
      <c r="C68" s="13"/>
      <c r="D68" s="13"/>
      <c r="E68" s="13"/>
      <c r="F68" s="13"/>
      <c r="G68" s="13"/>
    </row>
    <row r="69" ht="15.75" customHeight="1">
      <c r="A69" s="13"/>
      <c r="B69" s="13"/>
      <c r="C69" s="13"/>
      <c r="D69" s="13"/>
      <c r="E69" s="13"/>
      <c r="F69" s="13"/>
      <c r="G69" s="13"/>
    </row>
    <row r="70" ht="15.75" customHeight="1">
      <c r="A70" s="13"/>
      <c r="B70" s="13"/>
      <c r="C70" s="13"/>
      <c r="D70" s="13"/>
      <c r="E70" s="13"/>
      <c r="F70" s="13"/>
      <c r="G70" s="13"/>
    </row>
    <row r="71" ht="15.75" customHeight="1">
      <c r="A71" s="13"/>
      <c r="B71" s="13"/>
      <c r="C71" s="13"/>
      <c r="D71" s="13"/>
      <c r="E71" s="13"/>
      <c r="F71" s="13"/>
      <c r="G71" s="13"/>
    </row>
    <row r="72" ht="15.75" customHeight="1">
      <c r="A72" s="13"/>
      <c r="B72" s="13"/>
      <c r="C72" s="13"/>
      <c r="D72" s="13"/>
      <c r="E72" s="13"/>
      <c r="F72" s="13"/>
      <c r="G72" s="13"/>
    </row>
    <row r="73" ht="15.75" customHeight="1">
      <c r="A73" s="13"/>
      <c r="B73" s="13"/>
      <c r="C73" s="13"/>
      <c r="D73" s="13"/>
      <c r="E73" s="13"/>
      <c r="F73" s="13"/>
      <c r="G73" s="13"/>
    </row>
    <row r="74" ht="15.75" customHeight="1">
      <c r="A74" s="13"/>
      <c r="B74" s="13"/>
      <c r="C74" s="13"/>
      <c r="D74" s="13"/>
      <c r="E74" s="13"/>
      <c r="F74" s="13"/>
      <c r="G74" s="13"/>
    </row>
    <row r="75" ht="15.75" customHeight="1">
      <c r="A75" s="13"/>
      <c r="B75" s="13"/>
      <c r="C75" s="13"/>
      <c r="D75" s="13"/>
      <c r="E75" s="13"/>
      <c r="F75" s="13"/>
      <c r="G75" s="13"/>
    </row>
    <row r="76" ht="15.75" customHeight="1">
      <c r="A76" s="13"/>
      <c r="B76" s="13"/>
      <c r="C76" s="13"/>
      <c r="D76" s="13"/>
      <c r="E76" s="13"/>
      <c r="F76" s="13"/>
      <c r="G76" s="13"/>
    </row>
    <row r="77" ht="15.75" customHeight="1">
      <c r="A77" s="13"/>
      <c r="B77" s="13"/>
      <c r="C77" s="13"/>
      <c r="D77" s="13"/>
      <c r="E77" s="13"/>
      <c r="F77" s="13"/>
      <c r="G77" s="13"/>
    </row>
    <row r="78" ht="15.75" customHeight="1">
      <c r="A78" s="13"/>
      <c r="B78" s="13"/>
      <c r="C78" s="13"/>
      <c r="D78" s="13"/>
      <c r="E78" s="13"/>
      <c r="F78" s="13"/>
      <c r="G78" s="13"/>
    </row>
    <row r="79" ht="15.75" customHeight="1">
      <c r="A79" s="13"/>
      <c r="B79" s="13"/>
      <c r="C79" s="13"/>
      <c r="D79" s="13"/>
      <c r="E79" s="13"/>
      <c r="F79" s="13"/>
      <c r="G79" s="13"/>
    </row>
    <row r="80" ht="15.75" customHeight="1">
      <c r="A80" s="13"/>
      <c r="B80" s="13"/>
      <c r="C80" s="13"/>
      <c r="D80" s="13"/>
      <c r="E80" s="13"/>
      <c r="F80" s="13"/>
      <c r="G80" s="13"/>
    </row>
    <row r="81" ht="15.75" customHeight="1">
      <c r="A81" s="13"/>
      <c r="B81" s="13"/>
      <c r="C81" s="13"/>
      <c r="D81" s="13"/>
      <c r="E81" s="13"/>
      <c r="F81" s="13"/>
      <c r="G81" s="13"/>
    </row>
    <row r="82" ht="15.75" customHeight="1">
      <c r="A82" s="13"/>
      <c r="B82" s="13"/>
      <c r="C82" s="13"/>
      <c r="D82" s="13"/>
      <c r="E82" s="13"/>
      <c r="F82" s="13"/>
      <c r="G82" s="13"/>
    </row>
    <row r="83" ht="15.75" customHeight="1">
      <c r="A83" s="13"/>
      <c r="B83" s="13"/>
      <c r="C83" s="13"/>
      <c r="D83" s="13"/>
      <c r="E83" s="13"/>
      <c r="F83" s="13"/>
      <c r="G83" s="13"/>
    </row>
    <row r="84" ht="15.75" customHeight="1">
      <c r="A84" s="13"/>
      <c r="B84" s="13"/>
      <c r="C84" s="13"/>
      <c r="D84" s="13"/>
      <c r="E84" s="13"/>
      <c r="F84" s="13"/>
      <c r="G84" s="13"/>
    </row>
    <row r="85" ht="15.75" customHeight="1">
      <c r="A85" s="13"/>
      <c r="B85" s="13"/>
      <c r="C85" s="13"/>
      <c r="D85" s="13"/>
      <c r="E85" s="13"/>
      <c r="F85" s="13"/>
      <c r="G85" s="13"/>
    </row>
    <row r="86" ht="15.75" customHeight="1">
      <c r="A86" s="13"/>
      <c r="B86" s="13"/>
      <c r="C86" s="13"/>
      <c r="D86" s="13"/>
      <c r="E86" s="13"/>
      <c r="F86" s="13"/>
      <c r="G86" s="13"/>
    </row>
    <row r="87" ht="15.75" customHeight="1">
      <c r="A87" s="13"/>
      <c r="B87" s="13"/>
      <c r="C87" s="13"/>
      <c r="D87" s="13"/>
      <c r="E87" s="13"/>
      <c r="F87" s="13"/>
      <c r="G87" s="13"/>
    </row>
    <row r="88" ht="15.75" customHeight="1">
      <c r="A88" s="13"/>
      <c r="B88" s="13"/>
      <c r="C88" s="13"/>
      <c r="D88" s="13"/>
      <c r="E88" s="13"/>
      <c r="F88" s="13"/>
      <c r="G88" s="13"/>
    </row>
    <row r="89" ht="15.75" customHeight="1">
      <c r="A89" s="13"/>
      <c r="B89" s="13"/>
      <c r="C89" s="13"/>
      <c r="D89" s="13"/>
      <c r="E89" s="13"/>
      <c r="F89" s="13"/>
      <c r="G89" s="13"/>
    </row>
    <row r="90" ht="15.75" customHeight="1">
      <c r="A90" s="13"/>
      <c r="B90" s="13"/>
      <c r="C90" s="13"/>
      <c r="D90" s="13"/>
      <c r="E90" s="13"/>
      <c r="F90" s="13"/>
      <c r="G90" s="13"/>
    </row>
    <row r="91" ht="15.75" customHeight="1">
      <c r="A91" s="13"/>
      <c r="B91" s="13"/>
      <c r="C91" s="13"/>
      <c r="D91" s="13"/>
      <c r="E91" s="13"/>
      <c r="F91" s="13"/>
      <c r="G91" s="13"/>
    </row>
    <row r="92" ht="15.75" customHeight="1">
      <c r="A92" s="13"/>
      <c r="B92" s="13"/>
      <c r="C92" s="13"/>
      <c r="D92" s="13"/>
      <c r="E92" s="13"/>
      <c r="F92" s="13"/>
      <c r="G92" s="13"/>
    </row>
    <row r="93" ht="15.75" customHeight="1">
      <c r="A93" s="13"/>
      <c r="B93" s="13"/>
      <c r="C93" s="13"/>
      <c r="D93" s="13"/>
      <c r="E93" s="13"/>
      <c r="F93" s="13"/>
      <c r="G93" s="13"/>
    </row>
    <row r="94" ht="15.75" customHeight="1">
      <c r="A94" s="13"/>
      <c r="B94" s="13"/>
      <c r="C94" s="13"/>
      <c r="D94" s="13"/>
      <c r="E94" s="13"/>
      <c r="F94" s="13"/>
      <c r="G94" s="13"/>
    </row>
    <row r="95" ht="15.75" customHeight="1">
      <c r="A95" s="13"/>
      <c r="B95" s="13"/>
      <c r="C95" s="13"/>
      <c r="D95" s="13"/>
      <c r="E95" s="13"/>
      <c r="F95" s="13"/>
      <c r="G95" s="13"/>
    </row>
    <row r="96" ht="15.75" customHeight="1">
      <c r="A96" s="13"/>
      <c r="B96" s="13"/>
      <c r="C96" s="13"/>
      <c r="D96" s="13"/>
      <c r="E96" s="13"/>
      <c r="F96" s="13"/>
      <c r="G96" s="13"/>
    </row>
    <row r="97" ht="15.75" customHeight="1">
      <c r="A97" s="13"/>
      <c r="B97" s="13"/>
      <c r="C97" s="13"/>
      <c r="D97" s="13"/>
      <c r="E97" s="13"/>
      <c r="F97" s="13"/>
      <c r="G97" s="13"/>
    </row>
    <row r="98" ht="15.75" customHeight="1">
      <c r="A98" s="13"/>
      <c r="B98" s="13"/>
      <c r="C98" s="13"/>
      <c r="D98" s="13"/>
      <c r="E98" s="13"/>
      <c r="F98" s="13"/>
      <c r="G98" s="13"/>
    </row>
    <row r="99" ht="15.75" customHeight="1">
      <c r="A99" s="13"/>
      <c r="B99" s="13"/>
      <c r="C99" s="13"/>
      <c r="D99" s="13"/>
      <c r="E99" s="13"/>
      <c r="F99" s="13"/>
      <c r="G99" s="13"/>
    </row>
    <row r="100" ht="15.75" customHeight="1">
      <c r="A100" s="13"/>
      <c r="B100" s="13"/>
      <c r="C100" s="13"/>
      <c r="D100" s="13"/>
      <c r="E100" s="13"/>
      <c r="F100" s="13"/>
      <c r="G100" s="13"/>
    </row>
    <row r="101" ht="15.75" customHeight="1">
      <c r="A101" s="13"/>
      <c r="B101" s="13"/>
      <c r="C101" s="13"/>
      <c r="D101" s="13"/>
      <c r="E101" s="13"/>
      <c r="F101" s="13"/>
      <c r="G101" s="13"/>
    </row>
    <row r="102" ht="15.75" customHeight="1">
      <c r="A102" s="13"/>
      <c r="B102" s="13"/>
      <c r="C102" s="13"/>
      <c r="D102" s="13"/>
      <c r="E102" s="13"/>
      <c r="F102" s="13"/>
      <c r="G102" s="13"/>
    </row>
    <row r="103" ht="15.75" customHeight="1">
      <c r="A103" s="13"/>
      <c r="B103" s="13"/>
      <c r="C103" s="13"/>
      <c r="D103" s="13"/>
      <c r="E103" s="13"/>
      <c r="F103" s="13"/>
      <c r="G103" s="13"/>
    </row>
    <row r="104" ht="15.75" customHeight="1">
      <c r="A104" s="13"/>
      <c r="B104" s="13"/>
      <c r="C104" s="13"/>
      <c r="D104" s="13"/>
      <c r="E104" s="13"/>
      <c r="F104" s="13"/>
      <c r="G104" s="13"/>
    </row>
    <row r="105" ht="15.75" customHeight="1">
      <c r="A105" s="13"/>
      <c r="B105" s="13"/>
      <c r="C105" s="13"/>
      <c r="D105" s="13"/>
      <c r="E105" s="13"/>
      <c r="F105" s="13"/>
      <c r="G105" s="13"/>
    </row>
    <row r="106" ht="15.75" customHeight="1">
      <c r="A106" s="13"/>
      <c r="B106" s="13"/>
      <c r="C106" s="13"/>
      <c r="D106" s="13"/>
      <c r="E106" s="13"/>
      <c r="F106" s="13"/>
      <c r="G106" s="13"/>
    </row>
    <row r="107" ht="15.75" customHeight="1">
      <c r="A107" s="13"/>
      <c r="B107" s="13"/>
      <c r="C107" s="13"/>
      <c r="D107" s="13"/>
      <c r="E107" s="13"/>
      <c r="F107" s="13"/>
      <c r="G107" s="13"/>
    </row>
    <row r="108" ht="15.75" customHeight="1">
      <c r="A108" s="13"/>
      <c r="B108" s="13"/>
      <c r="C108" s="13"/>
      <c r="D108" s="13"/>
      <c r="E108" s="13"/>
      <c r="F108" s="13"/>
      <c r="G108" s="13"/>
    </row>
    <row r="109" ht="15.75" customHeight="1">
      <c r="A109" s="13"/>
      <c r="B109" s="13"/>
      <c r="C109" s="13"/>
      <c r="D109" s="13"/>
      <c r="E109" s="13"/>
      <c r="F109" s="13"/>
      <c r="G109" s="13"/>
    </row>
    <row r="110" ht="15.75" customHeight="1">
      <c r="A110" s="13"/>
      <c r="B110" s="13"/>
      <c r="C110" s="13"/>
      <c r="D110" s="13"/>
      <c r="E110" s="13"/>
      <c r="F110" s="13"/>
      <c r="G110" s="13"/>
    </row>
    <row r="111" ht="15.75" customHeight="1">
      <c r="A111" s="13"/>
      <c r="B111" s="13"/>
      <c r="C111" s="13"/>
      <c r="D111" s="13"/>
      <c r="E111" s="13"/>
      <c r="F111" s="13"/>
      <c r="G111" s="13"/>
    </row>
    <row r="112" ht="15.75" customHeight="1">
      <c r="A112" s="13"/>
      <c r="B112" s="13"/>
      <c r="C112" s="13"/>
      <c r="D112" s="13"/>
      <c r="E112" s="13"/>
      <c r="F112" s="13"/>
      <c r="G112" s="13"/>
    </row>
    <row r="113" ht="15.75" customHeight="1">
      <c r="A113" s="13"/>
      <c r="B113" s="13"/>
      <c r="C113" s="13"/>
      <c r="D113" s="13"/>
      <c r="E113" s="13"/>
      <c r="F113" s="13"/>
      <c r="G113" s="13"/>
    </row>
    <row r="114" ht="15.75" customHeight="1">
      <c r="A114" s="13"/>
      <c r="B114" s="13"/>
      <c r="C114" s="13"/>
      <c r="D114" s="13"/>
      <c r="E114" s="13"/>
      <c r="F114" s="13"/>
      <c r="G114" s="13"/>
    </row>
    <row r="115" ht="15.75" customHeight="1">
      <c r="A115" s="13"/>
      <c r="B115" s="13"/>
      <c r="C115" s="13"/>
      <c r="D115" s="13"/>
      <c r="E115" s="13"/>
      <c r="F115" s="13"/>
      <c r="G115" s="13"/>
    </row>
    <row r="116" ht="15.75" customHeight="1">
      <c r="A116" s="13"/>
      <c r="B116" s="13"/>
      <c r="C116" s="13"/>
      <c r="D116" s="13"/>
      <c r="E116" s="13"/>
      <c r="F116" s="13"/>
      <c r="G116" s="13"/>
    </row>
    <row r="117" ht="15.75" customHeight="1">
      <c r="A117" s="13"/>
      <c r="B117" s="13"/>
      <c r="C117" s="13"/>
      <c r="D117" s="13"/>
      <c r="E117" s="13"/>
      <c r="F117" s="13"/>
      <c r="G117" s="13"/>
    </row>
    <row r="118" ht="15.75" customHeight="1">
      <c r="A118" s="13"/>
      <c r="B118" s="13"/>
      <c r="C118" s="13"/>
      <c r="D118" s="13"/>
      <c r="E118" s="13"/>
      <c r="F118" s="13"/>
      <c r="G118" s="13"/>
    </row>
    <row r="119" ht="15.75" customHeight="1">
      <c r="A119" s="13"/>
      <c r="B119" s="13"/>
      <c r="C119" s="13"/>
      <c r="D119" s="13"/>
      <c r="E119" s="13"/>
      <c r="F119" s="13"/>
      <c r="G119" s="13"/>
    </row>
    <row r="120" ht="15.75" customHeight="1">
      <c r="A120" s="13"/>
      <c r="B120" s="13"/>
      <c r="C120" s="13"/>
      <c r="D120" s="13"/>
      <c r="E120" s="13"/>
      <c r="F120" s="13"/>
      <c r="G120" s="13"/>
    </row>
    <row r="121" ht="15.75" customHeight="1">
      <c r="A121" s="13"/>
      <c r="B121" s="13"/>
      <c r="C121" s="13"/>
      <c r="D121" s="13"/>
      <c r="E121" s="13"/>
      <c r="F121" s="13"/>
      <c r="G121" s="13"/>
    </row>
    <row r="122" ht="15.75" customHeight="1">
      <c r="A122" s="13"/>
      <c r="B122" s="13"/>
      <c r="C122" s="13"/>
      <c r="D122" s="13"/>
      <c r="E122" s="13"/>
      <c r="F122" s="13"/>
      <c r="G122" s="13"/>
    </row>
    <row r="123" ht="15.75" customHeight="1">
      <c r="A123" s="13"/>
      <c r="B123" s="13"/>
      <c r="C123" s="13"/>
      <c r="D123" s="13"/>
      <c r="E123" s="13"/>
      <c r="F123" s="13"/>
      <c r="G123" s="13"/>
    </row>
    <row r="124" ht="15.75" customHeight="1">
      <c r="A124" s="13"/>
      <c r="B124" s="13"/>
      <c r="C124" s="13"/>
      <c r="D124" s="13"/>
      <c r="E124" s="13"/>
      <c r="F124" s="13"/>
      <c r="G124" s="13"/>
    </row>
    <row r="125" ht="15.75" customHeight="1">
      <c r="A125" s="13"/>
      <c r="B125" s="13"/>
      <c r="C125" s="13"/>
      <c r="D125" s="13"/>
      <c r="E125" s="13"/>
      <c r="F125" s="13"/>
      <c r="G125" s="13"/>
    </row>
    <row r="126" ht="15.75" customHeight="1">
      <c r="A126" s="13"/>
      <c r="B126" s="13"/>
      <c r="C126" s="13"/>
      <c r="D126" s="13"/>
      <c r="E126" s="13"/>
      <c r="F126" s="13"/>
      <c r="G126" s="13"/>
    </row>
    <row r="127" ht="15.75" customHeight="1">
      <c r="A127" s="13"/>
      <c r="B127" s="13"/>
      <c r="C127" s="13"/>
      <c r="D127" s="13"/>
      <c r="E127" s="13"/>
      <c r="F127" s="13"/>
      <c r="G127" s="13"/>
    </row>
    <row r="128" ht="15.75" customHeight="1">
      <c r="A128" s="13"/>
      <c r="B128" s="13"/>
      <c r="C128" s="13"/>
      <c r="D128" s="13"/>
      <c r="E128" s="13"/>
      <c r="F128" s="13"/>
      <c r="G128" s="13"/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/>
      <c r="B130" s="13"/>
      <c r="C130" s="13"/>
      <c r="D130" s="13"/>
      <c r="E130" s="13"/>
      <c r="F130" s="13"/>
      <c r="G130" s="13"/>
    </row>
    <row r="131" ht="15.75" customHeight="1">
      <c r="A131" s="13"/>
      <c r="B131" s="13"/>
      <c r="C131" s="13"/>
      <c r="D131" s="13"/>
      <c r="E131" s="13"/>
      <c r="F131" s="13"/>
      <c r="G131" s="13"/>
    </row>
    <row r="132" ht="15.75" customHeight="1">
      <c r="A132" s="13"/>
      <c r="B132" s="13"/>
      <c r="C132" s="13"/>
      <c r="D132" s="13"/>
      <c r="E132" s="13"/>
      <c r="F132" s="13"/>
      <c r="G132" s="13"/>
    </row>
    <row r="133" ht="15.75" customHeight="1">
      <c r="A133" s="13"/>
      <c r="B133" s="13"/>
      <c r="C133" s="13"/>
      <c r="D133" s="13"/>
      <c r="E133" s="13"/>
      <c r="F133" s="13"/>
      <c r="G133" s="13"/>
    </row>
    <row r="134" ht="15.75" customHeight="1">
      <c r="A134" s="13"/>
      <c r="B134" s="13"/>
      <c r="C134" s="13"/>
      <c r="D134" s="13"/>
      <c r="E134" s="13"/>
      <c r="F134" s="13"/>
      <c r="G134" s="13"/>
    </row>
    <row r="135" ht="15.75" customHeight="1">
      <c r="A135" s="13"/>
      <c r="B135" s="13"/>
      <c r="C135" s="13"/>
      <c r="D135" s="13"/>
      <c r="E135" s="13"/>
      <c r="F135" s="13"/>
      <c r="G135" s="13"/>
    </row>
    <row r="136" ht="15.75" customHeight="1">
      <c r="A136" s="13"/>
      <c r="B136" s="13"/>
      <c r="C136" s="13"/>
      <c r="D136" s="13"/>
      <c r="E136" s="13"/>
      <c r="F136" s="13"/>
      <c r="G136" s="13"/>
    </row>
    <row r="137" ht="15.75" customHeight="1">
      <c r="A137" s="13"/>
      <c r="B137" s="13"/>
      <c r="C137" s="13"/>
      <c r="D137" s="13"/>
      <c r="E137" s="13"/>
      <c r="F137" s="13"/>
      <c r="G137" s="13"/>
    </row>
    <row r="138" ht="15.75" customHeight="1">
      <c r="A138" s="13"/>
      <c r="B138" s="13"/>
      <c r="C138" s="13"/>
      <c r="D138" s="13"/>
      <c r="E138" s="13"/>
      <c r="F138" s="13"/>
      <c r="G138" s="13"/>
    </row>
    <row r="139" ht="15.75" customHeight="1">
      <c r="A139" s="13"/>
      <c r="B139" s="13"/>
      <c r="C139" s="13"/>
      <c r="D139" s="13"/>
      <c r="E139" s="13"/>
      <c r="F139" s="13"/>
      <c r="G139" s="13"/>
    </row>
    <row r="140" ht="15.75" customHeight="1">
      <c r="A140" s="13"/>
      <c r="B140" s="13"/>
      <c r="C140" s="13"/>
      <c r="D140" s="13"/>
      <c r="E140" s="13"/>
      <c r="F140" s="13"/>
      <c r="G140" s="13"/>
    </row>
    <row r="141" ht="15.75" customHeight="1">
      <c r="A141" s="13"/>
      <c r="B141" s="13"/>
      <c r="C141" s="13"/>
      <c r="D141" s="13"/>
      <c r="E141" s="13"/>
      <c r="F141" s="13"/>
      <c r="G141" s="13"/>
    </row>
    <row r="142" ht="15.75" customHeight="1">
      <c r="A142" s="13"/>
      <c r="B142" s="13"/>
      <c r="C142" s="13"/>
      <c r="D142" s="13"/>
      <c r="E142" s="13"/>
      <c r="F142" s="13"/>
      <c r="G142" s="13"/>
    </row>
    <row r="143" ht="15.75" customHeight="1">
      <c r="A143" s="13"/>
      <c r="B143" s="13"/>
      <c r="C143" s="13"/>
      <c r="D143" s="13"/>
      <c r="E143" s="13"/>
      <c r="F143" s="13"/>
      <c r="G143" s="13"/>
    </row>
    <row r="144" ht="15.75" customHeight="1">
      <c r="A144" s="13"/>
      <c r="B144" s="13"/>
      <c r="C144" s="13"/>
      <c r="D144" s="13"/>
      <c r="E144" s="13"/>
      <c r="F144" s="13"/>
      <c r="G144" s="13"/>
    </row>
    <row r="145" ht="15.75" customHeight="1">
      <c r="A145" s="13"/>
      <c r="B145" s="13"/>
      <c r="C145" s="13"/>
      <c r="D145" s="13"/>
      <c r="E145" s="13"/>
      <c r="F145" s="13"/>
      <c r="G145" s="13"/>
    </row>
    <row r="146" ht="15.75" customHeight="1">
      <c r="A146" s="13"/>
      <c r="B146" s="13"/>
      <c r="C146" s="13"/>
      <c r="D146" s="13"/>
      <c r="E146" s="13"/>
      <c r="F146" s="13"/>
      <c r="G146" s="13"/>
    </row>
    <row r="147" ht="15.75" customHeight="1">
      <c r="A147" s="13"/>
      <c r="B147" s="13"/>
      <c r="C147" s="13"/>
      <c r="D147" s="13"/>
      <c r="E147" s="13"/>
      <c r="F147" s="13"/>
      <c r="G147" s="13"/>
    </row>
    <row r="148" ht="15.75" customHeight="1">
      <c r="A148" s="13"/>
      <c r="B148" s="13"/>
      <c r="C148" s="13"/>
      <c r="D148" s="13"/>
      <c r="E148" s="13"/>
      <c r="F148" s="13"/>
      <c r="G148" s="13"/>
    </row>
    <row r="149" ht="15.75" customHeight="1">
      <c r="A149" s="13"/>
      <c r="B149" s="13"/>
      <c r="C149" s="13"/>
      <c r="D149" s="13"/>
      <c r="E149" s="13"/>
      <c r="F149" s="13"/>
      <c r="G149" s="13"/>
    </row>
    <row r="150" ht="15.75" customHeight="1">
      <c r="A150" s="13"/>
      <c r="B150" s="13"/>
      <c r="C150" s="13"/>
      <c r="D150" s="13"/>
      <c r="E150" s="13"/>
      <c r="F150" s="13"/>
      <c r="G150" s="13"/>
    </row>
    <row r="151" ht="15.75" customHeight="1">
      <c r="A151" s="13"/>
      <c r="B151" s="13"/>
      <c r="C151" s="13"/>
      <c r="D151" s="13"/>
      <c r="E151" s="13"/>
      <c r="F151" s="13"/>
      <c r="G151" s="13"/>
    </row>
    <row r="152" ht="15.75" customHeight="1">
      <c r="A152" s="13"/>
      <c r="B152" s="13"/>
      <c r="C152" s="13"/>
      <c r="D152" s="13"/>
      <c r="E152" s="13"/>
      <c r="F152" s="13"/>
      <c r="G152" s="13"/>
    </row>
    <row r="153" ht="15.75" customHeight="1">
      <c r="A153" s="13"/>
      <c r="B153" s="13"/>
      <c r="C153" s="13"/>
      <c r="D153" s="13"/>
      <c r="E153" s="13"/>
      <c r="F153" s="13"/>
      <c r="G153" s="13"/>
    </row>
    <row r="154" ht="15.75" customHeight="1">
      <c r="A154" s="13"/>
      <c r="B154" s="13"/>
      <c r="C154" s="13"/>
      <c r="D154" s="13"/>
      <c r="E154" s="13"/>
      <c r="F154" s="13"/>
      <c r="G154" s="13"/>
    </row>
    <row r="155" ht="15.75" customHeight="1">
      <c r="A155" s="13"/>
      <c r="B155" s="13"/>
      <c r="C155" s="13"/>
      <c r="D155" s="13"/>
      <c r="E155" s="13"/>
      <c r="F155" s="13"/>
      <c r="G155" s="13"/>
    </row>
    <row r="156" ht="15.75" customHeight="1">
      <c r="A156" s="13"/>
      <c r="B156" s="13"/>
      <c r="C156" s="13"/>
      <c r="D156" s="13"/>
      <c r="E156" s="13"/>
      <c r="F156" s="13"/>
      <c r="G156" s="13"/>
    </row>
    <row r="157" ht="15.75" customHeight="1">
      <c r="A157" s="13"/>
      <c r="B157" s="13"/>
      <c r="C157" s="13"/>
      <c r="D157" s="13"/>
      <c r="E157" s="13"/>
      <c r="F157" s="13"/>
      <c r="G157" s="13"/>
    </row>
    <row r="158" ht="15.75" customHeight="1">
      <c r="A158" s="13"/>
      <c r="B158" s="13"/>
      <c r="C158" s="13"/>
      <c r="D158" s="13"/>
      <c r="E158" s="13"/>
      <c r="F158" s="13"/>
      <c r="G158" s="13"/>
    </row>
    <row r="159" ht="15.75" customHeight="1">
      <c r="A159" s="13"/>
      <c r="B159" s="13"/>
      <c r="C159" s="13"/>
      <c r="D159" s="13"/>
      <c r="E159" s="13"/>
      <c r="F159" s="13"/>
      <c r="G159" s="13"/>
    </row>
    <row r="160" ht="15.75" customHeight="1">
      <c r="A160" s="13"/>
      <c r="B160" s="13"/>
      <c r="C160" s="13"/>
      <c r="D160" s="13"/>
      <c r="E160" s="13"/>
      <c r="F160" s="13"/>
      <c r="G160" s="13"/>
    </row>
    <row r="161" ht="15.75" customHeight="1">
      <c r="A161" s="13"/>
      <c r="B161" s="13"/>
      <c r="C161" s="13"/>
      <c r="D161" s="13"/>
      <c r="E161" s="13"/>
      <c r="F161" s="13"/>
      <c r="G161" s="13"/>
    </row>
    <row r="162" ht="15.75" customHeight="1">
      <c r="A162" s="13"/>
      <c r="B162" s="13"/>
      <c r="C162" s="13"/>
      <c r="D162" s="13"/>
      <c r="E162" s="13"/>
      <c r="F162" s="13"/>
      <c r="G162" s="13"/>
    </row>
    <row r="163" ht="15.75" customHeight="1">
      <c r="A163" s="13"/>
      <c r="B163" s="13"/>
      <c r="C163" s="13"/>
      <c r="D163" s="13"/>
      <c r="E163" s="13"/>
      <c r="F163" s="13"/>
      <c r="G163" s="13"/>
    </row>
    <row r="164" ht="15.75" customHeight="1">
      <c r="A164" s="13"/>
      <c r="B164" s="13"/>
      <c r="C164" s="13"/>
      <c r="D164" s="13"/>
      <c r="E164" s="13"/>
      <c r="F164" s="13"/>
      <c r="G164" s="13"/>
    </row>
    <row r="165" ht="15.75" customHeight="1">
      <c r="A165" s="13"/>
      <c r="B165" s="13"/>
      <c r="C165" s="13"/>
      <c r="D165" s="13"/>
      <c r="E165" s="13"/>
      <c r="F165" s="13"/>
      <c r="G165" s="13"/>
    </row>
    <row r="166" ht="15.75" customHeight="1">
      <c r="A166" s="13"/>
      <c r="B166" s="13"/>
      <c r="C166" s="13"/>
      <c r="D166" s="13"/>
      <c r="E166" s="13"/>
      <c r="F166" s="13"/>
      <c r="G166" s="13"/>
    </row>
    <row r="167" ht="15.75" customHeight="1">
      <c r="A167" s="13"/>
      <c r="B167" s="13"/>
      <c r="C167" s="13"/>
      <c r="D167" s="13"/>
      <c r="E167" s="13"/>
      <c r="F167" s="13"/>
      <c r="G167" s="13"/>
    </row>
    <row r="168" ht="15.75" customHeight="1">
      <c r="A168" s="13"/>
      <c r="B168" s="13"/>
      <c r="C168" s="13"/>
      <c r="D168" s="13"/>
      <c r="E168" s="13"/>
      <c r="F168" s="13"/>
      <c r="G168" s="13"/>
    </row>
    <row r="169" ht="15.75" customHeight="1">
      <c r="A169" s="13"/>
      <c r="B169" s="13"/>
      <c r="C169" s="13"/>
      <c r="D169" s="13"/>
      <c r="E169" s="13"/>
      <c r="F169" s="13"/>
      <c r="G169" s="13"/>
    </row>
    <row r="170" ht="15.75" customHeight="1">
      <c r="A170" s="13"/>
      <c r="B170" s="13"/>
      <c r="C170" s="13"/>
      <c r="D170" s="13"/>
      <c r="E170" s="13"/>
      <c r="F170" s="13"/>
      <c r="G170" s="13"/>
    </row>
    <row r="171" ht="15.75" customHeight="1">
      <c r="A171" s="13"/>
      <c r="B171" s="13"/>
      <c r="C171" s="13"/>
      <c r="D171" s="13"/>
      <c r="E171" s="13"/>
      <c r="F171" s="13"/>
      <c r="G171" s="13"/>
    </row>
    <row r="172" ht="15.75" customHeight="1">
      <c r="A172" s="13"/>
      <c r="B172" s="13"/>
      <c r="C172" s="13"/>
      <c r="D172" s="13"/>
      <c r="E172" s="13"/>
      <c r="F172" s="13"/>
      <c r="G172" s="13"/>
    </row>
    <row r="173" ht="15.75" customHeight="1">
      <c r="A173" s="13"/>
      <c r="B173" s="13"/>
      <c r="C173" s="13"/>
      <c r="D173" s="13"/>
      <c r="E173" s="13"/>
      <c r="F173" s="13"/>
      <c r="G173" s="13"/>
    </row>
    <row r="174" ht="15.75" customHeight="1">
      <c r="A174" s="13"/>
      <c r="B174" s="13"/>
      <c r="C174" s="13"/>
      <c r="D174" s="13"/>
      <c r="E174" s="13"/>
      <c r="F174" s="13"/>
      <c r="G174" s="13"/>
    </row>
    <row r="175" ht="15.75" customHeight="1">
      <c r="A175" s="13"/>
      <c r="B175" s="13"/>
      <c r="C175" s="13"/>
      <c r="D175" s="13"/>
      <c r="E175" s="13"/>
      <c r="F175" s="13"/>
      <c r="G175" s="13"/>
    </row>
    <row r="176" ht="15.75" customHeight="1">
      <c r="A176" s="13"/>
      <c r="B176" s="13"/>
      <c r="C176" s="13"/>
      <c r="D176" s="13"/>
      <c r="E176" s="13"/>
      <c r="F176" s="13"/>
      <c r="G176" s="13"/>
    </row>
    <row r="177" ht="15.75" customHeight="1">
      <c r="A177" s="13"/>
      <c r="B177" s="13"/>
      <c r="C177" s="13"/>
      <c r="D177" s="13"/>
      <c r="E177" s="13"/>
      <c r="F177" s="13"/>
      <c r="G177" s="13"/>
    </row>
    <row r="178" ht="15.75" customHeight="1">
      <c r="A178" s="13"/>
      <c r="B178" s="13"/>
      <c r="C178" s="13"/>
      <c r="D178" s="13"/>
      <c r="E178" s="13"/>
      <c r="F178" s="13"/>
      <c r="G178" s="13"/>
    </row>
    <row r="179" ht="15.75" customHeight="1">
      <c r="A179" s="13"/>
      <c r="B179" s="13"/>
      <c r="C179" s="13"/>
      <c r="D179" s="13"/>
      <c r="E179" s="13"/>
      <c r="F179" s="13"/>
      <c r="G179" s="13"/>
    </row>
    <row r="180" ht="15.75" customHeight="1">
      <c r="A180" s="13"/>
      <c r="B180" s="13"/>
      <c r="C180" s="13"/>
      <c r="D180" s="13"/>
      <c r="E180" s="13"/>
      <c r="F180" s="13"/>
      <c r="G180" s="13"/>
    </row>
    <row r="181" ht="15.75" customHeight="1">
      <c r="A181" s="13"/>
      <c r="B181" s="13"/>
      <c r="C181" s="13"/>
      <c r="D181" s="13"/>
      <c r="E181" s="13"/>
      <c r="F181" s="13"/>
      <c r="G181" s="13"/>
    </row>
    <row r="182" ht="15.75" customHeight="1">
      <c r="A182" s="13"/>
      <c r="B182" s="13"/>
      <c r="C182" s="13"/>
      <c r="D182" s="13"/>
      <c r="E182" s="13"/>
      <c r="F182" s="13"/>
      <c r="G182" s="13"/>
    </row>
    <row r="183" ht="15.75" customHeight="1">
      <c r="A183" s="13"/>
      <c r="B183" s="13"/>
      <c r="C183" s="13"/>
      <c r="D183" s="13"/>
      <c r="E183" s="13"/>
      <c r="F183" s="13"/>
      <c r="G183" s="13"/>
    </row>
    <row r="184" ht="15.75" customHeight="1">
      <c r="A184" s="13"/>
      <c r="B184" s="13"/>
      <c r="C184" s="13"/>
      <c r="D184" s="13"/>
      <c r="E184" s="13"/>
      <c r="F184" s="13"/>
      <c r="G184" s="13"/>
    </row>
    <row r="185" ht="15.75" customHeight="1">
      <c r="A185" s="13"/>
      <c r="B185" s="13"/>
      <c r="C185" s="13"/>
      <c r="D185" s="13"/>
      <c r="E185" s="13"/>
      <c r="F185" s="13"/>
      <c r="G185" s="13"/>
    </row>
    <row r="186" ht="15.75" customHeight="1">
      <c r="A186" s="13"/>
      <c r="B186" s="13"/>
      <c r="C186" s="13"/>
      <c r="D186" s="13"/>
      <c r="E186" s="13"/>
      <c r="F186" s="13"/>
      <c r="G186" s="13"/>
    </row>
    <row r="187" ht="15.75" customHeight="1">
      <c r="A187" s="13"/>
      <c r="B187" s="13"/>
      <c r="C187" s="13"/>
      <c r="D187" s="13"/>
      <c r="E187" s="13"/>
      <c r="F187" s="13"/>
      <c r="G187" s="13"/>
    </row>
    <row r="188" ht="15.75" customHeight="1">
      <c r="A188" s="13"/>
      <c r="B188" s="13"/>
      <c r="C188" s="13"/>
      <c r="D188" s="13"/>
      <c r="E188" s="13"/>
      <c r="F188" s="13"/>
      <c r="G188" s="13"/>
    </row>
    <row r="189" ht="15.75" customHeight="1">
      <c r="A189" s="13"/>
      <c r="B189" s="13"/>
      <c r="C189" s="13"/>
      <c r="D189" s="13"/>
      <c r="E189" s="13"/>
      <c r="F189" s="13"/>
      <c r="G189" s="13"/>
    </row>
    <row r="190" ht="15.75" customHeight="1">
      <c r="A190" s="13"/>
      <c r="B190" s="13"/>
      <c r="C190" s="13"/>
      <c r="D190" s="13"/>
      <c r="E190" s="13"/>
      <c r="F190" s="13"/>
      <c r="G190" s="13"/>
    </row>
    <row r="191" ht="15.75" customHeight="1">
      <c r="A191" s="13"/>
      <c r="B191" s="13"/>
      <c r="C191" s="13"/>
      <c r="D191" s="13"/>
      <c r="E191" s="13"/>
      <c r="F191" s="13"/>
      <c r="G191" s="13"/>
    </row>
    <row r="192" ht="15.75" customHeight="1">
      <c r="A192" s="13"/>
      <c r="B192" s="13"/>
      <c r="C192" s="13"/>
      <c r="D192" s="13"/>
      <c r="E192" s="13"/>
      <c r="F192" s="13"/>
      <c r="G192" s="13"/>
    </row>
    <row r="193" ht="15.75" customHeight="1">
      <c r="A193" s="13"/>
      <c r="B193" s="13"/>
      <c r="C193" s="13"/>
      <c r="D193" s="13"/>
      <c r="E193" s="13"/>
      <c r="F193" s="13"/>
      <c r="G193" s="13"/>
    </row>
    <row r="194" ht="15.75" customHeight="1">
      <c r="A194" s="13"/>
      <c r="B194" s="13"/>
      <c r="C194" s="13"/>
      <c r="D194" s="13"/>
      <c r="E194" s="13"/>
      <c r="F194" s="13"/>
      <c r="G194" s="13"/>
    </row>
    <row r="195" ht="15.75" customHeight="1">
      <c r="A195" s="13"/>
      <c r="B195" s="13"/>
      <c r="C195" s="13"/>
      <c r="D195" s="13"/>
      <c r="E195" s="13"/>
      <c r="F195" s="13"/>
      <c r="G195" s="13"/>
    </row>
    <row r="196" ht="15.75" customHeight="1">
      <c r="A196" s="13"/>
      <c r="B196" s="13"/>
      <c r="C196" s="13"/>
      <c r="D196" s="13"/>
      <c r="E196" s="13"/>
      <c r="F196" s="13"/>
      <c r="G196" s="13"/>
    </row>
    <row r="197" ht="15.75" customHeight="1">
      <c r="A197" s="13"/>
      <c r="B197" s="13"/>
      <c r="C197" s="13"/>
      <c r="D197" s="13"/>
      <c r="E197" s="13"/>
      <c r="F197" s="13"/>
      <c r="G197" s="13"/>
    </row>
    <row r="198" ht="15.75" customHeight="1">
      <c r="A198" s="13"/>
      <c r="B198" s="13"/>
      <c r="C198" s="13"/>
      <c r="D198" s="13"/>
      <c r="E198" s="13"/>
      <c r="F198" s="13"/>
      <c r="G198" s="13"/>
    </row>
    <row r="199" ht="15.75" customHeight="1">
      <c r="A199" s="13"/>
      <c r="B199" s="13"/>
      <c r="C199" s="13"/>
      <c r="D199" s="13"/>
      <c r="E199" s="13"/>
      <c r="F199" s="13"/>
      <c r="G199" s="13"/>
    </row>
    <row r="200" ht="15.75" customHeight="1">
      <c r="A200" s="13"/>
      <c r="B200" s="13"/>
      <c r="C200" s="13"/>
      <c r="D200" s="13"/>
      <c r="E200" s="13"/>
      <c r="F200" s="13"/>
      <c r="G200" s="13"/>
    </row>
    <row r="201" ht="15.75" customHeight="1">
      <c r="A201" s="13"/>
      <c r="B201" s="13"/>
      <c r="C201" s="13"/>
      <c r="D201" s="13"/>
      <c r="E201" s="13"/>
      <c r="F201" s="13"/>
      <c r="G201" s="13"/>
    </row>
    <row r="202" ht="15.75" customHeight="1">
      <c r="A202" s="13"/>
      <c r="B202" s="13"/>
      <c r="C202" s="13"/>
      <c r="D202" s="13"/>
      <c r="E202" s="13"/>
      <c r="F202" s="13"/>
      <c r="G202" s="13"/>
    </row>
    <row r="203" ht="15.75" customHeight="1">
      <c r="A203" s="13"/>
      <c r="B203" s="13"/>
      <c r="C203" s="13"/>
      <c r="D203" s="13"/>
      <c r="E203" s="13"/>
      <c r="F203" s="13"/>
      <c r="G203" s="13"/>
    </row>
    <row r="204" ht="15.75" customHeight="1">
      <c r="A204" s="13"/>
      <c r="B204" s="13"/>
      <c r="C204" s="13"/>
      <c r="D204" s="13"/>
      <c r="E204" s="13"/>
      <c r="F204" s="13"/>
      <c r="G204" s="13"/>
    </row>
    <row r="205" ht="15.75" customHeight="1">
      <c r="A205" s="13"/>
      <c r="B205" s="13"/>
      <c r="C205" s="13"/>
      <c r="D205" s="13"/>
      <c r="E205" s="13"/>
      <c r="F205" s="13"/>
      <c r="G205" s="13"/>
    </row>
    <row r="206" ht="15.75" customHeight="1">
      <c r="A206" s="13"/>
      <c r="B206" s="13"/>
      <c r="C206" s="13"/>
      <c r="D206" s="13"/>
      <c r="E206" s="13"/>
      <c r="F206" s="13"/>
      <c r="G206" s="13"/>
    </row>
    <row r="207" ht="15.75" customHeight="1">
      <c r="A207" s="13"/>
      <c r="B207" s="13"/>
      <c r="C207" s="13"/>
      <c r="D207" s="13"/>
      <c r="E207" s="13"/>
      <c r="F207" s="13"/>
      <c r="G207" s="13"/>
    </row>
    <row r="208" ht="15.75" customHeight="1">
      <c r="A208" s="13"/>
      <c r="B208" s="13"/>
      <c r="C208" s="13"/>
      <c r="D208" s="13"/>
      <c r="E208" s="13"/>
      <c r="F208" s="13"/>
      <c r="G208" s="13"/>
    </row>
    <row r="209" ht="15.75" customHeight="1">
      <c r="A209" s="13"/>
      <c r="B209" s="13"/>
      <c r="C209" s="13"/>
      <c r="D209" s="13"/>
      <c r="E209" s="13"/>
      <c r="F209" s="13"/>
      <c r="G209" s="13"/>
    </row>
    <row r="210" ht="15.75" customHeight="1">
      <c r="A210" s="13"/>
      <c r="B210" s="13"/>
      <c r="C210" s="13"/>
      <c r="D210" s="13"/>
      <c r="E210" s="13"/>
      <c r="F210" s="13"/>
      <c r="G210" s="13"/>
    </row>
    <row r="211" ht="15.75" customHeight="1">
      <c r="A211" s="13"/>
      <c r="B211" s="13"/>
      <c r="C211" s="13"/>
      <c r="D211" s="13"/>
      <c r="E211" s="13"/>
      <c r="F211" s="13"/>
      <c r="G211" s="13"/>
    </row>
    <row r="212" ht="15.75" customHeight="1">
      <c r="A212" s="13"/>
      <c r="B212" s="13"/>
      <c r="C212" s="13"/>
      <c r="D212" s="13"/>
      <c r="E212" s="13"/>
      <c r="F212" s="13"/>
      <c r="G212" s="13"/>
    </row>
    <row r="213" ht="15.75" customHeight="1">
      <c r="A213" s="13"/>
      <c r="B213" s="13"/>
      <c r="C213" s="13"/>
      <c r="D213" s="13"/>
      <c r="E213" s="13"/>
      <c r="F213" s="13"/>
      <c r="G213" s="13"/>
    </row>
    <row r="214" ht="15.75" customHeight="1">
      <c r="A214" s="13"/>
      <c r="B214" s="13"/>
      <c r="C214" s="13"/>
      <c r="D214" s="13"/>
      <c r="E214" s="13"/>
      <c r="F214" s="13"/>
      <c r="G214" s="13"/>
    </row>
    <row r="215" ht="15.75" customHeight="1">
      <c r="A215" s="13"/>
      <c r="B215" s="13"/>
      <c r="C215" s="13"/>
      <c r="D215" s="13"/>
      <c r="E215" s="13"/>
      <c r="F215" s="13"/>
      <c r="G215" s="13"/>
    </row>
    <row r="216" ht="15.75" customHeight="1">
      <c r="A216" s="13"/>
      <c r="B216" s="13"/>
      <c r="C216" s="13"/>
      <c r="D216" s="13"/>
      <c r="E216" s="13"/>
      <c r="F216" s="13"/>
      <c r="G216" s="13"/>
    </row>
    <row r="217" ht="15.75" customHeight="1">
      <c r="A217" s="13"/>
      <c r="B217" s="13"/>
      <c r="C217" s="13"/>
      <c r="D217" s="13"/>
      <c r="E217" s="13"/>
      <c r="F217" s="13"/>
      <c r="G217" s="13"/>
    </row>
    <row r="218" ht="15.75" customHeight="1">
      <c r="A218" s="13"/>
      <c r="B218" s="13"/>
      <c r="C218" s="13"/>
      <c r="D218" s="13"/>
      <c r="E218" s="13"/>
      <c r="F218" s="13"/>
      <c r="G218" s="13"/>
    </row>
    <row r="219" ht="15.75" customHeight="1">
      <c r="A219" s="13"/>
      <c r="B219" s="13"/>
      <c r="C219" s="13"/>
      <c r="D219" s="13"/>
      <c r="E219" s="13"/>
      <c r="F219" s="13"/>
      <c r="G219" s="13"/>
    </row>
    <row r="220" ht="15.75" customHeight="1">
      <c r="A220" s="13"/>
      <c r="B220" s="13"/>
      <c r="C220" s="13"/>
      <c r="D220" s="13"/>
      <c r="E220" s="13"/>
      <c r="F220" s="13"/>
      <c r="G220" s="13"/>
    </row>
    <row r="221" ht="15.75" customHeight="1">
      <c r="A221" s="13"/>
      <c r="B221" s="13"/>
      <c r="C221" s="13"/>
      <c r="D221" s="13"/>
      <c r="E221" s="13"/>
      <c r="F221" s="13"/>
      <c r="G221" s="13"/>
    </row>
    <row r="222" ht="15.75" customHeight="1">
      <c r="A222" s="13"/>
      <c r="B222" s="13"/>
      <c r="C222" s="13"/>
      <c r="D222" s="13"/>
      <c r="E222" s="13"/>
      <c r="F222" s="13"/>
      <c r="G222" s="13"/>
    </row>
    <row r="223" ht="15.75" customHeight="1">
      <c r="A223" s="13"/>
      <c r="B223" s="13"/>
      <c r="C223" s="13"/>
      <c r="D223" s="13"/>
      <c r="E223" s="13"/>
      <c r="F223" s="13"/>
      <c r="G223" s="13"/>
    </row>
    <row r="224" ht="15.75" customHeight="1">
      <c r="A224" s="13"/>
      <c r="B224" s="13"/>
      <c r="C224" s="13"/>
      <c r="D224" s="13"/>
      <c r="E224" s="13"/>
      <c r="F224" s="13"/>
      <c r="G224" s="13"/>
    </row>
    <row r="225" ht="15.75" customHeight="1">
      <c r="A225" s="13"/>
      <c r="B225" s="13"/>
      <c r="C225" s="13"/>
      <c r="D225" s="13"/>
      <c r="E225" s="13"/>
      <c r="F225" s="13"/>
      <c r="G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>
      <c r="A230" s="13"/>
      <c r="B230" s="13"/>
      <c r="C230" s="13"/>
      <c r="D230" s="13"/>
      <c r="E230" s="13"/>
      <c r="F230" s="13"/>
      <c r="G230" s="13"/>
    </row>
    <row r="231" ht="15.75" customHeight="1">
      <c r="A231" s="13"/>
      <c r="B231" s="13"/>
      <c r="C231" s="13"/>
      <c r="D231" s="13"/>
      <c r="E231" s="13"/>
      <c r="F231" s="13"/>
      <c r="G231" s="13"/>
    </row>
    <row r="232" ht="15.75" customHeight="1">
      <c r="A232" s="13"/>
      <c r="B232" s="13"/>
      <c r="C232" s="13"/>
      <c r="D232" s="13"/>
      <c r="E232" s="13"/>
      <c r="F232" s="13"/>
      <c r="G232" s="13"/>
    </row>
    <row r="233" ht="15.75" customHeight="1">
      <c r="A233" s="13"/>
      <c r="B233" s="13"/>
      <c r="C233" s="13"/>
      <c r="D233" s="13"/>
      <c r="E233" s="13"/>
      <c r="F233" s="13"/>
      <c r="G233" s="13"/>
    </row>
    <row r="234" ht="15.75" customHeight="1">
      <c r="A234" s="13"/>
      <c r="B234" s="13"/>
      <c r="C234" s="13"/>
      <c r="D234" s="13"/>
      <c r="E234" s="13"/>
      <c r="F234" s="13"/>
      <c r="G234" s="13"/>
    </row>
    <row r="235" ht="15.75" customHeight="1">
      <c r="A235" s="13"/>
      <c r="B235" s="13"/>
      <c r="C235" s="13"/>
      <c r="D235" s="13"/>
      <c r="E235" s="13"/>
      <c r="F235" s="13"/>
      <c r="G235" s="13"/>
    </row>
    <row r="236" ht="15.75" customHeight="1">
      <c r="A236" s="13"/>
      <c r="B236" s="13"/>
      <c r="C236" s="13"/>
      <c r="D236" s="13"/>
      <c r="E236" s="13"/>
      <c r="F236" s="13"/>
      <c r="G236" s="13"/>
    </row>
    <row r="237" ht="15.75" customHeight="1">
      <c r="A237" s="13"/>
      <c r="B237" s="13"/>
      <c r="C237" s="13"/>
      <c r="D237" s="13"/>
      <c r="E237" s="13"/>
      <c r="F237" s="13"/>
      <c r="G237" s="13"/>
    </row>
    <row r="238" ht="15.75" customHeight="1">
      <c r="A238" s="13"/>
      <c r="B238" s="13"/>
      <c r="C238" s="13"/>
      <c r="D238" s="13"/>
      <c r="E238" s="13"/>
      <c r="F238" s="13"/>
      <c r="G238" s="13"/>
    </row>
    <row r="239" ht="15.75" customHeight="1">
      <c r="A239" s="13"/>
      <c r="B239" s="13"/>
      <c r="C239" s="13"/>
      <c r="D239" s="13"/>
      <c r="E239" s="13"/>
      <c r="F239" s="13"/>
      <c r="G239" s="13"/>
    </row>
    <row r="240" ht="15.75" customHeight="1">
      <c r="A240" s="13"/>
      <c r="B240" s="13"/>
      <c r="C240" s="13"/>
      <c r="D240" s="13"/>
      <c r="E240" s="13"/>
      <c r="F240" s="13"/>
      <c r="G240" s="13"/>
    </row>
    <row r="241" ht="15.75" customHeight="1">
      <c r="A241" s="13"/>
      <c r="B241" s="13"/>
      <c r="C241" s="13"/>
      <c r="D241" s="13"/>
      <c r="E241" s="13"/>
      <c r="F241" s="13"/>
      <c r="G241" s="13"/>
    </row>
    <row r="242" ht="15.75" customHeight="1">
      <c r="A242" s="13"/>
      <c r="B242" s="13"/>
      <c r="C242" s="13"/>
      <c r="D242" s="13"/>
      <c r="E242" s="13"/>
      <c r="F242" s="13"/>
      <c r="G242" s="13"/>
    </row>
    <row r="243" ht="15.75" customHeight="1">
      <c r="A243" s="13"/>
      <c r="B243" s="13"/>
      <c r="C243" s="13"/>
      <c r="D243" s="13"/>
      <c r="E243" s="13"/>
      <c r="F243" s="13"/>
      <c r="G243" s="13"/>
    </row>
    <row r="244" ht="15.75" customHeight="1">
      <c r="A244" s="13"/>
      <c r="B244" s="13"/>
      <c r="C244" s="13"/>
      <c r="D244" s="13"/>
      <c r="E244" s="13"/>
      <c r="F244" s="13"/>
      <c r="G244" s="13"/>
    </row>
    <row r="245" ht="15.75" customHeight="1">
      <c r="A245" s="13"/>
      <c r="B245" s="13"/>
      <c r="C245" s="13"/>
      <c r="D245" s="13"/>
      <c r="E245" s="13"/>
      <c r="F245" s="13"/>
      <c r="G245" s="13"/>
    </row>
    <row r="246" ht="15.75" customHeight="1">
      <c r="A246" s="13"/>
      <c r="B246" s="13"/>
      <c r="C246" s="13"/>
      <c r="D246" s="13"/>
      <c r="E246" s="13"/>
      <c r="F246" s="13"/>
      <c r="G246" s="13"/>
    </row>
    <row r="247" ht="15.75" customHeight="1">
      <c r="A247" s="13"/>
      <c r="B247" s="13"/>
      <c r="C247" s="13"/>
      <c r="D247" s="13"/>
      <c r="E247" s="13"/>
      <c r="F247" s="13"/>
      <c r="G247" s="13"/>
    </row>
    <row r="248" ht="15.75" customHeight="1">
      <c r="A248" s="13"/>
      <c r="B248" s="13"/>
      <c r="C248" s="13"/>
      <c r="D248" s="13"/>
      <c r="E248" s="13"/>
      <c r="F248" s="13"/>
      <c r="G248" s="13"/>
    </row>
    <row r="249" ht="15.75" customHeight="1">
      <c r="A249" s="13"/>
      <c r="B249" s="13"/>
      <c r="C249" s="13"/>
      <c r="D249" s="13"/>
      <c r="E249" s="13"/>
      <c r="F249" s="13"/>
      <c r="G249" s="13"/>
    </row>
    <row r="250" ht="15.75" customHeight="1">
      <c r="A250" s="13"/>
      <c r="B250" s="13"/>
      <c r="C250" s="13"/>
      <c r="D250" s="13"/>
      <c r="E250" s="13"/>
      <c r="F250" s="13"/>
      <c r="G250" s="13"/>
    </row>
    <row r="251" ht="15.75" customHeight="1">
      <c r="A251" s="13"/>
      <c r="B251" s="13"/>
      <c r="C251" s="13"/>
      <c r="D251" s="13"/>
      <c r="E251" s="13"/>
      <c r="F251" s="13"/>
      <c r="G251" s="13"/>
    </row>
    <row r="252" ht="15.75" customHeight="1">
      <c r="A252" s="13"/>
      <c r="B252" s="13"/>
      <c r="C252" s="13"/>
      <c r="D252" s="13"/>
      <c r="E252" s="13"/>
      <c r="F252" s="13"/>
      <c r="G252" s="13"/>
    </row>
    <row r="253" ht="15.75" customHeight="1">
      <c r="A253" s="13"/>
      <c r="B253" s="13"/>
      <c r="C253" s="13"/>
      <c r="D253" s="13"/>
      <c r="E253" s="13"/>
      <c r="F253" s="13"/>
      <c r="G253" s="13"/>
    </row>
    <row r="254" ht="15.75" customHeight="1">
      <c r="A254" s="13"/>
      <c r="B254" s="13"/>
      <c r="C254" s="13"/>
      <c r="D254" s="13"/>
      <c r="E254" s="13"/>
      <c r="F254" s="13"/>
      <c r="G254" s="13"/>
    </row>
    <row r="255" ht="15.75" customHeight="1">
      <c r="A255" s="13"/>
      <c r="B255" s="13"/>
      <c r="C255" s="13"/>
      <c r="D255" s="13"/>
      <c r="E255" s="13"/>
      <c r="F255" s="13"/>
      <c r="G255" s="13"/>
    </row>
    <row r="256" ht="15.75" customHeight="1">
      <c r="A256" s="13"/>
      <c r="B256" s="13"/>
      <c r="C256" s="13"/>
      <c r="D256" s="13"/>
      <c r="E256" s="13"/>
      <c r="F256" s="13"/>
      <c r="G256" s="13"/>
    </row>
    <row r="257" ht="15.75" customHeight="1">
      <c r="A257" s="13"/>
      <c r="B257" s="13"/>
      <c r="C257" s="13"/>
      <c r="D257" s="13"/>
      <c r="E257" s="13"/>
      <c r="F257" s="13"/>
      <c r="G257" s="13"/>
    </row>
    <row r="258" ht="15.75" customHeight="1">
      <c r="A258" s="13"/>
      <c r="B258" s="13"/>
      <c r="C258" s="13"/>
      <c r="D258" s="13"/>
      <c r="E258" s="13"/>
      <c r="F258" s="13"/>
      <c r="G258" s="13"/>
    </row>
    <row r="259" ht="15.75" customHeight="1">
      <c r="A259" s="13"/>
      <c r="B259" s="13"/>
      <c r="C259" s="13"/>
      <c r="D259" s="13"/>
      <c r="E259" s="13"/>
      <c r="F259" s="13"/>
      <c r="G259" s="13"/>
    </row>
    <row r="260" ht="15.75" customHeight="1">
      <c r="A260" s="13"/>
      <c r="B260" s="13"/>
      <c r="C260" s="13"/>
      <c r="D260" s="13"/>
      <c r="E260" s="13"/>
      <c r="F260" s="13"/>
      <c r="G260" s="13"/>
    </row>
    <row r="261" ht="15.75" customHeight="1">
      <c r="A261" s="13"/>
      <c r="B261" s="13"/>
      <c r="C261" s="13"/>
      <c r="D261" s="13"/>
      <c r="E261" s="13"/>
      <c r="F261" s="13"/>
      <c r="G261" s="13"/>
    </row>
    <row r="262" ht="15.75" customHeight="1">
      <c r="A262" s="13"/>
      <c r="B262" s="13"/>
      <c r="C262" s="13"/>
      <c r="D262" s="13"/>
      <c r="E262" s="13"/>
      <c r="F262" s="13"/>
      <c r="G262" s="13"/>
    </row>
    <row r="263" ht="15.75" customHeight="1">
      <c r="A263" s="13"/>
      <c r="B263" s="13"/>
      <c r="C263" s="13"/>
      <c r="D263" s="13"/>
      <c r="E263" s="13"/>
      <c r="F263" s="13"/>
      <c r="G263" s="13"/>
    </row>
    <row r="264" ht="15.75" customHeight="1">
      <c r="A264" s="13"/>
      <c r="B264" s="13"/>
      <c r="C264" s="13"/>
      <c r="D264" s="13"/>
      <c r="E264" s="13"/>
      <c r="F264" s="13"/>
      <c r="G264" s="13"/>
    </row>
    <row r="265" ht="15.75" customHeight="1">
      <c r="A265" s="13"/>
      <c r="B265" s="13"/>
      <c r="C265" s="13"/>
      <c r="D265" s="13"/>
      <c r="E265" s="13"/>
      <c r="F265" s="13"/>
      <c r="G265" s="13"/>
    </row>
    <row r="266" ht="15.75" customHeight="1">
      <c r="A266" s="13"/>
      <c r="B266" s="13"/>
      <c r="C266" s="13"/>
      <c r="D266" s="13"/>
      <c r="E266" s="13"/>
      <c r="F266" s="13"/>
      <c r="G266" s="13"/>
    </row>
    <row r="267" ht="15.75" customHeight="1">
      <c r="A267" s="13"/>
      <c r="B267" s="13"/>
      <c r="C267" s="13"/>
      <c r="D267" s="13"/>
      <c r="E267" s="13"/>
      <c r="F267" s="13"/>
      <c r="G267" s="13"/>
    </row>
    <row r="268" ht="15.75" customHeight="1">
      <c r="A268" s="13"/>
      <c r="B268" s="13"/>
      <c r="C268" s="13"/>
      <c r="D268" s="13"/>
      <c r="E268" s="13"/>
      <c r="F268" s="13"/>
      <c r="G268" s="13"/>
    </row>
    <row r="269" ht="15.75" customHeight="1">
      <c r="A269" s="13"/>
      <c r="B269" s="13"/>
      <c r="C269" s="13"/>
      <c r="D269" s="13"/>
      <c r="E269" s="13"/>
      <c r="F269" s="13"/>
      <c r="G269" s="13"/>
    </row>
    <row r="270" ht="15.75" customHeight="1">
      <c r="A270" s="13"/>
      <c r="B270" s="13"/>
      <c r="C270" s="13"/>
      <c r="D270" s="13"/>
      <c r="E270" s="13"/>
      <c r="F270" s="13"/>
      <c r="G270" s="13"/>
    </row>
    <row r="271" ht="15.75" customHeight="1">
      <c r="A271" s="13"/>
      <c r="B271" s="13"/>
      <c r="C271" s="13"/>
      <c r="D271" s="13"/>
      <c r="E271" s="13"/>
      <c r="F271" s="13"/>
      <c r="G271" s="13"/>
    </row>
    <row r="272" ht="15.75" customHeight="1">
      <c r="A272" s="13"/>
      <c r="B272" s="13"/>
      <c r="C272" s="13"/>
      <c r="D272" s="13"/>
      <c r="E272" s="13"/>
      <c r="F272" s="13"/>
      <c r="G272" s="13"/>
    </row>
    <row r="273" ht="15.75" customHeight="1">
      <c r="A273" s="13"/>
      <c r="B273" s="13"/>
      <c r="C273" s="13"/>
      <c r="D273" s="13"/>
      <c r="E273" s="13"/>
      <c r="F273" s="13"/>
      <c r="G273" s="13"/>
    </row>
    <row r="274" ht="15.75" customHeight="1">
      <c r="A274" s="13"/>
      <c r="B274" s="13"/>
      <c r="C274" s="13"/>
      <c r="D274" s="13"/>
      <c r="E274" s="13"/>
      <c r="F274" s="13"/>
      <c r="G274" s="13"/>
    </row>
    <row r="275" ht="15.75" customHeight="1">
      <c r="A275" s="13"/>
      <c r="B275" s="13"/>
      <c r="C275" s="13"/>
      <c r="D275" s="13"/>
      <c r="E275" s="13"/>
      <c r="F275" s="13"/>
      <c r="G275" s="13"/>
    </row>
    <row r="276" ht="15.75" customHeight="1">
      <c r="A276" s="13"/>
      <c r="B276" s="13"/>
      <c r="C276" s="13"/>
      <c r="D276" s="13"/>
      <c r="E276" s="13"/>
      <c r="F276" s="13"/>
      <c r="G276" s="13"/>
    </row>
    <row r="277" ht="15.75" customHeight="1">
      <c r="A277" s="13"/>
      <c r="B277" s="13"/>
      <c r="C277" s="13"/>
      <c r="D277" s="13"/>
      <c r="E277" s="13"/>
      <c r="F277" s="13"/>
      <c r="G277" s="13"/>
    </row>
    <row r="278" ht="15.75" customHeight="1">
      <c r="A278" s="13"/>
      <c r="B278" s="13"/>
      <c r="C278" s="13"/>
      <c r="D278" s="13"/>
      <c r="E278" s="13"/>
      <c r="F278" s="13"/>
      <c r="G278" s="13"/>
    </row>
    <row r="279" ht="15.75" customHeight="1">
      <c r="A279" s="13"/>
      <c r="B279" s="13"/>
      <c r="C279" s="13"/>
      <c r="D279" s="13"/>
      <c r="E279" s="13"/>
      <c r="F279" s="13"/>
      <c r="G279" s="13"/>
    </row>
    <row r="280" ht="15.75" customHeight="1">
      <c r="A280" s="13"/>
      <c r="B280" s="13"/>
      <c r="C280" s="13"/>
      <c r="D280" s="13"/>
      <c r="E280" s="13"/>
      <c r="F280" s="13"/>
      <c r="G280" s="13"/>
    </row>
    <row r="281" ht="15.75" customHeight="1">
      <c r="A281" s="13"/>
      <c r="B281" s="13"/>
      <c r="C281" s="13"/>
      <c r="D281" s="13"/>
      <c r="E281" s="13"/>
      <c r="F281" s="13"/>
      <c r="G281" s="13"/>
    </row>
    <row r="282" ht="15.75" customHeight="1">
      <c r="A282" s="13"/>
      <c r="B282" s="13"/>
      <c r="C282" s="13"/>
      <c r="D282" s="13"/>
      <c r="E282" s="13"/>
      <c r="F282" s="13"/>
      <c r="G282" s="13"/>
    </row>
    <row r="283" ht="15.75" customHeight="1">
      <c r="A283" s="13"/>
      <c r="B283" s="13"/>
      <c r="C283" s="13"/>
      <c r="D283" s="13"/>
      <c r="E283" s="13"/>
      <c r="F283" s="13"/>
      <c r="G283" s="13"/>
    </row>
    <row r="284" ht="15.75" customHeight="1">
      <c r="A284" s="13"/>
      <c r="B284" s="13"/>
      <c r="C284" s="13"/>
      <c r="D284" s="13"/>
      <c r="E284" s="13"/>
      <c r="F284" s="13"/>
      <c r="G284" s="13"/>
    </row>
    <row r="285" ht="15.75" customHeight="1">
      <c r="A285" s="13"/>
      <c r="B285" s="13"/>
      <c r="C285" s="13"/>
      <c r="D285" s="13"/>
      <c r="E285" s="13"/>
      <c r="F285" s="13"/>
      <c r="G285" s="13"/>
    </row>
    <row r="286" ht="15.75" customHeight="1">
      <c r="A286" s="13"/>
      <c r="B286" s="13"/>
      <c r="C286" s="13"/>
      <c r="D286" s="13"/>
      <c r="E286" s="13"/>
      <c r="F286" s="13"/>
      <c r="G286" s="13"/>
    </row>
    <row r="287" ht="15.75" customHeight="1">
      <c r="A287" s="13"/>
      <c r="B287" s="13"/>
      <c r="C287" s="13"/>
      <c r="D287" s="13"/>
      <c r="E287" s="13"/>
      <c r="F287" s="13"/>
      <c r="G287" s="13"/>
    </row>
    <row r="288" ht="15.75" customHeight="1">
      <c r="A288" s="13"/>
      <c r="B288" s="13"/>
      <c r="C288" s="13"/>
      <c r="D288" s="13"/>
      <c r="E288" s="13"/>
      <c r="F288" s="13"/>
      <c r="G288" s="13"/>
    </row>
    <row r="289" ht="15.75" customHeight="1">
      <c r="A289" s="13"/>
      <c r="B289" s="13"/>
      <c r="C289" s="13"/>
      <c r="D289" s="13"/>
      <c r="E289" s="13"/>
      <c r="F289" s="13"/>
      <c r="G289" s="13"/>
    </row>
    <row r="290" ht="15.75" customHeight="1">
      <c r="A290" s="13"/>
      <c r="B290" s="13"/>
      <c r="C290" s="13"/>
      <c r="D290" s="13"/>
      <c r="E290" s="13"/>
      <c r="F290" s="13"/>
      <c r="G290" s="13"/>
    </row>
    <row r="291" ht="15.75" customHeight="1">
      <c r="A291" s="13"/>
      <c r="B291" s="13"/>
      <c r="C291" s="13"/>
      <c r="D291" s="13"/>
      <c r="E291" s="13"/>
      <c r="F291" s="13"/>
      <c r="G291" s="13"/>
    </row>
    <row r="292" ht="15.75" customHeight="1">
      <c r="A292" s="13"/>
      <c r="B292" s="13"/>
      <c r="C292" s="13"/>
      <c r="D292" s="13"/>
      <c r="E292" s="13"/>
      <c r="F292" s="13"/>
      <c r="G292" s="13"/>
    </row>
    <row r="293" ht="15.75" customHeight="1">
      <c r="A293" s="13"/>
      <c r="B293" s="13"/>
      <c r="C293" s="13"/>
      <c r="D293" s="13"/>
      <c r="E293" s="13"/>
      <c r="F293" s="13"/>
      <c r="G293" s="13"/>
    </row>
    <row r="294" ht="15.75" customHeight="1">
      <c r="A294" s="13"/>
      <c r="B294" s="13"/>
      <c r="C294" s="13"/>
      <c r="D294" s="13"/>
      <c r="E294" s="13"/>
      <c r="F294" s="13"/>
      <c r="G294" s="13"/>
    </row>
    <row r="295" ht="15.75" customHeight="1">
      <c r="A295" s="13"/>
      <c r="B295" s="13"/>
      <c r="C295" s="13"/>
      <c r="D295" s="13"/>
      <c r="E295" s="13"/>
      <c r="F295" s="13"/>
      <c r="G295" s="13"/>
    </row>
    <row r="296" ht="15.75" customHeight="1">
      <c r="A296" s="13"/>
      <c r="B296" s="13"/>
      <c r="C296" s="13"/>
      <c r="D296" s="13"/>
      <c r="E296" s="13"/>
      <c r="F296" s="13"/>
      <c r="G296" s="13"/>
    </row>
    <row r="297" ht="15.75" customHeight="1">
      <c r="A297" s="13"/>
      <c r="B297" s="13"/>
      <c r="C297" s="13"/>
      <c r="D297" s="13"/>
      <c r="E297" s="13"/>
      <c r="F297" s="13"/>
      <c r="G297" s="13"/>
    </row>
    <row r="298" ht="15.75" customHeight="1">
      <c r="A298" s="13"/>
      <c r="B298" s="13"/>
      <c r="C298" s="13"/>
      <c r="D298" s="13"/>
      <c r="E298" s="13"/>
      <c r="F298" s="13"/>
      <c r="G298" s="13"/>
    </row>
    <row r="299" ht="15.75" customHeight="1">
      <c r="A299" s="13"/>
      <c r="B299" s="13"/>
      <c r="C299" s="13"/>
      <c r="D299" s="13"/>
      <c r="E299" s="13"/>
      <c r="F299" s="13"/>
      <c r="G299" s="13"/>
    </row>
    <row r="300" ht="15.75" customHeight="1">
      <c r="A300" s="13"/>
      <c r="B300" s="13"/>
      <c r="C300" s="13"/>
      <c r="D300" s="13"/>
      <c r="E300" s="13"/>
      <c r="F300" s="13"/>
      <c r="G300" s="13"/>
    </row>
    <row r="301" ht="15.75" customHeight="1">
      <c r="A301" s="13"/>
      <c r="B301" s="13"/>
      <c r="C301" s="13"/>
      <c r="D301" s="13"/>
      <c r="E301" s="13"/>
      <c r="F301" s="13"/>
      <c r="G301" s="13"/>
    </row>
    <row r="302" ht="15.75" customHeight="1">
      <c r="A302" s="13"/>
      <c r="B302" s="13"/>
      <c r="C302" s="13"/>
      <c r="D302" s="13"/>
      <c r="E302" s="13"/>
      <c r="F302" s="13"/>
      <c r="G302" s="13"/>
    </row>
    <row r="303" ht="15.75" customHeight="1">
      <c r="A303" s="13"/>
      <c r="B303" s="13"/>
      <c r="C303" s="13"/>
      <c r="D303" s="13"/>
      <c r="E303" s="13"/>
      <c r="F303" s="13"/>
      <c r="G303" s="13"/>
    </row>
    <row r="304" ht="15.75" customHeight="1">
      <c r="A304" s="13"/>
      <c r="B304" s="13"/>
      <c r="C304" s="13"/>
      <c r="D304" s="13"/>
      <c r="E304" s="13"/>
      <c r="F304" s="13"/>
      <c r="G304" s="13"/>
    </row>
    <row r="305" ht="15.75" customHeight="1">
      <c r="A305" s="13"/>
      <c r="B305" s="13"/>
      <c r="C305" s="13"/>
      <c r="D305" s="13"/>
      <c r="E305" s="13"/>
      <c r="F305" s="13"/>
      <c r="G305" s="13"/>
    </row>
    <row r="306" ht="15.75" customHeight="1">
      <c r="A306" s="13"/>
      <c r="B306" s="13"/>
      <c r="C306" s="13"/>
      <c r="D306" s="13"/>
      <c r="E306" s="13"/>
      <c r="F306" s="13"/>
      <c r="G306" s="13"/>
    </row>
    <row r="307" ht="15.75" customHeight="1">
      <c r="A307" s="13"/>
      <c r="B307" s="13"/>
      <c r="C307" s="13"/>
      <c r="D307" s="13"/>
      <c r="E307" s="13"/>
      <c r="F307" s="13"/>
      <c r="G307" s="13"/>
    </row>
    <row r="308" ht="15.75" customHeight="1">
      <c r="A308" s="13"/>
      <c r="B308" s="13"/>
      <c r="C308" s="13"/>
      <c r="D308" s="13"/>
      <c r="E308" s="13"/>
      <c r="F308" s="13"/>
      <c r="G308" s="13"/>
    </row>
    <row r="309" ht="15.75" customHeight="1">
      <c r="A309" s="13"/>
      <c r="B309" s="13"/>
      <c r="C309" s="13"/>
      <c r="D309" s="13"/>
      <c r="E309" s="13"/>
      <c r="F309" s="13"/>
      <c r="G309" s="13"/>
    </row>
    <row r="310" ht="15.75" customHeight="1">
      <c r="A310" s="13"/>
      <c r="B310" s="13"/>
      <c r="C310" s="13"/>
      <c r="D310" s="13"/>
      <c r="E310" s="13"/>
      <c r="F310" s="13"/>
      <c r="G310" s="13"/>
    </row>
    <row r="311" ht="15.75" customHeight="1">
      <c r="A311" s="13"/>
      <c r="B311" s="13"/>
      <c r="C311" s="13"/>
      <c r="D311" s="13"/>
      <c r="E311" s="13"/>
      <c r="F311" s="13"/>
      <c r="G311" s="13"/>
    </row>
    <row r="312" ht="15.75" customHeight="1">
      <c r="A312" s="13"/>
      <c r="B312" s="13"/>
      <c r="C312" s="13"/>
      <c r="D312" s="13"/>
      <c r="E312" s="13"/>
      <c r="F312" s="13"/>
      <c r="G312" s="13"/>
    </row>
    <row r="313" ht="15.75" customHeight="1">
      <c r="A313" s="13"/>
      <c r="B313" s="13"/>
      <c r="C313" s="13"/>
      <c r="D313" s="13"/>
      <c r="E313" s="13"/>
      <c r="F313" s="13"/>
      <c r="G313" s="13"/>
    </row>
    <row r="314" ht="15.75" customHeight="1">
      <c r="A314" s="13"/>
      <c r="B314" s="13"/>
      <c r="C314" s="13"/>
      <c r="D314" s="13"/>
      <c r="E314" s="13"/>
      <c r="F314" s="13"/>
      <c r="G314" s="13"/>
    </row>
    <row r="315" ht="15.75" customHeight="1">
      <c r="A315" s="13"/>
      <c r="B315" s="13"/>
      <c r="C315" s="13"/>
      <c r="D315" s="13"/>
      <c r="E315" s="13"/>
      <c r="F315" s="13"/>
      <c r="G315" s="13"/>
    </row>
    <row r="316" ht="15.75" customHeight="1">
      <c r="A316" s="13"/>
      <c r="B316" s="13"/>
      <c r="C316" s="13"/>
      <c r="D316" s="13"/>
      <c r="E316" s="13"/>
      <c r="F316" s="13"/>
      <c r="G316" s="13"/>
    </row>
    <row r="317" ht="15.75" customHeight="1">
      <c r="A317" s="13"/>
      <c r="B317" s="13"/>
      <c r="C317" s="13"/>
      <c r="D317" s="13"/>
      <c r="E317" s="13"/>
      <c r="F317" s="13"/>
      <c r="G317" s="13"/>
    </row>
    <row r="318" ht="15.75" customHeight="1">
      <c r="A318" s="13"/>
      <c r="B318" s="13"/>
      <c r="C318" s="13"/>
      <c r="D318" s="13"/>
      <c r="E318" s="13"/>
      <c r="F318" s="13"/>
      <c r="G318" s="13"/>
    </row>
    <row r="319" ht="15.75" customHeight="1">
      <c r="A319" s="13"/>
      <c r="B319" s="13"/>
      <c r="C319" s="13"/>
      <c r="D319" s="13"/>
      <c r="E319" s="13"/>
      <c r="F319" s="13"/>
      <c r="G319" s="13"/>
    </row>
    <row r="320" ht="15.75" customHeight="1">
      <c r="A320" s="13"/>
      <c r="B320" s="13"/>
      <c r="C320" s="13"/>
      <c r="D320" s="13"/>
      <c r="E320" s="13"/>
      <c r="F320" s="13"/>
      <c r="G320" s="13"/>
    </row>
    <row r="321" ht="15.75" customHeight="1">
      <c r="A321" s="13"/>
      <c r="B321" s="13"/>
      <c r="C321" s="13"/>
      <c r="D321" s="13"/>
      <c r="E321" s="13"/>
      <c r="F321" s="13"/>
      <c r="G321" s="13"/>
    </row>
    <row r="322" ht="15.75" customHeight="1">
      <c r="A322" s="13"/>
      <c r="B322" s="13"/>
      <c r="C322" s="13"/>
      <c r="D322" s="13"/>
      <c r="E322" s="13"/>
      <c r="F322" s="13"/>
      <c r="G322" s="13"/>
    </row>
    <row r="323" ht="15.75" customHeight="1">
      <c r="A323" s="13"/>
      <c r="B323" s="13"/>
      <c r="C323" s="13"/>
      <c r="D323" s="13"/>
      <c r="E323" s="13"/>
      <c r="F323" s="13"/>
      <c r="G323" s="13"/>
    </row>
    <row r="324" ht="15.75" customHeight="1">
      <c r="A324" s="13"/>
      <c r="B324" s="13"/>
      <c r="C324" s="13"/>
      <c r="D324" s="13"/>
      <c r="E324" s="13"/>
      <c r="F324" s="13"/>
      <c r="G324" s="13"/>
    </row>
    <row r="325" ht="15.75" customHeight="1">
      <c r="A325" s="13"/>
      <c r="B325" s="13"/>
      <c r="C325" s="13"/>
      <c r="D325" s="13"/>
      <c r="E325" s="13"/>
      <c r="F325" s="13"/>
      <c r="G325" s="13"/>
    </row>
    <row r="326" ht="15.75" customHeight="1">
      <c r="A326" s="13"/>
      <c r="B326" s="13"/>
      <c r="C326" s="13"/>
      <c r="D326" s="13"/>
      <c r="E326" s="13"/>
      <c r="F326" s="13"/>
      <c r="G326" s="13"/>
    </row>
    <row r="327" ht="15.75" customHeight="1">
      <c r="A327" s="13"/>
      <c r="B327" s="13"/>
      <c r="C327" s="13"/>
      <c r="D327" s="13"/>
      <c r="E327" s="13"/>
      <c r="F327" s="13"/>
      <c r="G327" s="13"/>
    </row>
    <row r="328" ht="15.75" customHeight="1">
      <c r="A328" s="13"/>
      <c r="B328" s="13"/>
      <c r="C328" s="13"/>
      <c r="D328" s="13"/>
      <c r="E328" s="13"/>
      <c r="F328" s="13"/>
      <c r="G328" s="13"/>
    </row>
    <row r="329" ht="15.75" customHeight="1">
      <c r="A329" s="13"/>
      <c r="B329" s="13"/>
      <c r="C329" s="13"/>
      <c r="D329" s="13"/>
      <c r="E329" s="13"/>
      <c r="F329" s="13"/>
      <c r="G329" s="13"/>
    </row>
    <row r="330" ht="15.75" customHeight="1">
      <c r="A330" s="13"/>
      <c r="B330" s="13"/>
      <c r="C330" s="13"/>
      <c r="D330" s="13"/>
      <c r="E330" s="13"/>
      <c r="F330" s="13"/>
      <c r="G330" s="13"/>
    </row>
    <row r="331" ht="15.75" customHeight="1">
      <c r="A331" s="13"/>
      <c r="B331" s="13"/>
      <c r="C331" s="13"/>
      <c r="D331" s="13"/>
      <c r="E331" s="13"/>
      <c r="F331" s="13"/>
      <c r="G331" s="13"/>
    </row>
    <row r="332" ht="15.75" customHeight="1">
      <c r="A332" s="13"/>
      <c r="B332" s="13"/>
      <c r="C332" s="13"/>
      <c r="D332" s="13"/>
      <c r="E332" s="13"/>
      <c r="F332" s="13"/>
      <c r="G332" s="13"/>
    </row>
    <row r="333" ht="15.75" customHeight="1">
      <c r="A333" s="13"/>
      <c r="B333" s="13"/>
      <c r="C333" s="13"/>
      <c r="D333" s="13"/>
      <c r="E333" s="13"/>
      <c r="F333" s="13"/>
      <c r="G333" s="13"/>
    </row>
    <row r="334" ht="15.75" customHeight="1">
      <c r="A334" s="13"/>
      <c r="B334" s="13"/>
      <c r="C334" s="13"/>
      <c r="D334" s="13"/>
      <c r="E334" s="13"/>
      <c r="F334" s="13"/>
      <c r="G334" s="13"/>
    </row>
    <row r="335" ht="15.75" customHeight="1">
      <c r="A335" s="13"/>
      <c r="B335" s="13"/>
      <c r="C335" s="13"/>
      <c r="D335" s="13"/>
      <c r="E335" s="13"/>
      <c r="F335" s="13"/>
      <c r="G335" s="13"/>
    </row>
    <row r="336" ht="15.75" customHeight="1">
      <c r="A336" s="13"/>
      <c r="B336" s="13"/>
      <c r="C336" s="13"/>
      <c r="D336" s="13"/>
      <c r="E336" s="13"/>
      <c r="F336" s="13"/>
      <c r="G336" s="13"/>
    </row>
    <row r="337" ht="15.75" customHeight="1">
      <c r="A337" s="13"/>
      <c r="B337" s="13"/>
      <c r="C337" s="13"/>
      <c r="D337" s="13"/>
      <c r="E337" s="13"/>
      <c r="F337" s="13"/>
      <c r="G337" s="13"/>
    </row>
    <row r="338" ht="15.75" customHeight="1">
      <c r="A338" s="13"/>
      <c r="B338" s="13"/>
      <c r="C338" s="13"/>
      <c r="D338" s="13"/>
      <c r="E338" s="13"/>
      <c r="F338" s="13"/>
      <c r="G338" s="13"/>
    </row>
    <row r="339" ht="15.75" customHeight="1">
      <c r="A339" s="13"/>
      <c r="B339" s="13"/>
      <c r="C339" s="13"/>
      <c r="D339" s="13"/>
      <c r="E339" s="13"/>
      <c r="F339" s="13"/>
      <c r="G339" s="13"/>
    </row>
    <row r="340" ht="15.75" customHeight="1">
      <c r="A340" s="13"/>
      <c r="B340" s="13"/>
      <c r="C340" s="13"/>
      <c r="D340" s="13"/>
      <c r="E340" s="13"/>
      <c r="F340" s="13"/>
      <c r="G340" s="13"/>
    </row>
    <row r="341" ht="15.75" customHeight="1">
      <c r="A341" s="13"/>
      <c r="B341" s="13"/>
      <c r="C341" s="13"/>
      <c r="D341" s="13"/>
      <c r="E341" s="13"/>
      <c r="F341" s="13"/>
      <c r="G341" s="13"/>
    </row>
    <row r="342" ht="15.75" customHeight="1">
      <c r="A342" s="13"/>
      <c r="B342" s="13"/>
      <c r="C342" s="13"/>
      <c r="D342" s="13"/>
      <c r="E342" s="13"/>
      <c r="F342" s="13"/>
      <c r="G342" s="13"/>
    </row>
    <row r="343" ht="15.75" customHeight="1">
      <c r="A343" s="13"/>
      <c r="B343" s="13"/>
      <c r="C343" s="13"/>
      <c r="D343" s="13"/>
      <c r="E343" s="13"/>
      <c r="F343" s="13"/>
      <c r="G343" s="13"/>
    </row>
    <row r="344" ht="15.75" customHeight="1">
      <c r="A344" s="13"/>
      <c r="B344" s="13"/>
      <c r="C344" s="13"/>
      <c r="D344" s="13"/>
      <c r="E344" s="13"/>
      <c r="F344" s="13"/>
      <c r="G344" s="13"/>
    </row>
    <row r="345" ht="15.75" customHeight="1">
      <c r="A345" s="13"/>
      <c r="B345" s="13"/>
      <c r="C345" s="13"/>
      <c r="D345" s="13"/>
      <c r="E345" s="13"/>
      <c r="F345" s="13"/>
      <c r="G345" s="13"/>
    </row>
    <row r="346" ht="15.75" customHeight="1">
      <c r="A346" s="13"/>
      <c r="B346" s="13"/>
      <c r="C346" s="13"/>
      <c r="D346" s="13"/>
      <c r="E346" s="13"/>
      <c r="F346" s="13"/>
      <c r="G346" s="13"/>
    </row>
    <row r="347" ht="15.75" customHeight="1">
      <c r="A347" s="13"/>
      <c r="B347" s="13"/>
      <c r="C347" s="13"/>
      <c r="D347" s="13"/>
      <c r="E347" s="13"/>
      <c r="F347" s="13"/>
      <c r="G347" s="13"/>
    </row>
    <row r="348" ht="15.75" customHeight="1">
      <c r="A348" s="13"/>
      <c r="B348" s="13"/>
      <c r="C348" s="13"/>
      <c r="D348" s="13"/>
      <c r="E348" s="13"/>
      <c r="F348" s="13"/>
      <c r="G348" s="13"/>
    </row>
    <row r="349" ht="15.75" customHeight="1">
      <c r="A349" s="13"/>
      <c r="B349" s="13"/>
      <c r="C349" s="13"/>
      <c r="D349" s="13"/>
      <c r="E349" s="13"/>
      <c r="F349" s="13"/>
      <c r="G349" s="13"/>
    </row>
    <row r="350" ht="15.75" customHeight="1">
      <c r="A350" s="13"/>
      <c r="B350" s="13"/>
      <c r="C350" s="13"/>
      <c r="D350" s="13"/>
      <c r="E350" s="13"/>
      <c r="F350" s="13"/>
      <c r="G350" s="13"/>
    </row>
    <row r="351" ht="15.75" customHeight="1">
      <c r="A351" s="13"/>
      <c r="B351" s="13"/>
      <c r="C351" s="13"/>
      <c r="D351" s="13"/>
      <c r="E351" s="13"/>
      <c r="F351" s="13"/>
      <c r="G351" s="13"/>
    </row>
    <row r="352" ht="15.75" customHeight="1">
      <c r="A352" s="13"/>
      <c r="B352" s="13"/>
      <c r="C352" s="13"/>
      <c r="D352" s="13"/>
      <c r="E352" s="13"/>
      <c r="F352" s="13"/>
      <c r="G352" s="13"/>
    </row>
    <row r="353" ht="15.75" customHeight="1">
      <c r="A353" s="13"/>
      <c r="B353" s="13"/>
      <c r="C353" s="13"/>
      <c r="D353" s="13"/>
      <c r="E353" s="13"/>
      <c r="F353" s="13"/>
      <c r="G353" s="13"/>
    </row>
    <row r="354" ht="15.75" customHeight="1">
      <c r="A354" s="13"/>
      <c r="B354" s="13"/>
      <c r="C354" s="13"/>
      <c r="D354" s="13"/>
      <c r="E354" s="13"/>
      <c r="F354" s="13"/>
      <c r="G354" s="13"/>
    </row>
    <row r="355" ht="15.75" customHeight="1">
      <c r="A355" s="13"/>
      <c r="B355" s="13"/>
      <c r="C355" s="13"/>
      <c r="D355" s="13"/>
      <c r="E355" s="13"/>
      <c r="F355" s="13"/>
      <c r="G355" s="13"/>
    </row>
    <row r="356" ht="15.75" customHeight="1">
      <c r="A356" s="13"/>
      <c r="B356" s="13"/>
      <c r="C356" s="13"/>
      <c r="D356" s="13"/>
      <c r="E356" s="13"/>
      <c r="F356" s="13"/>
      <c r="G356" s="13"/>
    </row>
    <row r="357" ht="15.75" customHeight="1">
      <c r="A357" s="13"/>
      <c r="B357" s="13"/>
      <c r="C357" s="13"/>
      <c r="D357" s="13"/>
      <c r="E357" s="13"/>
      <c r="F357" s="13"/>
      <c r="G357" s="13"/>
    </row>
    <row r="358" ht="15.75" customHeight="1">
      <c r="A358" s="13"/>
      <c r="B358" s="13"/>
      <c r="C358" s="13"/>
      <c r="D358" s="13"/>
      <c r="E358" s="13"/>
      <c r="F358" s="13"/>
      <c r="G358" s="13"/>
    </row>
    <row r="359" ht="15.75" customHeight="1">
      <c r="A359" s="13"/>
      <c r="B359" s="13"/>
      <c r="C359" s="13"/>
      <c r="D359" s="13"/>
      <c r="E359" s="13"/>
      <c r="F359" s="13"/>
      <c r="G359" s="13"/>
    </row>
    <row r="360" ht="15.75" customHeight="1">
      <c r="A360" s="13"/>
      <c r="B360" s="13"/>
      <c r="C360" s="13"/>
      <c r="D360" s="13"/>
      <c r="E360" s="13"/>
      <c r="F360" s="13"/>
      <c r="G360" s="13"/>
    </row>
    <row r="361" ht="15.75" customHeight="1">
      <c r="A361" s="13"/>
      <c r="B361" s="13"/>
      <c r="C361" s="13"/>
      <c r="D361" s="13"/>
      <c r="E361" s="13"/>
      <c r="F361" s="13"/>
      <c r="G361" s="13"/>
    </row>
    <row r="362" ht="15.75" customHeight="1">
      <c r="A362" s="13"/>
      <c r="B362" s="13"/>
      <c r="C362" s="13"/>
      <c r="D362" s="13"/>
      <c r="E362" s="13"/>
      <c r="F362" s="13"/>
      <c r="G362" s="13"/>
    </row>
    <row r="363" ht="15.75" customHeight="1">
      <c r="A363" s="13"/>
      <c r="B363" s="13"/>
      <c r="C363" s="13"/>
      <c r="D363" s="13"/>
      <c r="E363" s="13"/>
      <c r="F363" s="13"/>
      <c r="G363" s="13"/>
    </row>
    <row r="364" ht="15.75" customHeight="1">
      <c r="A364" s="13"/>
      <c r="B364" s="13"/>
      <c r="C364" s="13"/>
      <c r="D364" s="13"/>
      <c r="E364" s="13"/>
      <c r="F364" s="13"/>
      <c r="G364" s="13"/>
    </row>
    <row r="365" ht="15.75" customHeight="1">
      <c r="A365" s="13"/>
      <c r="B365" s="13"/>
      <c r="C365" s="13"/>
      <c r="D365" s="13"/>
      <c r="E365" s="13"/>
      <c r="F365" s="13"/>
      <c r="G365" s="13"/>
    </row>
    <row r="366" ht="15.75" customHeight="1">
      <c r="A366" s="13"/>
      <c r="B366" s="13"/>
      <c r="C366" s="13"/>
      <c r="D366" s="13"/>
      <c r="E366" s="13"/>
      <c r="F366" s="13"/>
      <c r="G366" s="13"/>
    </row>
    <row r="367" ht="15.75" customHeight="1">
      <c r="A367" s="13"/>
      <c r="B367" s="13"/>
      <c r="C367" s="13"/>
      <c r="D367" s="13"/>
      <c r="E367" s="13"/>
      <c r="F367" s="13"/>
      <c r="G367" s="13"/>
    </row>
    <row r="368" ht="15.75" customHeight="1">
      <c r="A368" s="13"/>
      <c r="B368" s="13"/>
      <c r="C368" s="13"/>
      <c r="D368" s="13"/>
      <c r="E368" s="13"/>
      <c r="F368" s="13"/>
      <c r="G368" s="13"/>
    </row>
    <row r="369" ht="15.75" customHeight="1">
      <c r="A369" s="13"/>
      <c r="B369" s="13"/>
      <c r="C369" s="13"/>
      <c r="D369" s="13"/>
      <c r="E369" s="13"/>
      <c r="F369" s="13"/>
      <c r="G369" s="13"/>
    </row>
    <row r="370" ht="15.75" customHeight="1">
      <c r="A370" s="13"/>
      <c r="B370" s="13"/>
      <c r="C370" s="13"/>
      <c r="D370" s="13"/>
      <c r="E370" s="13"/>
      <c r="F370" s="13"/>
      <c r="G370" s="13"/>
    </row>
    <row r="371" ht="15.75" customHeight="1">
      <c r="A371" s="13"/>
      <c r="B371" s="13"/>
      <c r="C371" s="13"/>
      <c r="D371" s="13"/>
      <c r="E371" s="13"/>
      <c r="F371" s="13"/>
      <c r="G371" s="13"/>
    </row>
    <row r="372" ht="15.75" customHeight="1">
      <c r="A372" s="13"/>
      <c r="B372" s="13"/>
      <c r="C372" s="13"/>
      <c r="D372" s="13"/>
      <c r="E372" s="13"/>
      <c r="F372" s="13"/>
      <c r="G372" s="13"/>
    </row>
    <row r="373" ht="15.75" customHeight="1">
      <c r="A373" s="13"/>
      <c r="B373" s="13"/>
      <c r="C373" s="13"/>
      <c r="D373" s="13"/>
      <c r="E373" s="13"/>
      <c r="F373" s="13"/>
      <c r="G373" s="13"/>
    </row>
    <row r="374" ht="15.75" customHeight="1">
      <c r="A374" s="13"/>
      <c r="B374" s="13"/>
      <c r="C374" s="13"/>
      <c r="D374" s="13"/>
      <c r="E374" s="13"/>
      <c r="F374" s="13"/>
      <c r="G374" s="13"/>
    </row>
    <row r="375" ht="15.75" customHeight="1">
      <c r="A375" s="13"/>
      <c r="B375" s="13"/>
      <c r="C375" s="13"/>
      <c r="D375" s="13"/>
      <c r="E375" s="13"/>
      <c r="F375" s="13"/>
      <c r="G375" s="13"/>
    </row>
    <row r="376" ht="15.75" customHeight="1">
      <c r="A376" s="13"/>
      <c r="B376" s="13"/>
      <c r="C376" s="13"/>
      <c r="D376" s="13"/>
      <c r="E376" s="13"/>
      <c r="F376" s="13"/>
      <c r="G376" s="13"/>
    </row>
    <row r="377" ht="15.75" customHeight="1">
      <c r="A377" s="13"/>
      <c r="B377" s="13"/>
      <c r="C377" s="13"/>
      <c r="D377" s="13"/>
      <c r="E377" s="13"/>
      <c r="F377" s="13"/>
      <c r="G377" s="13"/>
    </row>
    <row r="378" ht="15.75" customHeight="1">
      <c r="A378" s="13"/>
      <c r="B378" s="13"/>
      <c r="C378" s="13"/>
      <c r="D378" s="13"/>
      <c r="E378" s="13"/>
      <c r="F378" s="13"/>
      <c r="G378" s="13"/>
    </row>
    <row r="379" ht="15.75" customHeight="1">
      <c r="A379" s="13"/>
      <c r="B379" s="13"/>
      <c r="C379" s="13"/>
      <c r="D379" s="13"/>
      <c r="E379" s="13"/>
      <c r="F379" s="13"/>
      <c r="G379" s="13"/>
    </row>
    <row r="380" ht="15.75" customHeight="1">
      <c r="A380" s="13"/>
      <c r="B380" s="13"/>
      <c r="C380" s="13"/>
      <c r="D380" s="13"/>
      <c r="E380" s="13"/>
      <c r="F380" s="13"/>
      <c r="G380" s="13"/>
    </row>
    <row r="381" ht="15.75" customHeight="1">
      <c r="A381" s="13"/>
      <c r="B381" s="13"/>
      <c r="C381" s="13"/>
      <c r="D381" s="13"/>
      <c r="E381" s="13"/>
      <c r="F381" s="13"/>
      <c r="G381" s="13"/>
    </row>
    <row r="382" ht="15.75" customHeight="1">
      <c r="A382" s="13"/>
      <c r="B382" s="13"/>
      <c r="C382" s="13"/>
      <c r="D382" s="13"/>
      <c r="E382" s="13"/>
      <c r="F382" s="13"/>
      <c r="G382" s="13"/>
    </row>
    <row r="383" ht="15.75" customHeight="1">
      <c r="A383" s="13"/>
      <c r="B383" s="13"/>
      <c r="C383" s="13"/>
      <c r="D383" s="13"/>
      <c r="E383" s="13"/>
      <c r="F383" s="13"/>
      <c r="G383" s="13"/>
    </row>
    <row r="384" ht="15.75" customHeight="1">
      <c r="A384" s="13"/>
      <c r="B384" s="13"/>
      <c r="C384" s="13"/>
      <c r="D384" s="13"/>
      <c r="E384" s="13"/>
      <c r="F384" s="13"/>
      <c r="G384" s="13"/>
    </row>
    <row r="385" ht="15.75" customHeight="1">
      <c r="A385" s="13"/>
      <c r="B385" s="13"/>
      <c r="C385" s="13"/>
      <c r="D385" s="13"/>
      <c r="E385" s="13"/>
      <c r="F385" s="13"/>
      <c r="G385" s="13"/>
    </row>
    <row r="386" ht="15.75" customHeight="1">
      <c r="A386" s="13"/>
      <c r="B386" s="13"/>
      <c r="C386" s="13"/>
      <c r="D386" s="13"/>
      <c r="E386" s="13"/>
      <c r="F386" s="13"/>
      <c r="G386" s="13"/>
    </row>
    <row r="387" ht="15.75" customHeight="1">
      <c r="A387" s="13"/>
      <c r="B387" s="13"/>
      <c r="C387" s="13"/>
      <c r="D387" s="13"/>
      <c r="E387" s="13"/>
      <c r="F387" s="13"/>
      <c r="G387" s="13"/>
    </row>
    <row r="388" ht="15.75" customHeight="1">
      <c r="A388" s="13"/>
      <c r="B388" s="13"/>
      <c r="C388" s="13"/>
      <c r="D388" s="13"/>
      <c r="E388" s="13"/>
      <c r="F388" s="13"/>
      <c r="G388" s="13"/>
    </row>
    <row r="389" ht="15.75" customHeight="1">
      <c r="A389" s="13"/>
      <c r="B389" s="13"/>
      <c r="C389" s="13"/>
      <c r="D389" s="13"/>
      <c r="E389" s="13"/>
      <c r="F389" s="13"/>
      <c r="G389" s="13"/>
    </row>
    <row r="390" ht="15.75" customHeight="1">
      <c r="A390" s="13"/>
      <c r="B390" s="13"/>
      <c r="C390" s="13"/>
      <c r="D390" s="13"/>
      <c r="E390" s="13"/>
      <c r="F390" s="13"/>
      <c r="G390" s="13"/>
    </row>
    <row r="391" ht="15.75" customHeight="1">
      <c r="A391" s="13"/>
      <c r="B391" s="13"/>
      <c r="C391" s="13"/>
      <c r="D391" s="13"/>
      <c r="E391" s="13"/>
      <c r="F391" s="13"/>
      <c r="G391" s="13"/>
    </row>
    <row r="392" ht="15.75" customHeight="1">
      <c r="A392" s="13"/>
      <c r="B392" s="13"/>
      <c r="C392" s="13"/>
      <c r="D392" s="13"/>
      <c r="E392" s="13"/>
      <c r="F392" s="13"/>
      <c r="G392" s="13"/>
    </row>
    <row r="393" ht="15.75" customHeight="1">
      <c r="A393" s="13"/>
      <c r="B393" s="13"/>
      <c r="C393" s="13"/>
      <c r="D393" s="13"/>
      <c r="E393" s="13"/>
      <c r="F393" s="13"/>
      <c r="G393" s="13"/>
    </row>
    <row r="394" ht="15.75" customHeight="1">
      <c r="A394" s="13"/>
      <c r="B394" s="13"/>
      <c r="C394" s="13"/>
      <c r="D394" s="13"/>
      <c r="E394" s="13"/>
      <c r="F394" s="13"/>
      <c r="G394" s="13"/>
    </row>
    <row r="395" ht="15.75" customHeight="1">
      <c r="A395" s="13"/>
      <c r="B395" s="13"/>
      <c r="C395" s="13"/>
      <c r="D395" s="13"/>
      <c r="E395" s="13"/>
      <c r="F395" s="13"/>
      <c r="G395" s="13"/>
    </row>
    <row r="396" ht="15.75" customHeight="1">
      <c r="A396" s="13"/>
      <c r="B396" s="13"/>
      <c r="C396" s="13"/>
      <c r="D396" s="13"/>
      <c r="E396" s="13"/>
      <c r="F396" s="13"/>
      <c r="G396" s="13"/>
    </row>
    <row r="397" ht="15.75" customHeight="1">
      <c r="A397" s="13"/>
      <c r="B397" s="13"/>
      <c r="C397" s="13"/>
      <c r="D397" s="13"/>
      <c r="E397" s="13"/>
      <c r="F397" s="13"/>
      <c r="G397" s="13"/>
    </row>
    <row r="398" ht="15.75" customHeight="1">
      <c r="A398" s="13"/>
      <c r="B398" s="13"/>
      <c r="C398" s="13"/>
      <c r="D398" s="13"/>
      <c r="E398" s="13"/>
      <c r="F398" s="13"/>
      <c r="G398" s="13"/>
    </row>
    <row r="399" ht="15.75" customHeight="1">
      <c r="A399" s="13"/>
      <c r="B399" s="13"/>
      <c r="C399" s="13"/>
      <c r="D399" s="13"/>
      <c r="E399" s="13"/>
      <c r="F399" s="13"/>
      <c r="G399" s="13"/>
    </row>
    <row r="400" ht="15.75" customHeight="1">
      <c r="A400" s="13"/>
      <c r="B400" s="13"/>
      <c r="C400" s="13"/>
      <c r="D400" s="13"/>
      <c r="E400" s="13"/>
      <c r="F400" s="13"/>
      <c r="G400" s="13"/>
    </row>
    <row r="401" ht="15.75" customHeight="1">
      <c r="A401" s="13"/>
      <c r="B401" s="13"/>
      <c r="C401" s="13"/>
      <c r="D401" s="13"/>
      <c r="E401" s="13"/>
      <c r="F401" s="13"/>
      <c r="G401" s="13"/>
    </row>
    <row r="402" ht="15.75" customHeight="1">
      <c r="A402" s="13"/>
      <c r="B402" s="13"/>
      <c r="C402" s="13"/>
      <c r="D402" s="13"/>
      <c r="E402" s="13"/>
      <c r="F402" s="13"/>
      <c r="G402" s="13"/>
    </row>
    <row r="403" ht="15.75" customHeight="1">
      <c r="A403" s="13"/>
      <c r="B403" s="13"/>
      <c r="C403" s="13"/>
      <c r="D403" s="13"/>
      <c r="E403" s="13"/>
      <c r="F403" s="13"/>
      <c r="G403" s="13"/>
    </row>
    <row r="404" ht="15.75" customHeight="1">
      <c r="A404" s="13"/>
      <c r="B404" s="13"/>
      <c r="C404" s="13"/>
      <c r="D404" s="13"/>
      <c r="E404" s="13"/>
      <c r="F404" s="13"/>
      <c r="G404" s="13"/>
    </row>
    <row r="405" ht="15.75" customHeight="1">
      <c r="A405" s="13"/>
      <c r="B405" s="13"/>
      <c r="C405" s="13"/>
      <c r="D405" s="13"/>
      <c r="E405" s="13"/>
      <c r="F405" s="13"/>
      <c r="G405" s="13"/>
    </row>
    <row r="406" ht="15.75" customHeight="1">
      <c r="A406" s="13"/>
      <c r="B406" s="13"/>
      <c r="C406" s="13"/>
      <c r="D406" s="13"/>
      <c r="E406" s="13"/>
      <c r="F406" s="13"/>
      <c r="G406" s="13"/>
    </row>
    <row r="407" ht="15.75" customHeight="1">
      <c r="A407" s="13"/>
      <c r="B407" s="13"/>
      <c r="C407" s="13"/>
      <c r="D407" s="13"/>
      <c r="E407" s="13"/>
      <c r="F407" s="13"/>
      <c r="G407" s="13"/>
    </row>
    <row r="408" ht="15.75" customHeight="1">
      <c r="A408" s="13"/>
      <c r="B408" s="13"/>
      <c r="C408" s="13"/>
      <c r="D408" s="13"/>
      <c r="E408" s="13"/>
      <c r="F408" s="13"/>
      <c r="G408" s="13"/>
    </row>
    <row r="409" ht="15.75" customHeight="1">
      <c r="A409" s="13"/>
      <c r="B409" s="13"/>
      <c r="C409" s="13"/>
      <c r="D409" s="13"/>
      <c r="E409" s="13"/>
      <c r="F409" s="13"/>
      <c r="G409" s="13"/>
    </row>
    <row r="410" ht="15.75" customHeight="1">
      <c r="A410" s="13"/>
      <c r="B410" s="13"/>
      <c r="C410" s="13"/>
      <c r="D410" s="13"/>
      <c r="E410" s="13"/>
      <c r="F410" s="13"/>
      <c r="G410" s="13"/>
    </row>
    <row r="411" ht="15.75" customHeight="1">
      <c r="A411" s="13"/>
      <c r="B411" s="13"/>
      <c r="C411" s="13"/>
      <c r="D411" s="13"/>
      <c r="E411" s="13"/>
      <c r="F411" s="13"/>
      <c r="G411" s="13"/>
    </row>
    <row r="412" ht="15.75" customHeight="1">
      <c r="A412" s="13"/>
      <c r="B412" s="13"/>
      <c r="C412" s="13"/>
      <c r="D412" s="13"/>
      <c r="E412" s="13"/>
      <c r="F412" s="13"/>
      <c r="G412" s="13"/>
    </row>
    <row r="413" ht="15.75" customHeight="1">
      <c r="A413" s="13"/>
      <c r="B413" s="13"/>
      <c r="C413" s="13"/>
      <c r="D413" s="13"/>
      <c r="E413" s="13"/>
      <c r="F413" s="13"/>
      <c r="G413" s="13"/>
    </row>
    <row r="414" ht="15.75" customHeight="1">
      <c r="A414" s="13"/>
      <c r="B414" s="13"/>
      <c r="C414" s="13"/>
      <c r="D414" s="13"/>
      <c r="E414" s="13"/>
      <c r="F414" s="13"/>
      <c r="G414" s="13"/>
    </row>
    <row r="415" ht="15.75" customHeight="1">
      <c r="A415" s="13"/>
      <c r="B415" s="13"/>
      <c r="C415" s="13"/>
      <c r="D415" s="13"/>
      <c r="E415" s="13"/>
      <c r="F415" s="13"/>
      <c r="G415" s="13"/>
    </row>
    <row r="416" ht="15.75" customHeight="1">
      <c r="A416" s="13"/>
      <c r="B416" s="13"/>
      <c r="C416" s="13"/>
      <c r="D416" s="13"/>
      <c r="E416" s="13"/>
      <c r="F416" s="13"/>
      <c r="G416" s="13"/>
    </row>
    <row r="417" ht="15.75" customHeight="1">
      <c r="A417" s="13"/>
      <c r="B417" s="13"/>
      <c r="C417" s="13"/>
      <c r="D417" s="13"/>
      <c r="E417" s="13"/>
      <c r="F417" s="13"/>
      <c r="G417" s="13"/>
    </row>
    <row r="418" ht="15.75" customHeight="1">
      <c r="A418" s="13"/>
      <c r="B418" s="13"/>
      <c r="C418" s="13"/>
      <c r="D418" s="13"/>
      <c r="E418" s="13"/>
      <c r="F418" s="13"/>
      <c r="G418" s="13"/>
    </row>
    <row r="419" ht="15.75" customHeight="1">
      <c r="A419" s="13"/>
      <c r="B419" s="13"/>
      <c r="C419" s="13"/>
      <c r="D419" s="13"/>
      <c r="E419" s="13"/>
      <c r="F419" s="13"/>
      <c r="G419" s="13"/>
    </row>
    <row r="420" ht="15.75" customHeight="1">
      <c r="A420" s="13"/>
      <c r="B420" s="13"/>
      <c r="C420" s="13"/>
      <c r="D420" s="13"/>
      <c r="E420" s="13"/>
      <c r="F420" s="13"/>
      <c r="G420" s="13"/>
    </row>
    <row r="421" ht="15.75" customHeight="1">
      <c r="A421" s="13"/>
      <c r="B421" s="13"/>
      <c r="C421" s="13"/>
      <c r="D421" s="13"/>
      <c r="E421" s="13"/>
      <c r="F421" s="13"/>
      <c r="G421" s="13"/>
    </row>
    <row r="422" ht="15.75" customHeight="1">
      <c r="A422" s="13"/>
      <c r="B422" s="13"/>
      <c r="C422" s="13"/>
      <c r="D422" s="13"/>
      <c r="E422" s="13"/>
      <c r="F422" s="13"/>
      <c r="G422" s="13"/>
    </row>
    <row r="423" ht="15.75" customHeight="1">
      <c r="A423" s="13"/>
      <c r="B423" s="13"/>
      <c r="C423" s="13"/>
      <c r="D423" s="13"/>
      <c r="E423" s="13"/>
      <c r="F423" s="13"/>
      <c r="G423" s="13"/>
    </row>
    <row r="424" ht="15.75" customHeight="1">
      <c r="A424" s="13"/>
      <c r="B424" s="13"/>
      <c r="C424" s="13"/>
      <c r="D424" s="13"/>
      <c r="E424" s="13"/>
      <c r="F424" s="13"/>
      <c r="G424" s="13"/>
    </row>
    <row r="425" ht="15.75" customHeight="1">
      <c r="A425" s="13"/>
      <c r="B425" s="13"/>
      <c r="C425" s="13"/>
      <c r="D425" s="13"/>
      <c r="E425" s="13"/>
      <c r="F425" s="13"/>
      <c r="G425" s="13"/>
    </row>
    <row r="426" ht="15.75" customHeight="1">
      <c r="A426" s="13"/>
      <c r="B426" s="13"/>
      <c r="C426" s="13"/>
      <c r="D426" s="13"/>
      <c r="E426" s="13"/>
      <c r="F426" s="13"/>
      <c r="G426" s="13"/>
    </row>
    <row r="427" ht="15.75" customHeight="1">
      <c r="A427" s="13"/>
      <c r="B427" s="13"/>
      <c r="C427" s="13"/>
      <c r="D427" s="13"/>
      <c r="E427" s="13"/>
      <c r="F427" s="13"/>
      <c r="G427" s="13"/>
    </row>
    <row r="428" ht="15.75" customHeight="1">
      <c r="A428" s="13"/>
      <c r="B428" s="13"/>
      <c r="C428" s="13"/>
      <c r="D428" s="13"/>
      <c r="E428" s="13"/>
      <c r="F428" s="13"/>
      <c r="G428" s="13"/>
    </row>
    <row r="429" ht="15.75" customHeight="1">
      <c r="A429" s="13"/>
      <c r="B429" s="13"/>
      <c r="C429" s="13"/>
      <c r="D429" s="13"/>
      <c r="E429" s="13"/>
      <c r="F429" s="13"/>
      <c r="G429" s="13"/>
    </row>
    <row r="430" ht="15.75" customHeight="1">
      <c r="A430" s="13"/>
      <c r="B430" s="13"/>
      <c r="C430" s="13"/>
      <c r="D430" s="13"/>
      <c r="E430" s="13"/>
      <c r="F430" s="13"/>
      <c r="G430" s="13"/>
    </row>
    <row r="431" ht="15.75" customHeight="1">
      <c r="A431" s="13"/>
      <c r="B431" s="13"/>
      <c r="C431" s="13"/>
      <c r="D431" s="13"/>
      <c r="E431" s="13"/>
      <c r="F431" s="13"/>
      <c r="G431" s="13"/>
    </row>
    <row r="432" ht="15.75" customHeight="1">
      <c r="A432" s="13"/>
      <c r="B432" s="13"/>
      <c r="C432" s="13"/>
      <c r="D432" s="13"/>
      <c r="E432" s="13"/>
      <c r="F432" s="13"/>
      <c r="G432" s="13"/>
    </row>
    <row r="433" ht="15.75" customHeight="1">
      <c r="A433" s="13"/>
      <c r="B433" s="13"/>
      <c r="C433" s="13"/>
      <c r="D433" s="13"/>
      <c r="E433" s="13"/>
      <c r="F433" s="13"/>
      <c r="G433" s="13"/>
    </row>
    <row r="434" ht="15.75" customHeight="1">
      <c r="A434" s="13"/>
      <c r="B434" s="13"/>
      <c r="C434" s="13"/>
      <c r="D434" s="13"/>
      <c r="E434" s="13"/>
      <c r="F434" s="13"/>
      <c r="G434" s="13"/>
    </row>
    <row r="435" ht="15.75" customHeight="1">
      <c r="A435" s="13"/>
      <c r="B435" s="13"/>
      <c r="C435" s="13"/>
      <c r="D435" s="13"/>
      <c r="E435" s="13"/>
      <c r="F435" s="13"/>
      <c r="G435" s="13"/>
    </row>
    <row r="436" ht="15.75" customHeight="1">
      <c r="A436" s="13"/>
      <c r="B436" s="13"/>
      <c r="C436" s="13"/>
      <c r="D436" s="13"/>
      <c r="E436" s="13"/>
      <c r="F436" s="13"/>
      <c r="G436" s="13"/>
    </row>
    <row r="437" ht="15.75" customHeight="1">
      <c r="A437" s="13"/>
      <c r="B437" s="13"/>
      <c r="C437" s="13"/>
      <c r="D437" s="13"/>
      <c r="E437" s="13"/>
      <c r="F437" s="13"/>
      <c r="G437" s="13"/>
    </row>
    <row r="438" ht="15.75" customHeight="1">
      <c r="A438" s="13"/>
      <c r="B438" s="13"/>
      <c r="C438" s="13"/>
      <c r="D438" s="13"/>
      <c r="E438" s="13"/>
      <c r="F438" s="13"/>
      <c r="G438" s="13"/>
    </row>
    <row r="439" ht="15.75" customHeight="1">
      <c r="A439" s="13"/>
      <c r="B439" s="13"/>
      <c r="C439" s="13"/>
      <c r="D439" s="13"/>
      <c r="E439" s="13"/>
      <c r="F439" s="13"/>
      <c r="G439" s="13"/>
    </row>
    <row r="440" ht="15.75" customHeight="1">
      <c r="A440" s="13"/>
      <c r="B440" s="13"/>
      <c r="C440" s="13"/>
      <c r="D440" s="13"/>
      <c r="E440" s="13"/>
      <c r="F440" s="13"/>
      <c r="G440" s="13"/>
    </row>
    <row r="441" ht="15.75" customHeight="1">
      <c r="A441" s="13"/>
      <c r="B441" s="13"/>
      <c r="C441" s="13"/>
      <c r="D441" s="13"/>
      <c r="E441" s="13"/>
      <c r="F441" s="13"/>
      <c r="G441" s="13"/>
    </row>
    <row r="442" ht="15.75" customHeight="1">
      <c r="A442" s="13"/>
      <c r="B442" s="13"/>
      <c r="C442" s="13"/>
      <c r="D442" s="13"/>
      <c r="E442" s="13"/>
      <c r="F442" s="13"/>
      <c r="G442" s="13"/>
    </row>
    <row r="443" ht="15.75" customHeight="1">
      <c r="A443" s="13"/>
      <c r="B443" s="13"/>
      <c r="C443" s="13"/>
      <c r="D443" s="13"/>
      <c r="E443" s="13"/>
      <c r="F443" s="13"/>
      <c r="G443" s="13"/>
    </row>
    <row r="444" ht="15.75" customHeight="1">
      <c r="A444" s="13"/>
      <c r="B444" s="13"/>
      <c r="C444" s="13"/>
      <c r="D444" s="13"/>
      <c r="E444" s="13"/>
      <c r="F444" s="13"/>
      <c r="G444" s="13"/>
    </row>
    <row r="445" ht="15.75" customHeight="1">
      <c r="A445" s="13"/>
      <c r="B445" s="13"/>
      <c r="C445" s="13"/>
      <c r="D445" s="13"/>
      <c r="E445" s="13"/>
      <c r="F445" s="13"/>
      <c r="G445" s="13"/>
    </row>
    <row r="446" ht="15.75" customHeight="1">
      <c r="A446" s="13"/>
      <c r="B446" s="13"/>
      <c r="C446" s="13"/>
      <c r="D446" s="13"/>
      <c r="E446" s="13"/>
      <c r="F446" s="13"/>
      <c r="G446" s="13"/>
    </row>
    <row r="447" ht="15.75" customHeight="1">
      <c r="A447" s="13"/>
      <c r="B447" s="13"/>
      <c r="C447" s="13"/>
      <c r="D447" s="13"/>
      <c r="E447" s="13"/>
      <c r="F447" s="13"/>
      <c r="G447" s="13"/>
    </row>
    <row r="448" ht="15.75" customHeight="1">
      <c r="A448" s="13"/>
      <c r="B448" s="13"/>
      <c r="C448" s="13"/>
      <c r="D448" s="13"/>
      <c r="E448" s="13"/>
      <c r="F448" s="13"/>
      <c r="G448" s="13"/>
    </row>
    <row r="449" ht="15.75" customHeight="1">
      <c r="A449" s="13"/>
      <c r="B449" s="13"/>
      <c r="C449" s="13"/>
      <c r="D449" s="13"/>
      <c r="E449" s="13"/>
      <c r="F449" s="13"/>
      <c r="G449" s="13"/>
    </row>
    <row r="450" ht="15.75" customHeight="1">
      <c r="A450" s="13"/>
      <c r="B450" s="13"/>
      <c r="C450" s="13"/>
      <c r="D450" s="13"/>
      <c r="E450" s="13"/>
      <c r="F450" s="13"/>
      <c r="G450" s="13"/>
    </row>
    <row r="451" ht="15.75" customHeight="1">
      <c r="A451" s="13"/>
      <c r="B451" s="13"/>
      <c r="C451" s="13"/>
      <c r="D451" s="13"/>
      <c r="E451" s="13"/>
      <c r="F451" s="13"/>
      <c r="G451" s="13"/>
    </row>
    <row r="452" ht="15.75" customHeight="1">
      <c r="A452" s="13"/>
      <c r="B452" s="13"/>
      <c r="C452" s="13"/>
      <c r="D452" s="13"/>
      <c r="E452" s="13"/>
      <c r="F452" s="13"/>
      <c r="G452" s="13"/>
    </row>
    <row r="453" ht="15.75" customHeight="1">
      <c r="A453" s="13"/>
      <c r="B453" s="13"/>
      <c r="C453" s="13"/>
      <c r="D453" s="13"/>
      <c r="E453" s="13"/>
      <c r="F453" s="13"/>
      <c r="G453" s="13"/>
    </row>
    <row r="454" ht="15.75" customHeight="1">
      <c r="A454" s="13"/>
      <c r="B454" s="13"/>
      <c r="C454" s="13"/>
      <c r="D454" s="13"/>
      <c r="E454" s="13"/>
      <c r="F454" s="13"/>
      <c r="G454" s="13"/>
    </row>
    <row r="455" ht="15.75" customHeight="1">
      <c r="A455" s="13"/>
      <c r="B455" s="13"/>
      <c r="C455" s="13"/>
      <c r="D455" s="13"/>
      <c r="E455" s="13"/>
      <c r="F455" s="13"/>
      <c r="G455" s="13"/>
    </row>
    <row r="456" ht="15.75" customHeight="1">
      <c r="A456" s="13"/>
      <c r="B456" s="13"/>
      <c r="C456" s="13"/>
      <c r="D456" s="13"/>
      <c r="E456" s="13"/>
      <c r="F456" s="13"/>
      <c r="G456" s="13"/>
    </row>
    <row r="457" ht="15.75" customHeight="1">
      <c r="A457" s="13"/>
      <c r="B457" s="13"/>
      <c r="C457" s="13"/>
      <c r="D457" s="13"/>
      <c r="E457" s="13"/>
      <c r="F457" s="13"/>
      <c r="G457" s="13"/>
    </row>
    <row r="458" ht="15.75" customHeight="1">
      <c r="A458" s="13"/>
      <c r="B458" s="13"/>
      <c r="C458" s="13"/>
      <c r="D458" s="13"/>
      <c r="E458" s="13"/>
      <c r="F458" s="13"/>
      <c r="G458" s="13"/>
    </row>
    <row r="459" ht="15.75" customHeight="1">
      <c r="A459" s="13"/>
      <c r="B459" s="13"/>
      <c r="C459" s="13"/>
      <c r="D459" s="13"/>
      <c r="E459" s="13"/>
      <c r="F459" s="13"/>
      <c r="G459" s="13"/>
    </row>
    <row r="460" ht="15.75" customHeight="1">
      <c r="A460" s="13"/>
      <c r="B460" s="13"/>
      <c r="C460" s="13"/>
      <c r="D460" s="13"/>
      <c r="E460" s="13"/>
      <c r="F460" s="13"/>
      <c r="G460" s="13"/>
    </row>
    <row r="461" ht="15.75" customHeight="1">
      <c r="A461" s="13"/>
      <c r="B461" s="13"/>
      <c r="C461" s="13"/>
      <c r="D461" s="13"/>
      <c r="E461" s="13"/>
      <c r="F461" s="13"/>
      <c r="G461" s="13"/>
    </row>
    <row r="462" ht="15.75" customHeight="1">
      <c r="A462" s="13"/>
      <c r="B462" s="13"/>
      <c r="C462" s="13"/>
      <c r="D462" s="13"/>
      <c r="E462" s="13"/>
      <c r="F462" s="13"/>
      <c r="G462" s="13"/>
    </row>
    <row r="463" ht="15.75" customHeight="1">
      <c r="A463" s="13"/>
      <c r="B463" s="13"/>
      <c r="C463" s="13"/>
      <c r="D463" s="13"/>
      <c r="E463" s="13"/>
      <c r="F463" s="13"/>
      <c r="G463" s="13"/>
    </row>
    <row r="464" ht="15.75" customHeight="1">
      <c r="A464" s="13"/>
      <c r="B464" s="13"/>
      <c r="C464" s="13"/>
      <c r="D464" s="13"/>
      <c r="E464" s="13"/>
      <c r="F464" s="13"/>
      <c r="G464" s="13"/>
    </row>
    <row r="465" ht="15.75" customHeight="1">
      <c r="A465" s="13"/>
      <c r="B465" s="13"/>
      <c r="C465" s="13"/>
      <c r="D465" s="13"/>
      <c r="E465" s="13"/>
      <c r="F465" s="13"/>
      <c r="G465" s="13"/>
    </row>
    <row r="466" ht="15.75" customHeight="1">
      <c r="A466" s="13"/>
      <c r="B466" s="13"/>
      <c r="C466" s="13"/>
      <c r="D466" s="13"/>
      <c r="E466" s="13"/>
      <c r="F466" s="13"/>
      <c r="G466" s="13"/>
    </row>
    <row r="467" ht="15.75" customHeight="1">
      <c r="A467" s="13"/>
      <c r="B467" s="13"/>
      <c r="C467" s="13"/>
      <c r="D467" s="13"/>
      <c r="E467" s="13"/>
      <c r="F467" s="13"/>
      <c r="G467" s="13"/>
    </row>
    <row r="468" ht="15.75" customHeight="1">
      <c r="A468" s="13"/>
      <c r="B468" s="13"/>
      <c r="C468" s="13"/>
      <c r="D468" s="13"/>
      <c r="E468" s="13"/>
      <c r="F468" s="13"/>
      <c r="G468" s="13"/>
    </row>
    <row r="469" ht="15.75" customHeight="1">
      <c r="A469" s="13"/>
      <c r="B469" s="13"/>
      <c r="C469" s="13"/>
      <c r="D469" s="13"/>
      <c r="E469" s="13"/>
      <c r="F469" s="13"/>
      <c r="G469" s="13"/>
    </row>
    <row r="470" ht="15.75" customHeight="1">
      <c r="A470" s="13"/>
      <c r="B470" s="13"/>
      <c r="C470" s="13"/>
      <c r="D470" s="13"/>
      <c r="E470" s="13"/>
      <c r="F470" s="13"/>
      <c r="G470" s="13"/>
    </row>
    <row r="471" ht="15.75" customHeight="1">
      <c r="A471" s="13"/>
      <c r="B471" s="13"/>
      <c r="C471" s="13"/>
      <c r="D471" s="13"/>
      <c r="E471" s="13"/>
      <c r="F471" s="13"/>
      <c r="G471" s="13"/>
    </row>
    <row r="472" ht="15.75" customHeight="1">
      <c r="A472" s="13"/>
      <c r="B472" s="13"/>
      <c r="C472" s="13"/>
      <c r="D472" s="13"/>
      <c r="E472" s="13"/>
      <c r="F472" s="13"/>
      <c r="G472" s="13"/>
    </row>
    <row r="473" ht="15.75" customHeight="1">
      <c r="A473" s="13"/>
      <c r="B473" s="13"/>
      <c r="C473" s="13"/>
      <c r="D473" s="13"/>
      <c r="E473" s="13"/>
      <c r="F473" s="13"/>
      <c r="G473" s="13"/>
    </row>
    <row r="474" ht="15.75" customHeight="1">
      <c r="A474" s="13"/>
      <c r="B474" s="13"/>
      <c r="C474" s="13"/>
      <c r="D474" s="13"/>
      <c r="E474" s="13"/>
      <c r="F474" s="13"/>
      <c r="G474" s="13"/>
    </row>
    <row r="475" ht="15.75" customHeight="1">
      <c r="A475" s="13"/>
      <c r="B475" s="13"/>
      <c r="C475" s="13"/>
      <c r="D475" s="13"/>
      <c r="E475" s="13"/>
      <c r="F475" s="13"/>
      <c r="G475" s="13"/>
    </row>
    <row r="476" ht="15.75" customHeight="1">
      <c r="A476" s="13"/>
      <c r="B476" s="13"/>
      <c r="C476" s="13"/>
      <c r="D476" s="13"/>
      <c r="E476" s="13"/>
      <c r="F476" s="13"/>
      <c r="G476" s="13"/>
    </row>
    <row r="477" ht="15.75" customHeight="1">
      <c r="A477" s="13"/>
      <c r="B477" s="13"/>
      <c r="C477" s="13"/>
      <c r="D477" s="13"/>
      <c r="E477" s="13"/>
      <c r="F477" s="13"/>
      <c r="G477" s="13"/>
    </row>
    <row r="478" ht="15.75" customHeight="1">
      <c r="A478" s="13"/>
      <c r="B478" s="13"/>
      <c r="C478" s="13"/>
      <c r="D478" s="13"/>
      <c r="E478" s="13"/>
      <c r="F478" s="13"/>
      <c r="G478" s="13"/>
    </row>
    <row r="479" ht="15.75" customHeight="1">
      <c r="A479" s="13"/>
      <c r="B479" s="13"/>
      <c r="C479" s="13"/>
      <c r="D479" s="13"/>
      <c r="E479" s="13"/>
      <c r="F479" s="13"/>
      <c r="G479" s="13"/>
    </row>
    <row r="480" ht="15.75" customHeight="1">
      <c r="A480" s="13"/>
      <c r="B480" s="13"/>
      <c r="C480" s="13"/>
      <c r="D480" s="13"/>
      <c r="E480" s="13"/>
      <c r="F480" s="13"/>
      <c r="G480" s="13"/>
    </row>
    <row r="481" ht="15.75" customHeight="1">
      <c r="A481" s="13"/>
      <c r="B481" s="13"/>
      <c r="C481" s="13"/>
      <c r="D481" s="13"/>
      <c r="E481" s="13"/>
      <c r="F481" s="13"/>
      <c r="G481" s="13"/>
    </row>
    <row r="482" ht="15.75" customHeight="1">
      <c r="A482" s="13"/>
      <c r="B482" s="13"/>
      <c r="C482" s="13"/>
      <c r="D482" s="13"/>
      <c r="E482" s="13"/>
      <c r="F482" s="13"/>
      <c r="G482" s="13"/>
    </row>
    <row r="483" ht="15.75" customHeight="1">
      <c r="A483" s="13"/>
      <c r="B483" s="13"/>
      <c r="C483" s="13"/>
      <c r="D483" s="13"/>
      <c r="E483" s="13"/>
      <c r="F483" s="13"/>
      <c r="G483" s="13"/>
    </row>
    <row r="484" ht="15.75" customHeight="1">
      <c r="A484" s="13"/>
      <c r="B484" s="13"/>
      <c r="C484" s="13"/>
      <c r="D484" s="13"/>
      <c r="E484" s="13"/>
      <c r="F484" s="13"/>
      <c r="G484" s="13"/>
    </row>
    <row r="485" ht="15.75" customHeight="1">
      <c r="A485" s="13"/>
      <c r="B485" s="13"/>
      <c r="C485" s="13"/>
      <c r="D485" s="13"/>
      <c r="E485" s="13"/>
      <c r="F485" s="13"/>
      <c r="G485" s="13"/>
    </row>
    <row r="486" ht="15.75" customHeight="1">
      <c r="A486" s="13"/>
      <c r="B486" s="13"/>
      <c r="C486" s="13"/>
      <c r="D486" s="13"/>
      <c r="E486" s="13"/>
      <c r="F486" s="13"/>
      <c r="G486" s="13"/>
    </row>
    <row r="487" ht="15.75" customHeight="1">
      <c r="A487" s="13"/>
      <c r="B487" s="13"/>
      <c r="C487" s="13"/>
      <c r="D487" s="13"/>
      <c r="E487" s="13"/>
      <c r="F487" s="13"/>
      <c r="G487" s="13"/>
    </row>
    <row r="488" ht="15.75" customHeight="1">
      <c r="A488" s="13"/>
      <c r="B488" s="13"/>
      <c r="C488" s="13"/>
      <c r="D488" s="13"/>
      <c r="E488" s="13"/>
      <c r="F488" s="13"/>
      <c r="G488" s="13"/>
    </row>
    <row r="489" ht="15.75" customHeight="1">
      <c r="A489" s="13"/>
      <c r="B489" s="13"/>
      <c r="C489" s="13"/>
      <c r="D489" s="13"/>
      <c r="E489" s="13"/>
      <c r="F489" s="13"/>
      <c r="G489" s="13"/>
    </row>
    <row r="490" ht="15.75" customHeight="1">
      <c r="A490" s="13"/>
      <c r="B490" s="13"/>
      <c r="C490" s="13"/>
      <c r="D490" s="13"/>
      <c r="E490" s="13"/>
      <c r="F490" s="13"/>
      <c r="G490" s="13"/>
    </row>
    <row r="491" ht="15.75" customHeight="1">
      <c r="A491" s="13"/>
      <c r="B491" s="13"/>
      <c r="C491" s="13"/>
      <c r="D491" s="13"/>
      <c r="E491" s="13"/>
      <c r="F491" s="13"/>
      <c r="G491" s="13"/>
    </row>
    <row r="492" ht="15.75" customHeight="1">
      <c r="A492" s="13"/>
      <c r="B492" s="13"/>
      <c r="C492" s="13"/>
      <c r="D492" s="13"/>
      <c r="E492" s="13"/>
      <c r="F492" s="13"/>
      <c r="G492" s="13"/>
    </row>
    <row r="493" ht="15.75" customHeight="1">
      <c r="A493" s="13"/>
      <c r="B493" s="13"/>
      <c r="C493" s="13"/>
      <c r="D493" s="13"/>
      <c r="E493" s="13"/>
      <c r="F493" s="13"/>
      <c r="G493" s="13"/>
    </row>
    <row r="494" ht="15.75" customHeight="1">
      <c r="A494" s="13"/>
      <c r="B494" s="13"/>
      <c r="C494" s="13"/>
      <c r="D494" s="13"/>
      <c r="E494" s="13"/>
      <c r="F494" s="13"/>
      <c r="G494" s="13"/>
    </row>
    <row r="495" ht="15.75" customHeight="1">
      <c r="A495" s="13"/>
      <c r="B495" s="13"/>
      <c r="C495" s="13"/>
      <c r="D495" s="13"/>
      <c r="E495" s="13"/>
      <c r="F495" s="13"/>
      <c r="G495" s="13"/>
    </row>
    <row r="496" ht="15.75" customHeight="1">
      <c r="A496" s="13"/>
      <c r="B496" s="13"/>
      <c r="C496" s="13"/>
      <c r="D496" s="13"/>
      <c r="E496" s="13"/>
      <c r="F496" s="13"/>
      <c r="G496" s="13"/>
    </row>
    <row r="497" ht="15.75" customHeight="1">
      <c r="A497" s="13"/>
      <c r="B497" s="13"/>
      <c r="C497" s="13"/>
      <c r="D497" s="13"/>
      <c r="E497" s="13"/>
      <c r="F497" s="13"/>
      <c r="G497" s="13"/>
    </row>
    <row r="498" ht="15.75" customHeight="1">
      <c r="A498" s="13"/>
      <c r="B498" s="13"/>
      <c r="C498" s="13"/>
      <c r="D498" s="13"/>
      <c r="E498" s="13"/>
      <c r="F498" s="13"/>
      <c r="G498" s="13"/>
    </row>
    <row r="499" ht="15.75" customHeight="1">
      <c r="A499" s="13"/>
      <c r="B499" s="13"/>
      <c r="C499" s="13"/>
      <c r="D499" s="13"/>
      <c r="E499" s="13"/>
      <c r="F499" s="13"/>
      <c r="G499" s="13"/>
    </row>
    <row r="500" ht="15.75" customHeight="1">
      <c r="A500" s="13"/>
      <c r="B500" s="13"/>
      <c r="C500" s="13"/>
      <c r="D500" s="13"/>
      <c r="E500" s="13"/>
      <c r="F500" s="13"/>
      <c r="G500" s="13"/>
    </row>
    <row r="501" ht="15.75" customHeight="1">
      <c r="A501" s="13"/>
      <c r="B501" s="13"/>
      <c r="C501" s="13"/>
      <c r="D501" s="13"/>
      <c r="E501" s="13"/>
      <c r="F501" s="13"/>
      <c r="G501" s="13"/>
    </row>
    <row r="502" ht="15.75" customHeight="1">
      <c r="A502" s="13"/>
      <c r="B502" s="13"/>
      <c r="C502" s="13"/>
      <c r="D502" s="13"/>
      <c r="E502" s="13"/>
      <c r="F502" s="13"/>
      <c r="G502" s="13"/>
    </row>
    <row r="503" ht="15.75" customHeight="1">
      <c r="A503" s="13"/>
      <c r="B503" s="13"/>
      <c r="C503" s="13"/>
      <c r="D503" s="13"/>
      <c r="E503" s="13"/>
      <c r="F503" s="13"/>
      <c r="G503" s="13"/>
    </row>
    <row r="504" ht="15.75" customHeight="1">
      <c r="A504" s="13"/>
      <c r="B504" s="13"/>
      <c r="C504" s="13"/>
      <c r="D504" s="13"/>
      <c r="E504" s="13"/>
      <c r="F504" s="13"/>
      <c r="G504" s="13"/>
    </row>
    <row r="505" ht="15.75" customHeight="1">
      <c r="A505" s="13"/>
      <c r="B505" s="13"/>
      <c r="C505" s="13"/>
      <c r="D505" s="13"/>
      <c r="E505" s="13"/>
      <c r="F505" s="13"/>
      <c r="G505" s="13"/>
    </row>
    <row r="506" ht="15.75" customHeight="1">
      <c r="A506" s="13"/>
      <c r="B506" s="13"/>
      <c r="C506" s="13"/>
      <c r="D506" s="13"/>
      <c r="E506" s="13"/>
      <c r="F506" s="13"/>
      <c r="G506" s="13"/>
    </row>
    <row r="507" ht="15.75" customHeight="1">
      <c r="A507" s="13"/>
      <c r="B507" s="13"/>
      <c r="C507" s="13"/>
      <c r="D507" s="13"/>
      <c r="E507" s="13"/>
      <c r="F507" s="13"/>
      <c r="G507" s="13"/>
    </row>
    <row r="508" ht="15.75" customHeight="1">
      <c r="A508" s="13"/>
      <c r="B508" s="13"/>
      <c r="C508" s="13"/>
      <c r="D508" s="13"/>
      <c r="E508" s="13"/>
      <c r="F508" s="13"/>
      <c r="G508" s="13"/>
    </row>
    <row r="509" ht="15.75" customHeight="1">
      <c r="A509" s="13"/>
      <c r="B509" s="13"/>
      <c r="C509" s="13"/>
      <c r="D509" s="13"/>
      <c r="E509" s="13"/>
      <c r="F509" s="13"/>
      <c r="G509" s="13"/>
    </row>
    <row r="510" ht="15.75" customHeight="1">
      <c r="A510" s="13"/>
      <c r="B510" s="13"/>
      <c r="C510" s="13"/>
      <c r="D510" s="13"/>
      <c r="E510" s="13"/>
      <c r="F510" s="13"/>
      <c r="G510" s="13"/>
    </row>
    <row r="511" ht="15.75" customHeight="1">
      <c r="A511" s="13"/>
      <c r="B511" s="13"/>
      <c r="C511" s="13"/>
      <c r="D511" s="13"/>
      <c r="E511" s="13"/>
      <c r="F511" s="13"/>
      <c r="G511" s="13"/>
    </row>
    <row r="512" ht="15.75" customHeight="1">
      <c r="A512" s="13"/>
      <c r="B512" s="13"/>
      <c r="C512" s="13"/>
      <c r="D512" s="13"/>
      <c r="E512" s="13"/>
      <c r="F512" s="13"/>
      <c r="G512" s="13"/>
    </row>
    <row r="513" ht="15.75" customHeight="1">
      <c r="A513" s="13"/>
      <c r="B513" s="13"/>
      <c r="C513" s="13"/>
      <c r="D513" s="13"/>
      <c r="E513" s="13"/>
      <c r="F513" s="13"/>
      <c r="G513" s="13"/>
    </row>
    <row r="514" ht="15.75" customHeight="1">
      <c r="A514" s="13"/>
      <c r="B514" s="13"/>
      <c r="C514" s="13"/>
      <c r="D514" s="13"/>
      <c r="E514" s="13"/>
      <c r="F514" s="13"/>
      <c r="G514" s="13"/>
    </row>
    <row r="515" ht="15.75" customHeight="1">
      <c r="A515" s="13"/>
      <c r="B515" s="13"/>
      <c r="C515" s="13"/>
      <c r="D515" s="13"/>
      <c r="E515" s="13"/>
      <c r="F515" s="13"/>
      <c r="G515" s="13"/>
    </row>
    <row r="516" ht="15.75" customHeight="1">
      <c r="A516" s="13"/>
      <c r="B516" s="13"/>
      <c r="C516" s="13"/>
      <c r="D516" s="13"/>
      <c r="E516" s="13"/>
      <c r="F516" s="13"/>
      <c r="G516" s="13"/>
    </row>
    <row r="517" ht="15.75" customHeight="1">
      <c r="A517" s="13"/>
      <c r="B517" s="13"/>
      <c r="C517" s="13"/>
      <c r="D517" s="13"/>
      <c r="E517" s="13"/>
      <c r="F517" s="13"/>
      <c r="G517" s="13"/>
    </row>
    <row r="518" ht="15.75" customHeight="1">
      <c r="A518" s="13"/>
      <c r="B518" s="13"/>
      <c r="C518" s="13"/>
      <c r="D518" s="13"/>
      <c r="E518" s="13"/>
      <c r="F518" s="13"/>
      <c r="G518" s="13"/>
    </row>
    <row r="519" ht="15.75" customHeight="1">
      <c r="A519" s="13"/>
      <c r="B519" s="13"/>
      <c r="C519" s="13"/>
      <c r="D519" s="13"/>
      <c r="E519" s="13"/>
      <c r="F519" s="13"/>
      <c r="G519" s="13"/>
    </row>
    <row r="520" ht="15.75" customHeight="1">
      <c r="A520" s="13"/>
      <c r="B520" s="13"/>
      <c r="C520" s="13"/>
      <c r="D520" s="13"/>
      <c r="E520" s="13"/>
      <c r="F520" s="13"/>
      <c r="G520" s="13"/>
    </row>
    <row r="521" ht="15.75" customHeight="1">
      <c r="A521" s="13"/>
      <c r="B521" s="13"/>
      <c r="C521" s="13"/>
      <c r="D521" s="13"/>
      <c r="E521" s="13"/>
      <c r="F521" s="13"/>
      <c r="G521" s="13"/>
    </row>
    <row r="522" ht="15.75" customHeight="1">
      <c r="A522" s="13"/>
      <c r="B522" s="13"/>
      <c r="C522" s="13"/>
      <c r="D522" s="13"/>
      <c r="E522" s="13"/>
      <c r="F522" s="13"/>
      <c r="G522" s="13"/>
    </row>
    <row r="523" ht="15.75" customHeight="1">
      <c r="A523" s="13"/>
      <c r="B523" s="13"/>
      <c r="C523" s="13"/>
      <c r="D523" s="13"/>
      <c r="E523" s="13"/>
      <c r="F523" s="13"/>
      <c r="G523" s="13"/>
    </row>
    <row r="524" ht="15.75" customHeight="1">
      <c r="A524" s="13"/>
      <c r="B524" s="13"/>
      <c r="C524" s="13"/>
      <c r="D524" s="13"/>
      <c r="E524" s="13"/>
      <c r="F524" s="13"/>
      <c r="G524" s="13"/>
    </row>
    <row r="525" ht="15.75" customHeight="1">
      <c r="A525" s="13"/>
      <c r="B525" s="13"/>
      <c r="C525" s="13"/>
      <c r="D525" s="13"/>
      <c r="E525" s="13"/>
      <c r="F525" s="13"/>
      <c r="G525" s="13"/>
    </row>
    <row r="526" ht="15.75" customHeight="1">
      <c r="A526" s="13"/>
      <c r="B526" s="13"/>
      <c r="C526" s="13"/>
      <c r="D526" s="13"/>
      <c r="E526" s="13"/>
      <c r="F526" s="13"/>
      <c r="G526" s="13"/>
    </row>
    <row r="527" ht="15.75" customHeight="1">
      <c r="A527" s="13"/>
      <c r="B527" s="13"/>
      <c r="C527" s="13"/>
      <c r="D527" s="13"/>
      <c r="E527" s="13"/>
      <c r="F527" s="13"/>
      <c r="G527" s="13"/>
    </row>
    <row r="528" ht="15.75" customHeight="1">
      <c r="A528" s="13"/>
      <c r="B528" s="13"/>
      <c r="C528" s="13"/>
      <c r="D528" s="13"/>
      <c r="E528" s="13"/>
      <c r="F528" s="13"/>
      <c r="G528" s="13"/>
    </row>
    <row r="529" ht="15.75" customHeight="1">
      <c r="A529" s="13"/>
      <c r="B529" s="13"/>
      <c r="C529" s="13"/>
      <c r="D529" s="13"/>
      <c r="E529" s="13"/>
      <c r="F529" s="13"/>
      <c r="G529" s="13"/>
    </row>
    <row r="530" ht="15.75" customHeight="1">
      <c r="A530" s="13"/>
      <c r="B530" s="13"/>
      <c r="C530" s="13"/>
      <c r="D530" s="13"/>
      <c r="E530" s="13"/>
      <c r="F530" s="13"/>
      <c r="G530" s="13"/>
    </row>
    <row r="531" ht="15.75" customHeight="1">
      <c r="A531" s="13"/>
      <c r="B531" s="13"/>
      <c r="C531" s="13"/>
      <c r="D531" s="13"/>
      <c r="E531" s="13"/>
      <c r="F531" s="13"/>
      <c r="G531" s="13"/>
    </row>
    <row r="532" ht="15.75" customHeight="1">
      <c r="A532" s="13"/>
      <c r="B532" s="13"/>
      <c r="C532" s="13"/>
      <c r="D532" s="13"/>
      <c r="E532" s="13"/>
      <c r="F532" s="13"/>
      <c r="G532" s="13"/>
    </row>
    <row r="533" ht="15.75" customHeight="1">
      <c r="A533" s="13"/>
      <c r="B533" s="13"/>
      <c r="C533" s="13"/>
      <c r="D533" s="13"/>
      <c r="E533" s="13"/>
      <c r="F533" s="13"/>
      <c r="G533" s="13"/>
    </row>
    <row r="534" ht="15.75" customHeight="1">
      <c r="A534" s="13"/>
      <c r="B534" s="13"/>
      <c r="C534" s="13"/>
      <c r="D534" s="13"/>
      <c r="E534" s="13"/>
      <c r="F534" s="13"/>
      <c r="G534" s="13"/>
    </row>
    <row r="535" ht="15.75" customHeight="1">
      <c r="A535" s="13"/>
      <c r="B535" s="13"/>
      <c r="C535" s="13"/>
      <c r="D535" s="13"/>
      <c r="E535" s="13"/>
      <c r="F535" s="13"/>
      <c r="G535" s="13"/>
    </row>
    <row r="536" ht="15.75" customHeight="1">
      <c r="A536" s="13"/>
      <c r="B536" s="13"/>
      <c r="C536" s="13"/>
      <c r="D536" s="13"/>
      <c r="E536" s="13"/>
      <c r="F536" s="13"/>
      <c r="G536" s="13"/>
    </row>
    <row r="537" ht="15.75" customHeight="1">
      <c r="A537" s="13"/>
      <c r="B537" s="13"/>
      <c r="C537" s="13"/>
      <c r="D537" s="13"/>
      <c r="E537" s="13"/>
      <c r="F537" s="13"/>
      <c r="G537" s="13"/>
    </row>
    <row r="538" ht="15.75" customHeight="1">
      <c r="A538" s="13"/>
      <c r="B538" s="13"/>
      <c r="C538" s="13"/>
      <c r="D538" s="13"/>
      <c r="E538" s="13"/>
      <c r="F538" s="13"/>
      <c r="G538" s="13"/>
    </row>
    <row r="539" ht="15.75" customHeight="1">
      <c r="A539" s="13"/>
      <c r="B539" s="13"/>
      <c r="C539" s="13"/>
      <c r="D539" s="13"/>
      <c r="E539" s="13"/>
      <c r="F539" s="13"/>
      <c r="G539" s="13"/>
    </row>
    <row r="540" ht="15.75" customHeight="1">
      <c r="A540" s="13"/>
      <c r="B540" s="13"/>
      <c r="C540" s="13"/>
      <c r="D540" s="13"/>
      <c r="E540" s="13"/>
      <c r="F540" s="13"/>
      <c r="G540" s="13"/>
    </row>
    <row r="541" ht="15.75" customHeight="1">
      <c r="A541" s="13"/>
      <c r="B541" s="13"/>
      <c r="C541" s="13"/>
      <c r="D541" s="13"/>
      <c r="E541" s="13"/>
      <c r="F541" s="13"/>
      <c r="G541" s="13"/>
    </row>
    <row r="542" ht="15.75" customHeight="1">
      <c r="A542" s="13"/>
      <c r="B542" s="13"/>
      <c r="C542" s="13"/>
      <c r="D542" s="13"/>
      <c r="E542" s="13"/>
      <c r="F542" s="13"/>
      <c r="G542" s="13"/>
    </row>
    <row r="543" ht="15.75" customHeight="1">
      <c r="A543" s="13"/>
      <c r="B543" s="13"/>
      <c r="C543" s="13"/>
      <c r="D543" s="13"/>
      <c r="E543" s="13"/>
      <c r="F543" s="13"/>
      <c r="G543" s="13"/>
    </row>
    <row r="544" ht="15.75" customHeight="1">
      <c r="A544" s="13"/>
      <c r="B544" s="13"/>
      <c r="C544" s="13"/>
      <c r="D544" s="13"/>
      <c r="E544" s="13"/>
      <c r="F544" s="13"/>
      <c r="G544" s="13"/>
    </row>
    <row r="545" ht="15.75" customHeight="1">
      <c r="A545" s="13"/>
      <c r="B545" s="13"/>
      <c r="C545" s="13"/>
      <c r="D545" s="13"/>
      <c r="E545" s="13"/>
      <c r="F545" s="13"/>
      <c r="G545" s="13"/>
    </row>
    <row r="546" ht="15.75" customHeight="1">
      <c r="A546" s="13"/>
      <c r="B546" s="13"/>
      <c r="C546" s="13"/>
      <c r="D546" s="13"/>
      <c r="E546" s="13"/>
      <c r="F546" s="13"/>
      <c r="G546" s="13"/>
    </row>
    <row r="547" ht="15.75" customHeight="1">
      <c r="A547" s="13"/>
      <c r="B547" s="13"/>
      <c r="C547" s="13"/>
      <c r="D547" s="13"/>
      <c r="E547" s="13"/>
      <c r="F547" s="13"/>
      <c r="G547" s="13"/>
    </row>
    <row r="548" ht="15.75" customHeight="1">
      <c r="A548" s="13"/>
      <c r="B548" s="13"/>
      <c r="C548" s="13"/>
      <c r="D548" s="13"/>
      <c r="E548" s="13"/>
      <c r="F548" s="13"/>
      <c r="G548" s="13"/>
    </row>
    <row r="549" ht="15.75" customHeight="1">
      <c r="A549" s="13"/>
      <c r="B549" s="13"/>
      <c r="C549" s="13"/>
      <c r="D549" s="13"/>
      <c r="E549" s="13"/>
      <c r="F549" s="13"/>
      <c r="G549" s="13"/>
    </row>
    <row r="550" ht="15.75" customHeight="1">
      <c r="A550" s="13"/>
      <c r="B550" s="13"/>
      <c r="C550" s="13"/>
      <c r="D550" s="13"/>
      <c r="E550" s="13"/>
      <c r="F550" s="13"/>
      <c r="G550" s="13"/>
    </row>
    <row r="551" ht="15.75" customHeight="1">
      <c r="A551" s="13"/>
      <c r="B551" s="13"/>
      <c r="C551" s="13"/>
      <c r="D551" s="13"/>
      <c r="E551" s="13"/>
      <c r="F551" s="13"/>
      <c r="G551" s="13"/>
    </row>
    <row r="552" ht="15.75" customHeight="1">
      <c r="A552" s="13"/>
      <c r="B552" s="13"/>
      <c r="C552" s="13"/>
      <c r="D552" s="13"/>
      <c r="E552" s="13"/>
      <c r="F552" s="13"/>
      <c r="G552" s="13"/>
    </row>
    <row r="553" ht="15.75" customHeight="1">
      <c r="A553" s="13"/>
      <c r="B553" s="13"/>
      <c r="C553" s="13"/>
      <c r="D553" s="13"/>
      <c r="E553" s="13"/>
      <c r="F553" s="13"/>
      <c r="G553" s="13"/>
    </row>
    <row r="554" ht="15.75" customHeight="1">
      <c r="A554" s="13"/>
      <c r="B554" s="13"/>
      <c r="C554" s="13"/>
      <c r="D554" s="13"/>
      <c r="E554" s="13"/>
      <c r="F554" s="13"/>
      <c r="G554" s="13"/>
    </row>
    <row r="555" ht="15.75" customHeight="1">
      <c r="A555" s="13"/>
      <c r="B555" s="13"/>
      <c r="C555" s="13"/>
      <c r="D555" s="13"/>
      <c r="E555" s="13"/>
      <c r="F555" s="13"/>
      <c r="G555" s="13"/>
    </row>
    <row r="556" ht="15.75" customHeight="1">
      <c r="A556" s="13"/>
      <c r="B556" s="13"/>
      <c r="C556" s="13"/>
      <c r="D556" s="13"/>
      <c r="E556" s="13"/>
      <c r="F556" s="13"/>
      <c r="G556" s="13"/>
    </row>
    <row r="557" ht="15.75" customHeight="1">
      <c r="A557" s="13"/>
      <c r="B557" s="13"/>
      <c r="C557" s="13"/>
      <c r="D557" s="13"/>
      <c r="E557" s="13"/>
      <c r="F557" s="13"/>
      <c r="G557" s="13"/>
    </row>
    <row r="558" ht="15.75" customHeight="1">
      <c r="A558" s="13"/>
      <c r="B558" s="13"/>
      <c r="C558" s="13"/>
      <c r="D558" s="13"/>
      <c r="E558" s="13"/>
      <c r="F558" s="13"/>
      <c r="G558" s="13"/>
    </row>
    <row r="559" ht="15.75" customHeight="1">
      <c r="A559" s="13"/>
      <c r="B559" s="13"/>
      <c r="C559" s="13"/>
      <c r="D559" s="13"/>
      <c r="E559" s="13"/>
      <c r="F559" s="13"/>
      <c r="G559" s="13"/>
    </row>
    <row r="560" ht="15.75" customHeight="1">
      <c r="A560" s="13"/>
      <c r="B560" s="13"/>
      <c r="C560" s="13"/>
      <c r="D560" s="13"/>
      <c r="E560" s="13"/>
      <c r="F560" s="13"/>
      <c r="G560" s="13"/>
    </row>
    <row r="561" ht="15.75" customHeight="1">
      <c r="A561" s="13"/>
      <c r="B561" s="13"/>
      <c r="C561" s="13"/>
      <c r="D561" s="13"/>
      <c r="E561" s="13"/>
      <c r="F561" s="13"/>
      <c r="G561" s="13"/>
    </row>
    <row r="562" ht="15.75" customHeight="1">
      <c r="A562" s="13"/>
      <c r="B562" s="13"/>
      <c r="C562" s="13"/>
      <c r="D562" s="13"/>
      <c r="E562" s="13"/>
      <c r="F562" s="13"/>
      <c r="G562" s="13"/>
    </row>
    <row r="563" ht="15.75" customHeight="1">
      <c r="A563" s="13"/>
      <c r="B563" s="13"/>
      <c r="C563" s="13"/>
      <c r="D563" s="13"/>
      <c r="E563" s="13"/>
      <c r="F563" s="13"/>
      <c r="G563" s="13"/>
    </row>
    <row r="564" ht="15.75" customHeight="1">
      <c r="A564" s="13"/>
      <c r="B564" s="13"/>
      <c r="C564" s="13"/>
      <c r="D564" s="13"/>
      <c r="E564" s="13"/>
      <c r="F564" s="13"/>
      <c r="G564" s="13"/>
    </row>
    <row r="565" ht="15.75" customHeight="1">
      <c r="A565" s="13"/>
      <c r="B565" s="13"/>
      <c r="C565" s="13"/>
      <c r="D565" s="13"/>
      <c r="E565" s="13"/>
      <c r="F565" s="13"/>
      <c r="G565" s="13"/>
    </row>
    <row r="566" ht="15.75" customHeight="1">
      <c r="A566" s="13"/>
      <c r="B566" s="13"/>
      <c r="C566" s="13"/>
      <c r="D566" s="13"/>
      <c r="E566" s="13"/>
      <c r="F566" s="13"/>
      <c r="G566" s="13"/>
    </row>
    <row r="567" ht="15.75" customHeight="1">
      <c r="A567" s="13"/>
      <c r="B567" s="13"/>
      <c r="C567" s="13"/>
      <c r="D567" s="13"/>
      <c r="E567" s="13"/>
      <c r="F567" s="13"/>
      <c r="G567" s="13"/>
    </row>
    <row r="568" ht="15.75" customHeight="1">
      <c r="A568" s="13"/>
      <c r="B568" s="13"/>
      <c r="C568" s="13"/>
      <c r="D568" s="13"/>
      <c r="E568" s="13"/>
      <c r="F568" s="13"/>
      <c r="G568" s="13"/>
    </row>
    <row r="569" ht="15.75" customHeight="1">
      <c r="A569" s="13"/>
      <c r="B569" s="13"/>
      <c r="C569" s="13"/>
      <c r="D569" s="13"/>
      <c r="E569" s="13"/>
      <c r="F569" s="13"/>
      <c r="G569" s="13"/>
    </row>
    <row r="570" ht="15.75" customHeight="1">
      <c r="A570" s="13"/>
      <c r="B570" s="13"/>
      <c r="C570" s="13"/>
      <c r="D570" s="13"/>
      <c r="E570" s="13"/>
      <c r="F570" s="13"/>
      <c r="G570" s="13"/>
    </row>
    <row r="571" ht="15.75" customHeight="1">
      <c r="A571" s="13"/>
      <c r="B571" s="13"/>
      <c r="C571" s="13"/>
      <c r="D571" s="13"/>
      <c r="E571" s="13"/>
      <c r="F571" s="13"/>
      <c r="G571" s="13"/>
    </row>
    <row r="572" ht="15.75" customHeight="1">
      <c r="A572" s="13"/>
      <c r="B572" s="13"/>
      <c r="C572" s="13"/>
      <c r="D572" s="13"/>
      <c r="E572" s="13"/>
      <c r="F572" s="13"/>
      <c r="G572" s="13"/>
    </row>
    <row r="573" ht="15.75" customHeight="1">
      <c r="A573" s="13"/>
      <c r="B573" s="13"/>
      <c r="C573" s="13"/>
      <c r="D573" s="13"/>
      <c r="E573" s="13"/>
      <c r="F573" s="13"/>
      <c r="G573" s="13"/>
    </row>
    <row r="574" ht="15.75" customHeight="1">
      <c r="A574" s="13"/>
      <c r="B574" s="13"/>
      <c r="C574" s="13"/>
      <c r="D574" s="13"/>
      <c r="E574" s="13"/>
      <c r="F574" s="13"/>
      <c r="G574" s="13"/>
    </row>
    <row r="575" ht="15.75" customHeight="1">
      <c r="A575" s="13"/>
      <c r="B575" s="13"/>
      <c r="C575" s="13"/>
      <c r="D575" s="13"/>
      <c r="E575" s="13"/>
      <c r="F575" s="13"/>
      <c r="G575" s="13"/>
    </row>
    <row r="576" ht="15.75" customHeight="1">
      <c r="A576" s="13"/>
      <c r="B576" s="13"/>
      <c r="C576" s="13"/>
      <c r="D576" s="13"/>
      <c r="E576" s="13"/>
      <c r="F576" s="13"/>
      <c r="G576" s="13"/>
    </row>
    <row r="577" ht="15.75" customHeight="1">
      <c r="A577" s="13"/>
      <c r="B577" s="13"/>
      <c r="C577" s="13"/>
      <c r="D577" s="13"/>
      <c r="E577" s="13"/>
      <c r="F577" s="13"/>
      <c r="G577" s="13"/>
    </row>
    <row r="578" ht="15.75" customHeight="1">
      <c r="A578" s="13"/>
      <c r="B578" s="13"/>
      <c r="C578" s="13"/>
      <c r="D578" s="13"/>
      <c r="E578" s="13"/>
      <c r="F578" s="13"/>
      <c r="G578" s="13"/>
    </row>
    <row r="579" ht="15.75" customHeight="1">
      <c r="A579" s="13"/>
      <c r="B579" s="13"/>
      <c r="C579" s="13"/>
      <c r="D579" s="13"/>
      <c r="E579" s="13"/>
      <c r="F579" s="13"/>
      <c r="G579" s="13"/>
    </row>
    <row r="580" ht="15.75" customHeight="1">
      <c r="A580" s="13"/>
      <c r="B580" s="13"/>
      <c r="C580" s="13"/>
      <c r="D580" s="13"/>
      <c r="E580" s="13"/>
      <c r="F580" s="13"/>
      <c r="G580" s="13"/>
    </row>
    <row r="581" ht="15.75" customHeight="1">
      <c r="A581" s="13"/>
      <c r="B581" s="13"/>
      <c r="C581" s="13"/>
      <c r="D581" s="13"/>
      <c r="E581" s="13"/>
      <c r="F581" s="13"/>
      <c r="G581" s="13"/>
    </row>
    <row r="582" ht="15.75" customHeight="1">
      <c r="A582" s="13"/>
      <c r="B582" s="13"/>
      <c r="C582" s="13"/>
      <c r="D582" s="13"/>
      <c r="E582" s="13"/>
      <c r="F582" s="13"/>
      <c r="G582" s="13"/>
    </row>
    <row r="583" ht="15.75" customHeight="1">
      <c r="A583" s="13"/>
      <c r="B583" s="13"/>
      <c r="C583" s="13"/>
      <c r="D583" s="13"/>
      <c r="E583" s="13"/>
      <c r="F583" s="13"/>
      <c r="G583" s="13"/>
    </row>
    <row r="584" ht="15.75" customHeight="1">
      <c r="A584" s="13"/>
      <c r="B584" s="13"/>
      <c r="C584" s="13"/>
      <c r="D584" s="13"/>
      <c r="E584" s="13"/>
      <c r="F584" s="13"/>
      <c r="G584" s="13"/>
    </row>
    <row r="585" ht="15.75" customHeight="1">
      <c r="A585" s="13"/>
      <c r="B585" s="13"/>
      <c r="C585" s="13"/>
      <c r="D585" s="13"/>
      <c r="E585" s="13"/>
      <c r="F585" s="13"/>
      <c r="G585" s="13"/>
    </row>
    <row r="586" ht="15.75" customHeight="1">
      <c r="A586" s="13"/>
      <c r="B586" s="13"/>
      <c r="C586" s="13"/>
      <c r="D586" s="13"/>
      <c r="E586" s="13"/>
      <c r="F586" s="13"/>
      <c r="G586" s="13"/>
    </row>
    <row r="587" ht="15.75" customHeight="1">
      <c r="A587" s="13"/>
      <c r="B587" s="13"/>
      <c r="C587" s="13"/>
      <c r="D587" s="13"/>
      <c r="E587" s="13"/>
      <c r="F587" s="13"/>
      <c r="G587" s="13"/>
    </row>
    <row r="588" ht="15.75" customHeight="1">
      <c r="A588" s="13"/>
      <c r="B588" s="13"/>
      <c r="C588" s="13"/>
      <c r="D588" s="13"/>
      <c r="E588" s="13"/>
      <c r="F588" s="13"/>
      <c r="G588" s="13"/>
    </row>
    <row r="589" ht="15.75" customHeight="1">
      <c r="A589" s="13"/>
      <c r="B589" s="13"/>
      <c r="C589" s="13"/>
      <c r="D589" s="13"/>
      <c r="E589" s="13"/>
      <c r="F589" s="13"/>
      <c r="G589" s="13"/>
    </row>
    <row r="590" ht="15.75" customHeight="1">
      <c r="A590" s="13"/>
      <c r="B590" s="13"/>
      <c r="C590" s="13"/>
      <c r="D590" s="13"/>
      <c r="E590" s="13"/>
      <c r="F590" s="13"/>
      <c r="G590" s="13"/>
    </row>
    <row r="591" ht="15.75" customHeight="1">
      <c r="A591" s="13"/>
      <c r="B591" s="13"/>
      <c r="C591" s="13"/>
      <c r="D591" s="13"/>
      <c r="E591" s="13"/>
      <c r="F591" s="13"/>
      <c r="G591" s="13"/>
    </row>
    <row r="592" ht="15.75" customHeight="1">
      <c r="A592" s="13"/>
      <c r="B592" s="13"/>
      <c r="C592" s="13"/>
      <c r="D592" s="13"/>
      <c r="E592" s="13"/>
      <c r="F592" s="13"/>
      <c r="G592" s="13"/>
    </row>
    <row r="593" ht="15.75" customHeight="1">
      <c r="A593" s="13"/>
      <c r="B593" s="13"/>
      <c r="C593" s="13"/>
      <c r="D593" s="13"/>
      <c r="E593" s="13"/>
      <c r="F593" s="13"/>
      <c r="G593" s="13"/>
    </row>
    <row r="594" ht="15.75" customHeight="1">
      <c r="A594" s="13"/>
      <c r="B594" s="13"/>
      <c r="C594" s="13"/>
      <c r="D594" s="13"/>
      <c r="E594" s="13"/>
      <c r="F594" s="13"/>
      <c r="G594" s="13"/>
    </row>
    <row r="595" ht="15.75" customHeight="1">
      <c r="A595" s="13"/>
      <c r="B595" s="13"/>
      <c r="C595" s="13"/>
      <c r="D595" s="13"/>
      <c r="E595" s="13"/>
      <c r="F595" s="13"/>
      <c r="G595" s="13"/>
    </row>
    <row r="596" ht="15.75" customHeight="1">
      <c r="A596" s="13"/>
      <c r="B596" s="13"/>
      <c r="C596" s="13"/>
      <c r="D596" s="13"/>
      <c r="E596" s="13"/>
      <c r="F596" s="13"/>
      <c r="G596" s="13"/>
    </row>
    <row r="597" ht="15.75" customHeight="1">
      <c r="A597" s="13"/>
      <c r="B597" s="13"/>
      <c r="C597" s="13"/>
      <c r="D597" s="13"/>
      <c r="E597" s="13"/>
      <c r="F597" s="13"/>
      <c r="G597" s="13"/>
    </row>
    <row r="598" ht="15.75" customHeight="1">
      <c r="A598" s="13"/>
      <c r="B598" s="13"/>
      <c r="C598" s="13"/>
      <c r="D598" s="13"/>
      <c r="E598" s="13"/>
      <c r="F598" s="13"/>
      <c r="G598" s="13"/>
    </row>
    <row r="599" ht="15.75" customHeight="1">
      <c r="A599" s="13"/>
      <c r="B599" s="13"/>
      <c r="C599" s="13"/>
      <c r="D599" s="13"/>
      <c r="E599" s="13"/>
      <c r="F599" s="13"/>
      <c r="G599" s="13"/>
    </row>
    <row r="600" ht="15.75" customHeight="1">
      <c r="A600" s="13"/>
      <c r="B600" s="13"/>
      <c r="C600" s="13"/>
      <c r="D600" s="13"/>
      <c r="E600" s="13"/>
      <c r="F600" s="13"/>
      <c r="G600" s="13"/>
    </row>
    <row r="601" ht="15.75" customHeight="1">
      <c r="A601" s="13"/>
      <c r="B601" s="13"/>
      <c r="C601" s="13"/>
      <c r="D601" s="13"/>
      <c r="E601" s="13"/>
      <c r="F601" s="13"/>
      <c r="G601" s="13"/>
    </row>
    <row r="602" ht="15.75" customHeight="1">
      <c r="A602" s="13"/>
      <c r="B602" s="13"/>
      <c r="C602" s="13"/>
      <c r="D602" s="13"/>
      <c r="E602" s="13"/>
      <c r="F602" s="13"/>
      <c r="G602" s="13"/>
    </row>
    <row r="603" ht="15.75" customHeight="1">
      <c r="A603" s="13"/>
      <c r="B603" s="13"/>
      <c r="C603" s="13"/>
      <c r="D603" s="13"/>
      <c r="E603" s="13"/>
      <c r="F603" s="13"/>
      <c r="G603" s="13"/>
    </row>
    <row r="604" ht="15.75" customHeight="1">
      <c r="A604" s="13"/>
      <c r="B604" s="13"/>
      <c r="C604" s="13"/>
      <c r="D604" s="13"/>
      <c r="E604" s="13"/>
      <c r="F604" s="13"/>
      <c r="G604" s="13"/>
    </row>
    <row r="605" ht="15.75" customHeight="1">
      <c r="A605" s="13"/>
      <c r="B605" s="13"/>
      <c r="C605" s="13"/>
      <c r="D605" s="13"/>
      <c r="E605" s="13"/>
      <c r="F605" s="13"/>
      <c r="G605" s="13"/>
    </row>
    <row r="606" ht="15.75" customHeight="1">
      <c r="A606" s="13"/>
      <c r="B606" s="13"/>
      <c r="C606" s="13"/>
      <c r="D606" s="13"/>
      <c r="E606" s="13"/>
      <c r="F606" s="13"/>
      <c r="G606" s="13"/>
    </row>
    <row r="607" ht="15.75" customHeight="1">
      <c r="A607" s="13"/>
      <c r="B607" s="13"/>
      <c r="C607" s="13"/>
      <c r="D607" s="13"/>
      <c r="E607" s="13"/>
      <c r="F607" s="13"/>
      <c r="G607" s="13"/>
    </row>
    <row r="608" ht="15.75" customHeight="1">
      <c r="A608" s="13"/>
      <c r="B608" s="13"/>
      <c r="C608" s="13"/>
      <c r="D608" s="13"/>
      <c r="E608" s="13"/>
      <c r="F608" s="13"/>
      <c r="G608" s="13"/>
    </row>
    <row r="609" ht="15.75" customHeight="1">
      <c r="A609" s="13"/>
      <c r="B609" s="13"/>
      <c r="C609" s="13"/>
      <c r="D609" s="13"/>
      <c r="E609" s="13"/>
      <c r="F609" s="13"/>
      <c r="G609" s="13"/>
    </row>
    <row r="610" ht="15.75" customHeight="1">
      <c r="A610" s="13"/>
      <c r="B610" s="13"/>
      <c r="C610" s="13"/>
      <c r="D610" s="13"/>
      <c r="E610" s="13"/>
      <c r="F610" s="13"/>
      <c r="G610" s="13"/>
    </row>
    <row r="611" ht="15.75" customHeight="1">
      <c r="A611" s="13"/>
      <c r="B611" s="13"/>
      <c r="C611" s="13"/>
      <c r="D611" s="13"/>
      <c r="E611" s="13"/>
      <c r="F611" s="13"/>
      <c r="G611" s="13"/>
    </row>
    <row r="612" ht="15.75" customHeight="1">
      <c r="A612" s="13"/>
      <c r="B612" s="13"/>
      <c r="C612" s="13"/>
      <c r="D612" s="13"/>
      <c r="E612" s="13"/>
      <c r="F612" s="13"/>
      <c r="G612" s="13"/>
    </row>
    <row r="613" ht="15.75" customHeight="1">
      <c r="A613" s="13"/>
      <c r="B613" s="13"/>
      <c r="C613" s="13"/>
      <c r="D613" s="13"/>
      <c r="E613" s="13"/>
      <c r="F613" s="13"/>
      <c r="G613" s="13"/>
    </row>
    <row r="614" ht="15.75" customHeight="1">
      <c r="A614" s="13"/>
      <c r="B614" s="13"/>
      <c r="C614" s="13"/>
      <c r="D614" s="13"/>
      <c r="E614" s="13"/>
      <c r="F614" s="13"/>
      <c r="G614" s="13"/>
    </row>
    <row r="615" ht="15.75" customHeight="1">
      <c r="A615" s="13"/>
      <c r="B615" s="13"/>
      <c r="C615" s="13"/>
      <c r="D615" s="13"/>
      <c r="E615" s="13"/>
      <c r="F615" s="13"/>
      <c r="G615" s="13"/>
    </row>
    <row r="616" ht="15.75" customHeight="1">
      <c r="A616" s="13"/>
      <c r="B616" s="13"/>
      <c r="C616" s="13"/>
      <c r="D616" s="13"/>
      <c r="E616" s="13"/>
      <c r="F616" s="13"/>
      <c r="G616" s="13"/>
    </row>
    <row r="617" ht="15.75" customHeight="1">
      <c r="A617" s="13"/>
      <c r="B617" s="13"/>
      <c r="C617" s="13"/>
      <c r="D617" s="13"/>
      <c r="E617" s="13"/>
      <c r="F617" s="13"/>
      <c r="G617" s="13"/>
    </row>
    <row r="618" ht="15.75" customHeight="1">
      <c r="A618" s="13"/>
      <c r="B618" s="13"/>
      <c r="C618" s="13"/>
      <c r="D618" s="13"/>
      <c r="E618" s="13"/>
      <c r="F618" s="13"/>
      <c r="G618" s="13"/>
    </row>
    <row r="619" ht="15.75" customHeight="1">
      <c r="A619" s="13"/>
      <c r="B619" s="13"/>
      <c r="C619" s="13"/>
      <c r="D619" s="13"/>
      <c r="E619" s="13"/>
      <c r="F619" s="13"/>
      <c r="G619" s="13"/>
    </row>
    <row r="620" ht="15.75" customHeight="1">
      <c r="A620" s="13"/>
      <c r="B620" s="13"/>
      <c r="C620" s="13"/>
      <c r="D620" s="13"/>
      <c r="E620" s="13"/>
      <c r="F620" s="13"/>
      <c r="G620" s="13"/>
    </row>
    <row r="621" ht="15.75" customHeight="1">
      <c r="A621" s="13"/>
      <c r="B621" s="13"/>
      <c r="C621" s="13"/>
      <c r="D621" s="13"/>
      <c r="E621" s="13"/>
      <c r="F621" s="13"/>
      <c r="G621" s="13"/>
    </row>
    <row r="622" ht="15.75" customHeight="1">
      <c r="A622" s="13"/>
      <c r="B622" s="13"/>
      <c r="C622" s="13"/>
      <c r="D622" s="13"/>
      <c r="E622" s="13"/>
      <c r="F622" s="13"/>
      <c r="G622" s="13"/>
    </row>
    <row r="623" ht="15.75" customHeight="1">
      <c r="A623" s="13"/>
      <c r="B623" s="13"/>
      <c r="C623" s="13"/>
      <c r="D623" s="13"/>
      <c r="E623" s="13"/>
      <c r="F623" s="13"/>
      <c r="G623" s="13"/>
    </row>
    <row r="624" ht="15.75" customHeight="1">
      <c r="A624" s="13"/>
      <c r="B624" s="13"/>
      <c r="C624" s="13"/>
      <c r="D624" s="13"/>
      <c r="E624" s="13"/>
      <c r="F624" s="13"/>
      <c r="G624" s="13"/>
    </row>
    <row r="625" ht="15.75" customHeight="1">
      <c r="A625" s="13"/>
      <c r="B625" s="13"/>
      <c r="C625" s="13"/>
      <c r="D625" s="13"/>
      <c r="E625" s="13"/>
      <c r="F625" s="13"/>
      <c r="G625" s="13"/>
    </row>
    <row r="626" ht="15.75" customHeight="1">
      <c r="A626" s="13"/>
      <c r="B626" s="13"/>
      <c r="C626" s="13"/>
      <c r="D626" s="13"/>
      <c r="E626" s="13"/>
      <c r="F626" s="13"/>
      <c r="G626" s="13"/>
    </row>
    <row r="627" ht="15.75" customHeight="1">
      <c r="A627" s="13"/>
      <c r="B627" s="13"/>
      <c r="C627" s="13"/>
      <c r="D627" s="13"/>
      <c r="E627" s="13"/>
      <c r="F627" s="13"/>
      <c r="G627" s="13"/>
    </row>
    <row r="628" ht="15.75" customHeight="1">
      <c r="A628" s="13"/>
      <c r="B628" s="13"/>
      <c r="C628" s="13"/>
      <c r="D628" s="13"/>
      <c r="E628" s="13"/>
      <c r="F628" s="13"/>
      <c r="G628" s="13"/>
    </row>
    <row r="629" ht="15.75" customHeight="1">
      <c r="A629" s="13"/>
      <c r="B629" s="13"/>
      <c r="C629" s="13"/>
      <c r="D629" s="13"/>
      <c r="E629" s="13"/>
      <c r="F629" s="13"/>
      <c r="G629" s="13"/>
    </row>
    <row r="630" ht="15.75" customHeight="1">
      <c r="A630" s="13"/>
      <c r="B630" s="13"/>
      <c r="C630" s="13"/>
      <c r="D630" s="13"/>
      <c r="E630" s="13"/>
      <c r="F630" s="13"/>
      <c r="G630" s="13"/>
    </row>
    <row r="631" ht="15.75" customHeight="1">
      <c r="A631" s="13"/>
      <c r="B631" s="13"/>
      <c r="C631" s="13"/>
      <c r="D631" s="13"/>
      <c r="E631" s="13"/>
      <c r="F631" s="13"/>
      <c r="G631" s="13"/>
    </row>
    <row r="632" ht="15.75" customHeight="1">
      <c r="A632" s="13"/>
      <c r="B632" s="13"/>
      <c r="C632" s="13"/>
      <c r="D632" s="13"/>
      <c r="E632" s="13"/>
      <c r="F632" s="13"/>
      <c r="G632" s="13"/>
    </row>
    <row r="633" ht="15.75" customHeight="1">
      <c r="A633" s="13"/>
      <c r="B633" s="13"/>
      <c r="C633" s="13"/>
      <c r="D633" s="13"/>
      <c r="E633" s="13"/>
      <c r="F633" s="13"/>
      <c r="G633" s="13"/>
    </row>
    <row r="634" ht="15.75" customHeight="1">
      <c r="A634" s="13"/>
      <c r="B634" s="13"/>
      <c r="C634" s="13"/>
      <c r="D634" s="13"/>
      <c r="E634" s="13"/>
      <c r="F634" s="13"/>
      <c r="G634" s="13"/>
    </row>
    <row r="635" ht="15.75" customHeight="1">
      <c r="A635" s="13"/>
      <c r="B635" s="13"/>
      <c r="C635" s="13"/>
      <c r="D635" s="13"/>
      <c r="E635" s="13"/>
      <c r="F635" s="13"/>
      <c r="G635" s="13"/>
    </row>
    <row r="636" ht="15.75" customHeight="1">
      <c r="A636" s="13"/>
      <c r="B636" s="13"/>
      <c r="C636" s="13"/>
      <c r="D636" s="13"/>
      <c r="E636" s="13"/>
      <c r="F636" s="13"/>
      <c r="G636" s="13"/>
    </row>
    <row r="637" ht="15.75" customHeight="1">
      <c r="A637" s="13"/>
      <c r="B637" s="13"/>
      <c r="C637" s="13"/>
      <c r="D637" s="13"/>
      <c r="E637" s="13"/>
      <c r="F637" s="13"/>
      <c r="G637" s="13"/>
    </row>
    <row r="638" ht="15.75" customHeight="1">
      <c r="A638" s="13"/>
      <c r="B638" s="13"/>
      <c r="C638" s="13"/>
      <c r="D638" s="13"/>
      <c r="E638" s="13"/>
      <c r="F638" s="13"/>
      <c r="G638" s="13"/>
    </row>
    <row r="639" ht="15.75" customHeight="1">
      <c r="A639" s="13"/>
      <c r="B639" s="13"/>
      <c r="C639" s="13"/>
      <c r="D639" s="13"/>
      <c r="E639" s="13"/>
      <c r="F639" s="13"/>
      <c r="G639" s="13"/>
    </row>
    <row r="640" ht="15.75" customHeight="1">
      <c r="A640" s="13"/>
      <c r="B640" s="13"/>
      <c r="C640" s="13"/>
      <c r="D640" s="13"/>
      <c r="E640" s="13"/>
      <c r="F640" s="13"/>
      <c r="G640" s="13"/>
    </row>
    <row r="641" ht="15.75" customHeight="1">
      <c r="A641" s="13"/>
      <c r="B641" s="13"/>
      <c r="C641" s="13"/>
      <c r="D641" s="13"/>
      <c r="E641" s="13"/>
      <c r="F641" s="13"/>
      <c r="G641" s="13"/>
    </row>
    <row r="642" ht="15.75" customHeight="1">
      <c r="A642" s="13"/>
      <c r="B642" s="13"/>
      <c r="C642" s="13"/>
      <c r="D642" s="13"/>
      <c r="E642" s="13"/>
      <c r="F642" s="13"/>
      <c r="G642" s="13"/>
    </row>
    <row r="643" ht="15.75" customHeight="1">
      <c r="A643" s="13"/>
      <c r="B643" s="13"/>
      <c r="C643" s="13"/>
      <c r="D643" s="13"/>
      <c r="E643" s="13"/>
      <c r="F643" s="13"/>
      <c r="G643" s="13"/>
    </row>
    <row r="644" ht="15.75" customHeight="1">
      <c r="A644" s="13"/>
      <c r="B644" s="13"/>
      <c r="C644" s="13"/>
      <c r="D644" s="13"/>
      <c r="E644" s="13"/>
      <c r="F644" s="13"/>
      <c r="G644" s="13"/>
    </row>
    <row r="645" ht="15.75" customHeight="1">
      <c r="A645" s="13"/>
      <c r="B645" s="13"/>
      <c r="C645" s="13"/>
      <c r="D645" s="13"/>
      <c r="E645" s="13"/>
      <c r="F645" s="13"/>
      <c r="G645" s="13"/>
    </row>
    <row r="646" ht="15.75" customHeight="1">
      <c r="A646" s="13"/>
      <c r="B646" s="13"/>
      <c r="C646" s="13"/>
      <c r="D646" s="13"/>
      <c r="E646" s="13"/>
      <c r="F646" s="13"/>
      <c r="G646" s="13"/>
    </row>
    <row r="647" ht="15.75" customHeight="1">
      <c r="A647" s="13"/>
      <c r="B647" s="13"/>
      <c r="C647" s="13"/>
      <c r="D647" s="13"/>
      <c r="E647" s="13"/>
      <c r="F647" s="13"/>
      <c r="G647" s="13"/>
    </row>
    <row r="648" ht="15.75" customHeight="1">
      <c r="A648" s="13"/>
      <c r="B648" s="13"/>
      <c r="C648" s="13"/>
      <c r="D648" s="13"/>
      <c r="E648" s="13"/>
      <c r="F648" s="13"/>
      <c r="G648" s="13"/>
    </row>
    <row r="649" ht="15.75" customHeight="1">
      <c r="A649" s="13"/>
      <c r="B649" s="13"/>
      <c r="C649" s="13"/>
      <c r="D649" s="13"/>
      <c r="E649" s="13"/>
      <c r="F649" s="13"/>
      <c r="G649" s="13"/>
    </row>
    <row r="650" ht="15.75" customHeight="1">
      <c r="A650" s="13"/>
      <c r="B650" s="13"/>
      <c r="C650" s="13"/>
      <c r="D650" s="13"/>
      <c r="E650" s="13"/>
      <c r="F650" s="13"/>
      <c r="G650" s="13"/>
    </row>
    <row r="651" ht="15.75" customHeight="1">
      <c r="A651" s="13"/>
      <c r="B651" s="13"/>
      <c r="C651" s="13"/>
      <c r="D651" s="13"/>
      <c r="E651" s="13"/>
      <c r="F651" s="13"/>
      <c r="G651" s="13"/>
    </row>
    <row r="652" ht="15.75" customHeight="1">
      <c r="A652" s="13"/>
      <c r="B652" s="13"/>
      <c r="C652" s="13"/>
      <c r="D652" s="13"/>
      <c r="E652" s="13"/>
      <c r="F652" s="13"/>
      <c r="G652" s="13"/>
    </row>
    <row r="653" ht="15.75" customHeight="1">
      <c r="A653" s="13"/>
      <c r="B653" s="13"/>
      <c r="C653" s="13"/>
      <c r="D653" s="13"/>
      <c r="E653" s="13"/>
      <c r="F653" s="13"/>
      <c r="G653" s="13"/>
    </row>
    <row r="654" ht="15.75" customHeight="1">
      <c r="A654" s="13"/>
      <c r="B654" s="13"/>
      <c r="C654" s="13"/>
      <c r="D654" s="13"/>
      <c r="E654" s="13"/>
      <c r="F654" s="13"/>
      <c r="G654" s="13"/>
    </row>
    <row r="655" ht="15.75" customHeight="1">
      <c r="A655" s="13"/>
      <c r="B655" s="13"/>
      <c r="C655" s="13"/>
      <c r="D655" s="13"/>
      <c r="E655" s="13"/>
      <c r="F655" s="13"/>
      <c r="G655" s="13"/>
    </row>
    <row r="656" ht="15.75" customHeight="1">
      <c r="A656" s="13"/>
      <c r="B656" s="13"/>
      <c r="C656" s="13"/>
      <c r="D656" s="13"/>
      <c r="E656" s="13"/>
      <c r="F656" s="13"/>
      <c r="G656" s="13"/>
    </row>
    <row r="657" ht="15.75" customHeight="1">
      <c r="A657" s="13"/>
      <c r="B657" s="13"/>
      <c r="C657" s="13"/>
      <c r="D657" s="13"/>
      <c r="E657" s="13"/>
      <c r="F657" s="13"/>
      <c r="G657" s="13"/>
    </row>
    <row r="658" ht="15.75" customHeight="1">
      <c r="A658" s="13"/>
      <c r="B658" s="13"/>
      <c r="C658" s="13"/>
      <c r="D658" s="13"/>
      <c r="E658" s="13"/>
      <c r="F658" s="13"/>
      <c r="G658" s="13"/>
    </row>
    <row r="659" ht="15.75" customHeight="1">
      <c r="A659" s="13"/>
      <c r="B659" s="13"/>
      <c r="C659" s="13"/>
      <c r="D659" s="13"/>
      <c r="E659" s="13"/>
      <c r="F659" s="13"/>
      <c r="G659" s="13"/>
    </row>
    <row r="660" ht="15.75" customHeight="1">
      <c r="A660" s="13"/>
      <c r="B660" s="13"/>
      <c r="C660" s="13"/>
      <c r="D660" s="13"/>
      <c r="E660" s="13"/>
      <c r="F660" s="13"/>
      <c r="G660" s="13"/>
    </row>
    <row r="661" ht="15.75" customHeight="1">
      <c r="A661" s="13"/>
      <c r="B661" s="13"/>
      <c r="C661" s="13"/>
      <c r="D661" s="13"/>
      <c r="E661" s="13"/>
      <c r="F661" s="13"/>
      <c r="G661" s="13"/>
    </row>
    <row r="662" ht="15.75" customHeight="1">
      <c r="A662" s="13"/>
      <c r="B662" s="13"/>
      <c r="C662" s="13"/>
      <c r="D662" s="13"/>
      <c r="E662" s="13"/>
      <c r="F662" s="13"/>
      <c r="G662" s="13"/>
    </row>
    <row r="663" ht="15.75" customHeight="1">
      <c r="A663" s="13"/>
      <c r="B663" s="13"/>
      <c r="C663" s="13"/>
      <c r="D663" s="13"/>
      <c r="E663" s="13"/>
      <c r="F663" s="13"/>
      <c r="G663" s="13"/>
    </row>
    <row r="664" ht="15.75" customHeight="1">
      <c r="A664" s="13"/>
      <c r="B664" s="13"/>
      <c r="C664" s="13"/>
      <c r="D664" s="13"/>
      <c r="E664" s="13"/>
      <c r="F664" s="13"/>
      <c r="G664" s="13"/>
    </row>
    <row r="665" ht="15.75" customHeight="1">
      <c r="A665" s="13"/>
      <c r="B665" s="13"/>
      <c r="C665" s="13"/>
      <c r="D665" s="13"/>
      <c r="E665" s="13"/>
      <c r="F665" s="13"/>
      <c r="G665" s="13"/>
    </row>
    <row r="666" ht="15.75" customHeight="1">
      <c r="A666" s="13"/>
      <c r="B666" s="13"/>
      <c r="C666" s="13"/>
      <c r="D666" s="13"/>
      <c r="E666" s="13"/>
      <c r="F666" s="13"/>
      <c r="G666" s="13"/>
    </row>
    <row r="667" ht="15.75" customHeight="1">
      <c r="A667" s="13"/>
      <c r="B667" s="13"/>
      <c r="C667" s="13"/>
      <c r="D667" s="13"/>
      <c r="E667" s="13"/>
      <c r="F667" s="13"/>
      <c r="G667" s="13"/>
    </row>
    <row r="668" ht="15.75" customHeight="1">
      <c r="A668" s="13"/>
      <c r="B668" s="13"/>
      <c r="C668" s="13"/>
      <c r="D668" s="13"/>
      <c r="E668" s="13"/>
      <c r="F668" s="13"/>
      <c r="G668" s="13"/>
    </row>
    <row r="669" ht="15.75" customHeight="1">
      <c r="A669" s="13"/>
      <c r="B669" s="13"/>
      <c r="C669" s="13"/>
      <c r="D669" s="13"/>
      <c r="E669" s="13"/>
      <c r="F669" s="13"/>
      <c r="G669" s="13"/>
    </row>
    <row r="670" ht="15.75" customHeight="1">
      <c r="A670" s="13"/>
      <c r="B670" s="13"/>
      <c r="C670" s="13"/>
      <c r="D670" s="13"/>
      <c r="E670" s="13"/>
      <c r="F670" s="13"/>
      <c r="G670" s="13"/>
    </row>
    <row r="671" ht="15.75" customHeight="1">
      <c r="A671" s="13"/>
      <c r="B671" s="13"/>
      <c r="C671" s="13"/>
      <c r="D671" s="13"/>
      <c r="E671" s="13"/>
      <c r="F671" s="13"/>
      <c r="G671" s="13"/>
    </row>
    <row r="672" ht="15.75" customHeight="1">
      <c r="A672" s="13"/>
      <c r="B672" s="13"/>
      <c r="C672" s="13"/>
      <c r="D672" s="13"/>
      <c r="E672" s="13"/>
      <c r="F672" s="13"/>
      <c r="G672" s="13"/>
    </row>
    <row r="673" ht="15.75" customHeight="1">
      <c r="A673" s="13"/>
      <c r="B673" s="13"/>
      <c r="C673" s="13"/>
      <c r="D673" s="13"/>
      <c r="E673" s="13"/>
      <c r="F673" s="13"/>
      <c r="G673" s="13"/>
    </row>
    <row r="674" ht="15.75" customHeight="1">
      <c r="A674" s="13"/>
      <c r="B674" s="13"/>
      <c r="C674" s="13"/>
      <c r="D674" s="13"/>
      <c r="E674" s="13"/>
      <c r="F674" s="13"/>
      <c r="G674" s="13"/>
    </row>
    <row r="675" ht="15.75" customHeight="1">
      <c r="A675" s="13"/>
      <c r="B675" s="13"/>
      <c r="C675" s="13"/>
      <c r="D675" s="13"/>
      <c r="E675" s="13"/>
      <c r="F675" s="13"/>
      <c r="G675" s="13"/>
    </row>
    <row r="676" ht="15.75" customHeight="1">
      <c r="A676" s="13"/>
      <c r="B676" s="13"/>
      <c r="C676" s="13"/>
      <c r="D676" s="13"/>
      <c r="E676" s="13"/>
      <c r="F676" s="13"/>
      <c r="G676" s="13"/>
    </row>
    <row r="677" ht="15.75" customHeight="1">
      <c r="A677" s="13"/>
      <c r="B677" s="13"/>
      <c r="C677" s="13"/>
      <c r="D677" s="13"/>
      <c r="E677" s="13"/>
      <c r="F677" s="13"/>
      <c r="G677" s="13"/>
    </row>
    <row r="678" ht="15.75" customHeight="1">
      <c r="A678" s="13"/>
      <c r="B678" s="13"/>
      <c r="C678" s="13"/>
      <c r="D678" s="13"/>
      <c r="E678" s="13"/>
      <c r="F678" s="13"/>
      <c r="G678" s="13"/>
    </row>
    <row r="679" ht="15.75" customHeight="1">
      <c r="A679" s="13"/>
      <c r="B679" s="13"/>
      <c r="C679" s="13"/>
      <c r="D679" s="13"/>
      <c r="E679" s="13"/>
      <c r="F679" s="13"/>
      <c r="G679" s="13"/>
    </row>
    <row r="680" ht="15.75" customHeight="1">
      <c r="A680" s="13"/>
      <c r="B680" s="13"/>
      <c r="C680" s="13"/>
      <c r="D680" s="13"/>
      <c r="E680" s="13"/>
      <c r="F680" s="13"/>
      <c r="G680" s="13"/>
    </row>
    <row r="681" ht="15.75" customHeight="1">
      <c r="A681" s="13"/>
      <c r="B681" s="13"/>
      <c r="C681" s="13"/>
      <c r="D681" s="13"/>
      <c r="E681" s="13"/>
      <c r="F681" s="13"/>
      <c r="G681" s="13"/>
    </row>
    <row r="682" ht="15.75" customHeight="1">
      <c r="A682" s="13"/>
      <c r="B682" s="13"/>
      <c r="C682" s="13"/>
      <c r="D682" s="13"/>
      <c r="E682" s="13"/>
      <c r="F682" s="13"/>
      <c r="G682" s="13"/>
    </row>
    <row r="683" ht="15.75" customHeight="1">
      <c r="A683" s="13"/>
      <c r="B683" s="13"/>
      <c r="C683" s="13"/>
      <c r="D683" s="13"/>
      <c r="E683" s="13"/>
      <c r="F683" s="13"/>
      <c r="G683" s="13"/>
    </row>
    <row r="684" ht="15.75" customHeight="1">
      <c r="A684" s="13"/>
      <c r="B684" s="13"/>
      <c r="C684" s="13"/>
      <c r="D684" s="13"/>
      <c r="E684" s="13"/>
      <c r="F684" s="13"/>
      <c r="G684" s="13"/>
    </row>
    <row r="685" ht="15.75" customHeight="1">
      <c r="A685" s="13"/>
      <c r="B685" s="13"/>
      <c r="C685" s="13"/>
      <c r="D685" s="13"/>
      <c r="E685" s="13"/>
      <c r="F685" s="13"/>
      <c r="G685" s="13"/>
    </row>
    <row r="686" ht="15.75" customHeight="1">
      <c r="A686" s="13"/>
      <c r="B686" s="13"/>
      <c r="C686" s="13"/>
      <c r="D686" s="13"/>
      <c r="E686" s="13"/>
      <c r="F686" s="13"/>
      <c r="G686" s="13"/>
    </row>
    <row r="687" ht="15.75" customHeight="1">
      <c r="A687" s="13"/>
      <c r="B687" s="13"/>
      <c r="C687" s="13"/>
      <c r="D687" s="13"/>
      <c r="E687" s="13"/>
      <c r="F687" s="13"/>
      <c r="G687" s="13"/>
    </row>
    <row r="688" ht="15.75" customHeight="1">
      <c r="A688" s="13"/>
      <c r="B688" s="13"/>
      <c r="C688" s="13"/>
      <c r="D688" s="13"/>
      <c r="E688" s="13"/>
      <c r="F688" s="13"/>
      <c r="G688" s="13"/>
    </row>
    <row r="689" ht="15.75" customHeight="1">
      <c r="A689" s="13"/>
      <c r="B689" s="13"/>
      <c r="C689" s="13"/>
      <c r="D689" s="13"/>
      <c r="E689" s="13"/>
      <c r="F689" s="13"/>
      <c r="G689" s="13"/>
    </row>
    <row r="690" ht="15.75" customHeight="1">
      <c r="A690" s="13"/>
      <c r="B690" s="13"/>
      <c r="C690" s="13"/>
      <c r="D690" s="13"/>
      <c r="E690" s="13"/>
      <c r="F690" s="13"/>
      <c r="G690" s="13"/>
    </row>
    <row r="691" ht="15.75" customHeight="1">
      <c r="A691" s="13"/>
      <c r="B691" s="13"/>
      <c r="C691" s="13"/>
      <c r="D691" s="13"/>
      <c r="E691" s="13"/>
      <c r="F691" s="13"/>
      <c r="G691" s="13"/>
    </row>
    <row r="692" ht="15.75" customHeight="1">
      <c r="A692" s="13"/>
      <c r="B692" s="13"/>
      <c r="C692" s="13"/>
      <c r="D692" s="13"/>
      <c r="E692" s="13"/>
      <c r="F692" s="13"/>
      <c r="G692" s="13"/>
    </row>
    <row r="693" ht="15.75" customHeight="1">
      <c r="A693" s="13"/>
      <c r="B693" s="13"/>
      <c r="C693" s="13"/>
      <c r="D693" s="13"/>
      <c r="E693" s="13"/>
      <c r="F693" s="13"/>
      <c r="G693" s="13"/>
    </row>
    <row r="694" ht="15.75" customHeight="1">
      <c r="A694" s="13"/>
      <c r="B694" s="13"/>
      <c r="C694" s="13"/>
      <c r="D694" s="13"/>
      <c r="E694" s="13"/>
      <c r="F694" s="13"/>
      <c r="G694" s="13"/>
    </row>
    <row r="695" ht="15.75" customHeight="1">
      <c r="A695" s="13"/>
      <c r="B695" s="13"/>
      <c r="C695" s="13"/>
      <c r="D695" s="13"/>
      <c r="E695" s="13"/>
      <c r="F695" s="13"/>
      <c r="G695" s="13"/>
    </row>
    <row r="696" ht="15.75" customHeight="1">
      <c r="A696" s="13"/>
      <c r="B696" s="13"/>
      <c r="C696" s="13"/>
      <c r="D696" s="13"/>
      <c r="E696" s="13"/>
      <c r="F696" s="13"/>
      <c r="G696" s="13"/>
    </row>
    <row r="697" ht="15.75" customHeight="1">
      <c r="A697" s="13"/>
      <c r="B697" s="13"/>
      <c r="C697" s="13"/>
      <c r="D697" s="13"/>
      <c r="E697" s="13"/>
      <c r="F697" s="13"/>
      <c r="G697" s="13"/>
    </row>
    <row r="698" ht="15.75" customHeight="1">
      <c r="A698" s="13"/>
      <c r="B698" s="13"/>
      <c r="C698" s="13"/>
      <c r="D698" s="13"/>
      <c r="E698" s="13"/>
      <c r="F698" s="13"/>
      <c r="G698" s="13"/>
    </row>
    <row r="699" ht="15.75" customHeight="1">
      <c r="A699" s="13"/>
      <c r="B699" s="13"/>
      <c r="C699" s="13"/>
      <c r="D699" s="13"/>
      <c r="E699" s="13"/>
      <c r="F699" s="13"/>
      <c r="G699" s="13"/>
    </row>
    <row r="700" ht="15.75" customHeight="1">
      <c r="A700" s="13"/>
      <c r="B700" s="13"/>
      <c r="C700" s="13"/>
      <c r="D700" s="13"/>
      <c r="E700" s="13"/>
      <c r="F700" s="13"/>
      <c r="G700" s="13"/>
    </row>
    <row r="701" ht="15.75" customHeight="1">
      <c r="A701" s="13"/>
      <c r="B701" s="13"/>
      <c r="C701" s="13"/>
      <c r="D701" s="13"/>
      <c r="E701" s="13"/>
      <c r="F701" s="13"/>
      <c r="G701" s="13"/>
    </row>
    <row r="702" ht="15.75" customHeight="1">
      <c r="A702" s="13"/>
      <c r="B702" s="13"/>
      <c r="C702" s="13"/>
      <c r="D702" s="13"/>
      <c r="E702" s="13"/>
      <c r="F702" s="13"/>
      <c r="G702" s="13"/>
    </row>
    <row r="703" ht="15.75" customHeight="1">
      <c r="A703" s="13"/>
      <c r="B703" s="13"/>
      <c r="C703" s="13"/>
      <c r="D703" s="13"/>
      <c r="E703" s="13"/>
      <c r="F703" s="13"/>
      <c r="G703" s="13"/>
    </row>
    <row r="704" ht="15.75" customHeight="1">
      <c r="A704" s="13"/>
      <c r="B704" s="13"/>
      <c r="C704" s="13"/>
      <c r="D704" s="13"/>
      <c r="E704" s="13"/>
      <c r="F704" s="13"/>
      <c r="G704" s="13"/>
    </row>
    <row r="705" ht="15.75" customHeight="1">
      <c r="A705" s="13"/>
      <c r="B705" s="13"/>
      <c r="C705" s="13"/>
      <c r="D705" s="13"/>
      <c r="E705" s="13"/>
      <c r="F705" s="13"/>
      <c r="G705" s="13"/>
    </row>
    <row r="706" ht="15.75" customHeight="1">
      <c r="A706" s="13"/>
      <c r="B706" s="13"/>
      <c r="C706" s="13"/>
      <c r="D706" s="13"/>
      <c r="E706" s="13"/>
      <c r="F706" s="13"/>
      <c r="G706" s="13"/>
    </row>
    <row r="707" ht="15.75" customHeight="1">
      <c r="A707" s="13"/>
      <c r="B707" s="13"/>
      <c r="C707" s="13"/>
      <c r="D707" s="13"/>
      <c r="E707" s="13"/>
      <c r="F707" s="13"/>
      <c r="G707" s="13"/>
    </row>
    <row r="708" ht="15.75" customHeight="1">
      <c r="A708" s="13"/>
      <c r="B708" s="13"/>
      <c r="C708" s="13"/>
      <c r="D708" s="13"/>
      <c r="E708" s="13"/>
      <c r="F708" s="13"/>
      <c r="G708" s="13"/>
    </row>
    <row r="709" ht="15.75" customHeight="1">
      <c r="A709" s="13"/>
      <c r="B709" s="13"/>
      <c r="C709" s="13"/>
      <c r="D709" s="13"/>
      <c r="E709" s="13"/>
      <c r="F709" s="13"/>
      <c r="G709" s="13"/>
    </row>
    <row r="710" ht="15.75" customHeight="1">
      <c r="A710" s="13"/>
      <c r="B710" s="13"/>
      <c r="C710" s="13"/>
      <c r="D710" s="13"/>
      <c r="E710" s="13"/>
      <c r="F710" s="13"/>
      <c r="G710" s="13"/>
    </row>
    <row r="711" ht="15.75" customHeight="1">
      <c r="A711" s="13"/>
      <c r="B711" s="13"/>
      <c r="C711" s="13"/>
      <c r="D711" s="13"/>
      <c r="E711" s="13"/>
      <c r="F711" s="13"/>
      <c r="G711" s="13"/>
    </row>
    <row r="712" ht="15.75" customHeight="1">
      <c r="A712" s="13"/>
      <c r="B712" s="13"/>
      <c r="C712" s="13"/>
      <c r="D712" s="13"/>
      <c r="E712" s="13"/>
      <c r="F712" s="13"/>
      <c r="G712" s="13"/>
    </row>
    <row r="713" ht="15.75" customHeight="1">
      <c r="A713" s="13"/>
      <c r="B713" s="13"/>
      <c r="C713" s="13"/>
      <c r="D713" s="13"/>
      <c r="E713" s="13"/>
      <c r="F713" s="13"/>
      <c r="G713" s="13"/>
    </row>
    <row r="714" ht="15.75" customHeight="1">
      <c r="A714" s="13"/>
      <c r="B714" s="13"/>
      <c r="C714" s="13"/>
      <c r="D714" s="13"/>
      <c r="E714" s="13"/>
      <c r="F714" s="13"/>
      <c r="G714" s="13"/>
    </row>
    <row r="715" ht="15.75" customHeight="1">
      <c r="A715" s="13"/>
      <c r="B715" s="13"/>
      <c r="C715" s="13"/>
      <c r="D715" s="13"/>
      <c r="E715" s="13"/>
      <c r="F715" s="13"/>
      <c r="G715" s="13"/>
    </row>
    <row r="716" ht="15.75" customHeight="1">
      <c r="A716" s="13"/>
      <c r="B716" s="13"/>
      <c r="C716" s="13"/>
      <c r="D716" s="13"/>
      <c r="E716" s="13"/>
      <c r="F716" s="13"/>
      <c r="G716" s="13"/>
    </row>
    <row r="717" ht="15.75" customHeight="1">
      <c r="A717" s="13"/>
      <c r="B717" s="13"/>
      <c r="C717" s="13"/>
      <c r="D717" s="13"/>
      <c r="E717" s="13"/>
      <c r="F717" s="13"/>
      <c r="G717" s="13"/>
    </row>
    <row r="718" ht="15.75" customHeight="1">
      <c r="A718" s="13"/>
      <c r="B718" s="13"/>
      <c r="C718" s="13"/>
      <c r="D718" s="13"/>
      <c r="E718" s="13"/>
      <c r="F718" s="13"/>
      <c r="G718" s="13"/>
    </row>
    <row r="719" ht="15.75" customHeight="1">
      <c r="A719" s="13"/>
      <c r="B719" s="13"/>
      <c r="C719" s="13"/>
      <c r="D719" s="13"/>
      <c r="E719" s="13"/>
      <c r="F719" s="13"/>
      <c r="G719" s="13"/>
    </row>
    <row r="720" ht="15.75" customHeight="1">
      <c r="A720" s="13"/>
      <c r="B720" s="13"/>
      <c r="C720" s="13"/>
      <c r="D720" s="13"/>
      <c r="E720" s="13"/>
      <c r="F720" s="13"/>
      <c r="G720" s="13"/>
    </row>
    <row r="721" ht="15.75" customHeight="1">
      <c r="A721" s="13"/>
      <c r="B721" s="13"/>
      <c r="C721" s="13"/>
      <c r="D721" s="13"/>
      <c r="E721" s="13"/>
      <c r="F721" s="13"/>
      <c r="G721" s="13"/>
    </row>
    <row r="722" ht="15.75" customHeight="1">
      <c r="A722" s="13"/>
      <c r="B722" s="13"/>
      <c r="C722" s="13"/>
      <c r="D722" s="13"/>
      <c r="E722" s="13"/>
      <c r="F722" s="13"/>
      <c r="G722" s="13"/>
    </row>
    <row r="723" ht="15.75" customHeight="1">
      <c r="A723" s="13"/>
      <c r="B723" s="13"/>
      <c r="C723" s="13"/>
      <c r="D723" s="13"/>
      <c r="E723" s="13"/>
      <c r="F723" s="13"/>
      <c r="G723" s="13"/>
    </row>
    <row r="724" ht="15.75" customHeight="1">
      <c r="A724" s="13"/>
      <c r="B724" s="13"/>
      <c r="C724" s="13"/>
      <c r="D724" s="13"/>
      <c r="E724" s="13"/>
      <c r="F724" s="13"/>
      <c r="G724" s="13"/>
    </row>
    <row r="725" ht="15.75" customHeight="1">
      <c r="A725" s="13"/>
      <c r="B725" s="13"/>
      <c r="C725" s="13"/>
      <c r="D725" s="13"/>
      <c r="E725" s="13"/>
      <c r="F725" s="13"/>
      <c r="G725" s="13"/>
    </row>
    <row r="726" ht="15.75" customHeight="1">
      <c r="A726" s="13"/>
      <c r="B726" s="13"/>
      <c r="C726" s="13"/>
      <c r="D726" s="13"/>
      <c r="E726" s="13"/>
      <c r="F726" s="13"/>
      <c r="G726" s="13"/>
    </row>
    <row r="727" ht="15.75" customHeight="1">
      <c r="A727" s="13"/>
      <c r="B727" s="13"/>
      <c r="C727" s="13"/>
      <c r="D727" s="13"/>
      <c r="E727" s="13"/>
      <c r="F727" s="13"/>
      <c r="G727" s="13"/>
    </row>
    <row r="728" ht="15.75" customHeight="1">
      <c r="A728" s="13"/>
      <c r="B728" s="13"/>
      <c r="C728" s="13"/>
      <c r="D728" s="13"/>
      <c r="E728" s="13"/>
      <c r="F728" s="13"/>
      <c r="G728" s="13"/>
    </row>
    <row r="729" ht="15.75" customHeight="1">
      <c r="A729" s="13"/>
      <c r="B729" s="13"/>
      <c r="C729" s="13"/>
      <c r="D729" s="13"/>
      <c r="E729" s="13"/>
      <c r="F729" s="13"/>
      <c r="G729" s="13"/>
    </row>
    <row r="730" ht="15.75" customHeight="1">
      <c r="A730" s="13"/>
      <c r="B730" s="13"/>
      <c r="C730" s="13"/>
      <c r="D730" s="13"/>
      <c r="E730" s="13"/>
      <c r="F730" s="13"/>
      <c r="G730" s="13"/>
    </row>
    <row r="731" ht="15.75" customHeight="1">
      <c r="A731" s="13"/>
      <c r="B731" s="13"/>
      <c r="C731" s="13"/>
      <c r="D731" s="13"/>
      <c r="E731" s="13"/>
      <c r="F731" s="13"/>
      <c r="G731" s="13"/>
    </row>
    <row r="732" ht="15.75" customHeight="1">
      <c r="A732" s="13"/>
      <c r="B732" s="13"/>
      <c r="C732" s="13"/>
      <c r="D732" s="13"/>
      <c r="E732" s="13"/>
      <c r="F732" s="13"/>
      <c r="G732" s="13"/>
    </row>
    <row r="733" ht="15.75" customHeight="1">
      <c r="A733" s="13"/>
      <c r="B733" s="13"/>
      <c r="C733" s="13"/>
      <c r="D733" s="13"/>
      <c r="E733" s="13"/>
      <c r="F733" s="13"/>
      <c r="G733" s="13"/>
    </row>
    <row r="734" ht="15.75" customHeight="1">
      <c r="A734" s="13"/>
      <c r="B734" s="13"/>
      <c r="C734" s="13"/>
      <c r="D734" s="13"/>
      <c r="E734" s="13"/>
      <c r="F734" s="13"/>
      <c r="G734" s="13"/>
    </row>
    <row r="735" ht="15.75" customHeight="1">
      <c r="A735" s="13"/>
      <c r="B735" s="13"/>
      <c r="C735" s="13"/>
      <c r="D735" s="13"/>
      <c r="E735" s="13"/>
      <c r="F735" s="13"/>
      <c r="G735" s="13"/>
    </row>
    <row r="736" ht="15.75" customHeight="1">
      <c r="A736" s="13"/>
      <c r="B736" s="13"/>
      <c r="C736" s="13"/>
      <c r="D736" s="13"/>
      <c r="E736" s="13"/>
      <c r="F736" s="13"/>
      <c r="G736" s="13"/>
    </row>
    <row r="737" ht="15.75" customHeight="1">
      <c r="A737" s="13"/>
      <c r="B737" s="13"/>
      <c r="C737" s="13"/>
      <c r="D737" s="13"/>
      <c r="E737" s="13"/>
      <c r="F737" s="13"/>
      <c r="G737" s="13"/>
    </row>
    <row r="738" ht="15.75" customHeight="1">
      <c r="A738" s="13"/>
      <c r="B738" s="13"/>
      <c r="C738" s="13"/>
      <c r="D738" s="13"/>
      <c r="E738" s="13"/>
      <c r="F738" s="13"/>
      <c r="G738" s="13"/>
    </row>
    <row r="739" ht="15.75" customHeight="1">
      <c r="A739" s="13"/>
      <c r="B739" s="13"/>
      <c r="C739" s="13"/>
      <c r="D739" s="13"/>
      <c r="E739" s="13"/>
      <c r="F739" s="13"/>
      <c r="G739" s="13"/>
    </row>
    <row r="740" ht="15.75" customHeight="1">
      <c r="A740" s="13"/>
      <c r="B740" s="13"/>
      <c r="C740" s="13"/>
      <c r="D740" s="13"/>
      <c r="E740" s="13"/>
      <c r="F740" s="13"/>
      <c r="G740" s="13"/>
    </row>
    <row r="741" ht="15.75" customHeight="1">
      <c r="A741" s="13"/>
      <c r="B741" s="13"/>
      <c r="C741" s="13"/>
      <c r="D741" s="13"/>
      <c r="E741" s="13"/>
      <c r="F741" s="13"/>
      <c r="G741" s="13"/>
    </row>
    <row r="742" ht="15.75" customHeight="1">
      <c r="A742" s="13"/>
      <c r="B742" s="13"/>
      <c r="C742" s="13"/>
      <c r="D742" s="13"/>
      <c r="E742" s="13"/>
      <c r="F742" s="13"/>
      <c r="G742" s="13"/>
    </row>
    <row r="743" ht="15.75" customHeight="1">
      <c r="A743" s="13"/>
      <c r="B743" s="13"/>
      <c r="C743" s="13"/>
      <c r="D743" s="13"/>
      <c r="E743" s="13"/>
      <c r="F743" s="13"/>
      <c r="G743" s="13"/>
    </row>
    <row r="744" ht="15.75" customHeight="1">
      <c r="A744" s="13"/>
      <c r="B744" s="13"/>
      <c r="C744" s="13"/>
      <c r="D744" s="13"/>
      <c r="E744" s="13"/>
      <c r="F744" s="13"/>
      <c r="G744" s="13"/>
    </row>
    <row r="745" ht="15.75" customHeight="1">
      <c r="A745" s="13"/>
      <c r="B745" s="13"/>
      <c r="C745" s="13"/>
      <c r="D745" s="13"/>
      <c r="E745" s="13"/>
      <c r="F745" s="13"/>
      <c r="G745" s="13"/>
    </row>
    <row r="746" ht="15.75" customHeight="1">
      <c r="A746" s="13"/>
      <c r="B746" s="13"/>
      <c r="C746" s="13"/>
      <c r="D746" s="13"/>
      <c r="E746" s="13"/>
      <c r="F746" s="13"/>
      <c r="G746" s="13"/>
    </row>
    <row r="747" ht="15.75" customHeight="1">
      <c r="A747" s="13"/>
      <c r="B747" s="13"/>
      <c r="C747" s="13"/>
      <c r="D747" s="13"/>
      <c r="E747" s="13"/>
      <c r="F747" s="13"/>
      <c r="G747" s="13"/>
    </row>
    <row r="748" ht="15.75" customHeight="1">
      <c r="A748" s="13"/>
      <c r="B748" s="13"/>
      <c r="C748" s="13"/>
      <c r="D748" s="13"/>
      <c r="E748" s="13"/>
      <c r="F748" s="13"/>
      <c r="G748" s="13"/>
    </row>
    <row r="749" ht="15.75" customHeight="1">
      <c r="A749" s="13"/>
      <c r="B749" s="13"/>
      <c r="C749" s="13"/>
      <c r="D749" s="13"/>
      <c r="E749" s="13"/>
      <c r="F749" s="13"/>
      <c r="G749" s="13"/>
    </row>
    <row r="750" ht="15.75" customHeight="1">
      <c r="A750" s="13"/>
      <c r="B750" s="13"/>
      <c r="C750" s="13"/>
      <c r="D750" s="13"/>
      <c r="E750" s="13"/>
      <c r="F750" s="13"/>
      <c r="G750" s="13"/>
    </row>
    <row r="751" ht="15.75" customHeight="1">
      <c r="A751" s="13"/>
      <c r="B751" s="13"/>
      <c r="C751" s="13"/>
      <c r="D751" s="13"/>
      <c r="E751" s="13"/>
      <c r="F751" s="13"/>
      <c r="G751" s="13"/>
    </row>
    <row r="752" ht="15.75" customHeight="1">
      <c r="A752" s="13"/>
      <c r="B752" s="13"/>
      <c r="C752" s="13"/>
      <c r="D752" s="13"/>
      <c r="E752" s="13"/>
      <c r="F752" s="13"/>
      <c r="G752" s="13"/>
    </row>
    <row r="753" ht="15.75" customHeight="1">
      <c r="A753" s="13"/>
      <c r="B753" s="13"/>
      <c r="C753" s="13"/>
      <c r="D753" s="13"/>
      <c r="E753" s="13"/>
      <c r="F753" s="13"/>
      <c r="G753" s="13"/>
    </row>
    <row r="754" ht="15.75" customHeight="1">
      <c r="A754" s="13"/>
      <c r="B754" s="13"/>
      <c r="C754" s="13"/>
      <c r="D754" s="13"/>
      <c r="E754" s="13"/>
      <c r="F754" s="13"/>
      <c r="G754" s="13"/>
    </row>
    <row r="755" ht="15.75" customHeight="1">
      <c r="A755" s="13"/>
      <c r="B755" s="13"/>
      <c r="C755" s="13"/>
      <c r="D755" s="13"/>
      <c r="E755" s="13"/>
      <c r="F755" s="13"/>
      <c r="G755" s="13"/>
    </row>
    <row r="756" ht="15.75" customHeight="1">
      <c r="A756" s="13"/>
      <c r="B756" s="13"/>
      <c r="C756" s="13"/>
      <c r="D756" s="13"/>
      <c r="E756" s="13"/>
      <c r="F756" s="13"/>
      <c r="G756" s="13"/>
    </row>
    <row r="757" ht="15.75" customHeight="1">
      <c r="A757" s="13"/>
      <c r="B757" s="13"/>
      <c r="C757" s="13"/>
      <c r="D757" s="13"/>
      <c r="E757" s="13"/>
      <c r="F757" s="13"/>
      <c r="G757" s="13"/>
    </row>
    <row r="758" ht="15.75" customHeight="1">
      <c r="A758" s="13"/>
      <c r="B758" s="13"/>
      <c r="C758" s="13"/>
      <c r="D758" s="13"/>
      <c r="E758" s="13"/>
      <c r="F758" s="13"/>
      <c r="G758" s="13"/>
    </row>
    <row r="759" ht="15.75" customHeight="1">
      <c r="A759" s="13"/>
      <c r="B759" s="13"/>
      <c r="C759" s="13"/>
      <c r="D759" s="13"/>
      <c r="E759" s="13"/>
      <c r="F759" s="13"/>
      <c r="G759" s="13"/>
    </row>
    <row r="760" ht="15.75" customHeight="1">
      <c r="A760" s="13"/>
      <c r="B760" s="13"/>
      <c r="C760" s="13"/>
      <c r="D760" s="13"/>
      <c r="E760" s="13"/>
      <c r="F760" s="13"/>
      <c r="G760" s="13"/>
    </row>
    <row r="761" ht="15.75" customHeight="1">
      <c r="A761" s="13"/>
      <c r="B761" s="13"/>
      <c r="C761" s="13"/>
      <c r="D761" s="13"/>
      <c r="E761" s="13"/>
      <c r="F761" s="13"/>
      <c r="G761" s="13"/>
    </row>
    <row r="762" ht="15.75" customHeight="1">
      <c r="A762" s="13"/>
      <c r="B762" s="13"/>
      <c r="C762" s="13"/>
      <c r="D762" s="13"/>
      <c r="E762" s="13"/>
      <c r="F762" s="13"/>
      <c r="G762" s="13"/>
    </row>
    <row r="763" ht="15.75" customHeight="1">
      <c r="A763" s="13"/>
      <c r="B763" s="13"/>
      <c r="C763" s="13"/>
      <c r="D763" s="13"/>
      <c r="E763" s="13"/>
      <c r="F763" s="13"/>
      <c r="G763" s="13"/>
    </row>
    <row r="764" ht="15.75" customHeight="1">
      <c r="A764" s="13"/>
      <c r="B764" s="13"/>
      <c r="C764" s="13"/>
      <c r="D764" s="13"/>
      <c r="E764" s="13"/>
      <c r="F764" s="13"/>
      <c r="G764" s="13"/>
    </row>
    <row r="765" ht="15.75" customHeight="1">
      <c r="A765" s="13"/>
      <c r="B765" s="13"/>
      <c r="C765" s="13"/>
      <c r="D765" s="13"/>
      <c r="E765" s="13"/>
      <c r="F765" s="13"/>
      <c r="G765" s="13"/>
    </row>
    <row r="766" ht="15.75" customHeight="1">
      <c r="A766" s="13"/>
      <c r="B766" s="13"/>
      <c r="C766" s="13"/>
      <c r="D766" s="13"/>
      <c r="E766" s="13"/>
      <c r="F766" s="13"/>
      <c r="G766" s="13"/>
    </row>
    <row r="767" ht="15.75" customHeight="1">
      <c r="A767" s="13"/>
      <c r="B767" s="13"/>
      <c r="C767" s="13"/>
      <c r="D767" s="13"/>
      <c r="E767" s="13"/>
      <c r="F767" s="13"/>
      <c r="G767" s="13"/>
    </row>
    <row r="768" ht="15.75" customHeight="1">
      <c r="A768" s="13"/>
      <c r="B768" s="13"/>
      <c r="C768" s="13"/>
      <c r="D768" s="13"/>
      <c r="E768" s="13"/>
      <c r="F768" s="13"/>
      <c r="G768" s="13"/>
    </row>
    <row r="769" ht="15.75" customHeight="1">
      <c r="A769" s="13"/>
      <c r="B769" s="13"/>
      <c r="C769" s="13"/>
      <c r="D769" s="13"/>
      <c r="E769" s="13"/>
      <c r="F769" s="13"/>
      <c r="G769" s="13"/>
    </row>
    <row r="770" ht="15.75" customHeight="1">
      <c r="A770" s="13"/>
      <c r="B770" s="13"/>
      <c r="C770" s="13"/>
      <c r="D770" s="13"/>
      <c r="E770" s="13"/>
      <c r="F770" s="13"/>
      <c r="G770" s="13"/>
    </row>
    <row r="771" ht="15.75" customHeight="1">
      <c r="A771" s="13"/>
      <c r="B771" s="13"/>
      <c r="C771" s="13"/>
      <c r="D771" s="13"/>
      <c r="E771" s="13"/>
      <c r="F771" s="13"/>
      <c r="G771" s="13"/>
    </row>
    <row r="772" ht="15.75" customHeight="1">
      <c r="A772" s="13"/>
      <c r="B772" s="13"/>
      <c r="C772" s="13"/>
      <c r="D772" s="13"/>
      <c r="E772" s="13"/>
      <c r="F772" s="13"/>
      <c r="G772" s="13"/>
    </row>
    <row r="773" ht="15.75" customHeight="1">
      <c r="A773" s="13"/>
      <c r="B773" s="13"/>
      <c r="C773" s="13"/>
      <c r="D773" s="13"/>
      <c r="E773" s="13"/>
      <c r="F773" s="13"/>
      <c r="G773" s="13"/>
    </row>
    <row r="774" ht="15.75" customHeight="1">
      <c r="A774" s="13"/>
      <c r="B774" s="13"/>
      <c r="C774" s="13"/>
      <c r="D774" s="13"/>
      <c r="E774" s="13"/>
      <c r="F774" s="13"/>
      <c r="G774" s="13"/>
    </row>
    <row r="775" ht="15.75" customHeight="1">
      <c r="A775" s="13"/>
      <c r="B775" s="13"/>
      <c r="C775" s="13"/>
      <c r="D775" s="13"/>
      <c r="E775" s="13"/>
      <c r="F775" s="13"/>
      <c r="G775" s="13"/>
    </row>
    <row r="776" ht="15.75" customHeight="1">
      <c r="A776" s="13"/>
      <c r="B776" s="13"/>
      <c r="C776" s="13"/>
      <c r="D776" s="13"/>
      <c r="E776" s="13"/>
      <c r="F776" s="13"/>
      <c r="G776" s="13"/>
    </row>
    <row r="777" ht="15.75" customHeight="1">
      <c r="A777" s="13"/>
      <c r="B777" s="13"/>
      <c r="C777" s="13"/>
      <c r="D777" s="13"/>
      <c r="E777" s="13"/>
      <c r="F777" s="13"/>
      <c r="G777" s="13"/>
    </row>
    <row r="778" ht="15.75" customHeight="1">
      <c r="A778" s="13"/>
      <c r="B778" s="13"/>
      <c r="C778" s="13"/>
      <c r="D778" s="13"/>
      <c r="E778" s="13"/>
      <c r="F778" s="13"/>
      <c r="G778" s="13"/>
    </row>
    <row r="779" ht="15.75" customHeight="1">
      <c r="A779" s="13"/>
      <c r="B779" s="13"/>
      <c r="C779" s="13"/>
      <c r="D779" s="13"/>
      <c r="E779" s="13"/>
      <c r="F779" s="13"/>
      <c r="G779" s="13"/>
    </row>
    <row r="780" ht="15.75" customHeight="1">
      <c r="A780" s="13"/>
      <c r="B780" s="13"/>
      <c r="C780" s="13"/>
      <c r="D780" s="13"/>
      <c r="E780" s="13"/>
      <c r="F780" s="13"/>
      <c r="G780" s="13"/>
    </row>
    <row r="781" ht="15.75" customHeight="1">
      <c r="A781" s="13"/>
      <c r="B781" s="13"/>
      <c r="C781" s="13"/>
      <c r="D781" s="13"/>
      <c r="E781" s="13"/>
      <c r="F781" s="13"/>
      <c r="G781" s="13"/>
    </row>
    <row r="782" ht="15.75" customHeight="1">
      <c r="A782" s="13"/>
      <c r="B782" s="13"/>
      <c r="C782" s="13"/>
      <c r="D782" s="13"/>
      <c r="E782" s="13"/>
      <c r="F782" s="13"/>
      <c r="G782" s="13"/>
    </row>
    <row r="783" ht="15.75" customHeight="1">
      <c r="A783" s="13"/>
      <c r="B783" s="13"/>
      <c r="C783" s="13"/>
      <c r="D783" s="13"/>
      <c r="E783" s="13"/>
      <c r="F783" s="13"/>
      <c r="G783" s="13"/>
    </row>
    <row r="784" ht="15.75" customHeight="1">
      <c r="A784" s="13"/>
      <c r="B784" s="13"/>
      <c r="C784" s="13"/>
      <c r="D784" s="13"/>
      <c r="E784" s="13"/>
      <c r="F784" s="13"/>
      <c r="G784" s="13"/>
    </row>
    <row r="785" ht="15.75" customHeight="1">
      <c r="A785" s="13"/>
      <c r="B785" s="13"/>
      <c r="C785" s="13"/>
      <c r="D785" s="13"/>
      <c r="E785" s="13"/>
      <c r="F785" s="13"/>
      <c r="G785" s="13"/>
    </row>
    <row r="786" ht="15.75" customHeight="1">
      <c r="A786" s="13"/>
      <c r="B786" s="13"/>
      <c r="C786" s="13"/>
      <c r="D786" s="13"/>
      <c r="E786" s="13"/>
      <c r="F786" s="13"/>
      <c r="G786" s="13"/>
    </row>
    <row r="787" ht="15.75" customHeight="1">
      <c r="A787" s="13"/>
      <c r="B787" s="13"/>
      <c r="C787" s="13"/>
      <c r="D787" s="13"/>
      <c r="E787" s="13"/>
      <c r="F787" s="13"/>
      <c r="G787" s="13"/>
    </row>
    <row r="788" ht="15.75" customHeight="1">
      <c r="A788" s="13"/>
      <c r="B788" s="13"/>
      <c r="C788" s="13"/>
      <c r="D788" s="13"/>
      <c r="E788" s="13"/>
      <c r="F788" s="13"/>
      <c r="G788" s="13"/>
    </row>
    <row r="789" ht="15.75" customHeight="1">
      <c r="A789" s="13"/>
      <c r="B789" s="13"/>
      <c r="C789" s="13"/>
      <c r="D789" s="13"/>
      <c r="E789" s="13"/>
      <c r="F789" s="13"/>
      <c r="G789" s="13"/>
    </row>
    <row r="790" ht="15.75" customHeight="1">
      <c r="A790" s="13"/>
      <c r="B790" s="13"/>
      <c r="C790" s="13"/>
      <c r="D790" s="13"/>
      <c r="E790" s="13"/>
      <c r="F790" s="13"/>
      <c r="G790" s="13"/>
    </row>
    <row r="791" ht="15.75" customHeight="1">
      <c r="A791" s="13"/>
      <c r="B791" s="13"/>
      <c r="C791" s="13"/>
      <c r="D791" s="13"/>
      <c r="E791" s="13"/>
      <c r="F791" s="13"/>
      <c r="G791" s="13"/>
    </row>
    <row r="792" ht="15.75" customHeight="1">
      <c r="A792" s="13"/>
      <c r="B792" s="13"/>
      <c r="C792" s="13"/>
      <c r="D792" s="13"/>
      <c r="E792" s="13"/>
      <c r="F792" s="13"/>
      <c r="G792" s="13"/>
    </row>
    <row r="793" ht="15.75" customHeight="1">
      <c r="A793" s="13"/>
      <c r="B793" s="13"/>
      <c r="C793" s="13"/>
      <c r="D793" s="13"/>
      <c r="E793" s="13"/>
      <c r="F793" s="13"/>
      <c r="G793" s="13"/>
    </row>
    <row r="794" ht="15.75" customHeight="1">
      <c r="A794" s="13"/>
      <c r="B794" s="13"/>
      <c r="C794" s="13"/>
      <c r="D794" s="13"/>
      <c r="E794" s="13"/>
      <c r="F794" s="13"/>
      <c r="G794" s="13"/>
    </row>
    <row r="795" ht="15.75" customHeight="1">
      <c r="A795" s="13"/>
      <c r="B795" s="13"/>
      <c r="C795" s="13"/>
      <c r="D795" s="13"/>
      <c r="E795" s="13"/>
      <c r="F795" s="13"/>
      <c r="G795" s="13"/>
    </row>
    <row r="796" ht="15.75" customHeight="1">
      <c r="A796" s="13"/>
      <c r="B796" s="13"/>
      <c r="C796" s="13"/>
      <c r="D796" s="13"/>
      <c r="E796" s="13"/>
      <c r="F796" s="13"/>
      <c r="G796" s="13"/>
    </row>
    <row r="797" ht="15.75" customHeight="1">
      <c r="A797" s="13"/>
      <c r="B797" s="13"/>
      <c r="C797" s="13"/>
      <c r="D797" s="13"/>
      <c r="E797" s="13"/>
      <c r="F797" s="13"/>
      <c r="G797" s="13"/>
    </row>
    <row r="798" ht="15.75" customHeight="1">
      <c r="A798" s="13"/>
      <c r="B798" s="13"/>
      <c r="C798" s="13"/>
      <c r="D798" s="13"/>
      <c r="E798" s="13"/>
      <c r="F798" s="13"/>
      <c r="G798" s="13"/>
    </row>
    <row r="799" ht="15.75" customHeight="1">
      <c r="A799" s="13"/>
      <c r="B799" s="13"/>
      <c r="C799" s="13"/>
      <c r="D799" s="13"/>
      <c r="E799" s="13"/>
      <c r="F799" s="13"/>
      <c r="G799" s="13"/>
    </row>
    <row r="800" ht="15.75" customHeight="1">
      <c r="A800" s="13"/>
      <c r="B800" s="13"/>
      <c r="C800" s="13"/>
      <c r="D800" s="13"/>
      <c r="E800" s="13"/>
      <c r="F800" s="13"/>
      <c r="G800" s="13"/>
    </row>
    <row r="801" ht="15.75" customHeight="1">
      <c r="A801" s="13"/>
      <c r="B801" s="13"/>
      <c r="C801" s="13"/>
      <c r="D801" s="13"/>
      <c r="E801" s="13"/>
      <c r="F801" s="13"/>
      <c r="G801" s="13"/>
    </row>
    <row r="802" ht="15.75" customHeight="1">
      <c r="A802" s="13"/>
      <c r="B802" s="13"/>
      <c r="C802" s="13"/>
      <c r="D802" s="13"/>
      <c r="E802" s="13"/>
      <c r="F802" s="13"/>
      <c r="G802" s="13"/>
    </row>
    <row r="803" ht="15.75" customHeight="1">
      <c r="A803" s="13"/>
      <c r="B803" s="13"/>
      <c r="C803" s="13"/>
      <c r="D803" s="13"/>
      <c r="E803" s="13"/>
      <c r="F803" s="13"/>
      <c r="G803" s="13"/>
    </row>
    <row r="804" ht="15.75" customHeight="1">
      <c r="A804" s="13"/>
      <c r="B804" s="13"/>
      <c r="C804" s="13"/>
      <c r="D804" s="13"/>
      <c r="E804" s="13"/>
      <c r="F804" s="13"/>
      <c r="G804" s="13"/>
    </row>
    <row r="805" ht="15.75" customHeight="1">
      <c r="A805" s="13"/>
      <c r="B805" s="13"/>
      <c r="C805" s="13"/>
      <c r="D805" s="13"/>
      <c r="E805" s="13"/>
      <c r="F805" s="13"/>
      <c r="G805" s="13"/>
    </row>
    <row r="806" ht="15.75" customHeight="1">
      <c r="A806" s="13"/>
      <c r="B806" s="13"/>
      <c r="C806" s="13"/>
      <c r="D806" s="13"/>
      <c r="E806" s="13"/>
      <c r="F806" s="13"/>
      <c r="G806" s="13"/>
    </row>
    <row r="807" ht="15.75" customHeight="1">
      <c r="A807" s="13"/>
      <c r="B807" s="13"/>
      <c r="C807" s="13"/>
      <c r="D807" s="13"/>
      <c r="E807" s="13"/>
      <c r="F807" s="13"/>
      <c r="G807" s="13"/>
    </row>
    <row r="808" ht="15.75" customHeight="1">
      <c r="A808" s="13"/>
      <c r="B808" s="13"/>
      <c r="C808" s="13"/>
      <c r="D808" s="13"/>
      <c r="E808" s="13"/>
      <c r="F808" s="13"/>
      <c r="G808" s="13"/>
    </row>
    <row r="809" ht="15.75" customHeight="1">
      <c r="A809" s="13"/>
      <c r="B809" s="13"/>
      <c r="C809" s="13"/>
      <c r="D809" s="13"/>
      <c r="E809" s="13"/>
      <c r="F809" s="13"/>
      <c r="G809" s="13"/>
    </row>
    <row r="810" ht="15.75" customHeight="1">
      <c r="A810" s="13"/>
      <c r="B810" s="13"/>
      <c r="C810" s="13"/>
      <c r="D810" s="13"/>
      <c r="E810" s="13"/>
      <c r="F810" s="13"/>
      <c r="G810" s="13"/>
    </row>
    <row r="811" ht="15.75" customHeight="1">
      <c r="A811" s="13"/>
      <c r="B811" s="13"/>
      <c r="C811" s="13"/>
      <c r="D811" s="13"/>
      <c r="E811" s="13"/>
      <c r="F811" s="13"/>
      <c r="G811" s="13"/>
    </row>
    <row r="812" ht="15.75" customHeight="1">
      <c r="A812" s="13"/>
      <c r="B812" s="13"/>
      <c r="C812" s="13"/>
      <c r="D812" s="13"/>
      <c r="E812" s="13"/>
      <c r="F812" s="13"/>
      <c r="G812" s="13"/>
    </row>
    <row r="813" ht="15.75" customHeight="1">
      <c r="A813" s="13"/>
      <c r="B813" s="13"/>
      <c r="C813" s="13"/>
      <c r="D813" s="13"/>
      <c r="E813" s="13"/>
      <c r="F813" s="13"/>
      <c r="G813" s="13"/>
    </row>
    <row r="814" ht="15.75" customHeight="1">
      <c r="A814" s="13"/>
      <c r="B814" s="13"/>
      <c r="C814" s="13"/>
      <c r="D814" s="13"/>
      <c r="E814" s="13"/>
      <c r="F814" s="13"/>
      <c r="G814" s="13"/>
    </row>
    <row r="815" ht="15.75" customHeight="1">
      <c r="A815" s="13"/>
      <c r="B815" s="13"/>
      <c r="C815" s="13"/>
      <c r="D815" s="13"/>
      <c r="E815" s="13"/>
      <c r="F815" s="13"/>
      <c r="G815" s="13"/>
    </row>
    <row r="816" ht="15.75" customHeight="1">
      <c r="A816" s="13"/>
      <c r="B816" s="13"/>
      <c r="C816" s="13"/>
      <c r="D816" s="13"/>
      <c r="E816" s="13"/>
      <c r="F816" s="13"/>
      <c r="G816" s="13"/>
    </row>
    <row r="817" ht="15.75" customHeight="1">
      <c r="A817" s="13"/>
      <c r="B817" s="13"/>
      <c r="C817" s="13"/>
      <c r="D817" s="13"/>
      <c r="E817" s="13"/>
      <c r="F817" s="13"/>
      <c r="G817" s="13"/>
    </row>
    <row r="818" ht="15.75" customHeight="1">
      <c r="A818" s="13"/>
      <c r="B818" s="13"/>
      <c r="C818" s="13"/>
      <c r="D818" s="13"/>
      <c r="E818" s="13"/>
      <c r="F818" s="13"/>
      <c r="G818" s="13"/>
    </row>
    <row r="819" ht="15.75" customHeight="1">
      <c r="A819" s="13"/>
      <c r="B819" s="13"/>
      <c r="C819" s="13"/>
      <c r="D819" s="13"/>
      <c r="E819" s="13"/>
      <c r="F819" s="13"/>
      <c r="G819" s="13"/>
    </row>
    <row r="820" ht="15.75" customHeight="1">
      <c r="A820" s="13"/>
      <c r="B820" s="13"/>
      <c r="C820" s="13"/>
      <c r="D820" s="13"/>
      <c r="E820" s="13"/>
      <c r="F820" s="13"/>
      <c r="G820" s="13"/>
    </row>
    <row r="821" ht="15.75" customHeight="1">
      <c r="A821" s="13"/>
      <c r="B821" s="13"/>
      <c r="C821" s="13"/>
      <c r="D821" s="13"/>
      <c r="E821" s="13"/>
      <c r="F821" s="13"/>
      <c r="G821" s="13"/>
    </row>
    <row r="822" ht="15.75" customHeight="1">
      <c r="A822" s="13"/>
      <c r="B822" s="13"/>
      <c r="C822" s="13"/>
      <c r="D822" s="13"/>
      <c r="E822" s="13"/>
      <c r="F822" s="13"/>
      <c r="G822" s="13"/>
    </row>
    <row r="823" ht="15.75" customHeight="1">
      <c r="A823" s="13"/>
      <c r="B823" s="13"/>
      <c r="C823" s="13"/>
      <c r="D823" s="13"/>
      <c r="E823" s="13"/>
      <c r="F823" s="13"/>
      <c r="G823" s="13"/>
    </row>
    <row r="824" ht="15.75" customHeight="1">
      <c r="A824" s="13"/>
      <c r="B824" s="13"/>
      <c r="C824" s="13"/>
      <c r="D824" s="13"/>
      <c r="E824" s="13"/>
      <c r="F824" s="13"/>
      <c r="G824" s="13"/>
    </row>
    <row r="825" ht="15.75" customHeight="1">
      <c r="A825" s="13"/>
      <c r="B825" s="13"/>
      <c r="C825" s="13"/>
      <c r="D825" s="13"/>
      <c r="E825" s="13"/>
      <c r="F825" s="13"/>
      <c r="G825" s="13"/>
    </row>
    <row r="826" ht="15.75" customHeight="1">
      <c r="A826" s="13"/>
      <c r="B826" s="13"/>
      <c r="C826" s="13"/>
      <c r="D826" s="13"/>
      <c r="E826" s="13"/>
      <c r="F826" s="13"/>
      <c r="G826" s="13"/>
    </row>
    <row r="827" ht="15.75" customHeight="1">
      <c r="A827" s="13"/>
      <c r="B827" s="13"/>
      <c r="C827" s="13"/>
      <c r="D827" s="13"/>
      <c r="E827" s="13"/>
      <c r="F827" s="13"/>
      <c r="G827" s="13"/>
    </row>
    <row r="828" ht="15.75" customHeight="1">
      <c r="A828" s="13"/>
      <c r="B828" s="13"/>
      <c r="C828" s="13"/>
      <c r="D828" s="13"/>
      <c r="E828" s="13"/>
      <c r="F828" s="13"/>
      <c r="G828" s="13"/>
    </row>
    <row r="829" ht="15.75" customHeight="1">
      <c r="A829" s="13"/>
      <c r="B829" s="13"/>
      <c r="C829" s="13"/>
      <c r="D829" s="13"/>
      <c r="E829" s="13"/>
      <c r="F829" s="13"/>
      <c r="G829" s="13"/>
    </row>
    <row r="830" ht="15.75" customHeight="1">
      <c r="A830" s="13"/>
      <c r="B830" s="13"/>
      <c r="C830" s="13"/>
      <c r="D830" s="13"/>
      <c r="E830" s="13"/>
      <c r="F830" s="13"/>
      <c r="G830" s="13"/>
    </row>
    <row r="831" ht="15.75" customHeight="1">
      <c r="A831" s="13"/>
      <c r="B831" s="13"/>
      <c r="C831" s="13"/>
      <c r="D831" s="13"/>
      <c r="E831" s="13"/>
      <c r="F831" s="13"/>
      <c r="G831" s="13"/>
    </row>
    <row r="832" ht="15.75" customHeight="1">
      <c r="A832" s="13"/>
      <c r="B832" s="13"/>
      <c r="C832" s="13"/>
      <c r="D832" s="13"/>
      <c r="E832" s="13"/>
      <c r="F832" s="13"/>
      <c r="G832" s="13"/>
    </row>
    <row r="833" ht="15.75" customHeight="1">
      <c r="A833" s="13"/>
      <c r="B833" s="13"/>
      <c r="C833" s="13"/>
      <c r="D833" s="13"/>
      <c r="E833" s="13"/>
      <c r="F833" s="13"/>
      <c r="G833" s="13"/>
    </row>
    <row r="834" ht="15.75" customHeight="1">
      <c r="A834" s="13"/>
      <c r="B834" s="13"/>
      <c r="C834" s="13"/>
      <c r="D834" s="13"/>
      <c r="E834" s="13"/>
      <c r="F834" s="13"/>
      <c r="G834" s="13"/>
    </row>
    <row r="835" ht="15.75" customHeight="1">
      <c r="A835" s="13"/>
      <c r="B835" s="13"/>
      <c r="C835" s="13"/>
      <c r="D835" s="13"/>
      <c r="E835" s="13"/>
      <c r="F835" s="13"/>
      <c r="G835" s="13"/>
    </row>
    <row r="836" ht="15.75" customHeight="1">
      <c r="A836" s="13"/>
      <c r="B836" s="13"/>
      <c r="C836" s="13"/>
      <c r="D836" s="13"/>
      <c r="E836" s="13"/>
      <c r="F836" s="13"/>
      <c r="G836" s="13"/>
    </row>
    <row r="837" ht="15.75" customHeight="1">
      <c r="A837" s="13"/>
      <c r="B837" s="13"/>
      <c r="C837" s="13"/>
      <c r="D837" s="13"/>
      <c r="E837" s="13"/>
      <c r="F837" s="13"/>
      <c r="G837" s="13"/>
    </row>
    <row r="838" ht="15.75" customHeight="1">
      <c r="A838" s="13"/>
      <c r="B838" s="13"/>
      <c r="C838" s="13"/>
      <c r="D838" s="13"/>
      <c r="E838" s="13"/>
      <c r="F838" s="13"/>
      <c r="G838" s="13"/>
    </row>
    <row r="839" ht="15.75" customHeight="1">
      <c r="A839" s="13"/>
      <c r="B839" s="13"/>
      <c r="C839" s="13"/>
      <c r="D839" s="13"/>
      <c r="E839" s="13"/>
      <c r="F839" s="13"/>
      <c r="G839" s="13"/>
    </row>
    <row r="840" ht="15.75" customHeight="1">
      <c r="A840" s="13"/>
      <c r="B840" s="13"/>
      <c r="C840" s="13"/>
      <c r="D840" s="13"/>
      <c r="E840" s="13"/>
      <c r="F840" s="13"/>
      <c r="G840" s="13"/>
    </row>
    <row r="841" ht="15.75" customHeight="1">
      <c r="A841" s="13"/>
      <c r="B841" s="13"/>
      <c r="C841" s="13"/>
      <c r="D841" s="13"/>
      <c r="E841" s="13"/>
      <c r="F841" s="13"/>
      <c r="G841" s="13"/>
    </row>
    <row r="842" ht="15.75" customHeight="1">
      <c r="A842" s="13"/>
      <c r="B842" s="13"/>
      <c r="C842" s="13"/>
      <c r="D842" s="13"/>
      <c r="E842" s="13"/>
      <c r="F842" s="13"/>
      <c r="G842" s="13"/>
    </row>
    <row r="843" ht="15.75" customHeight="1">
      <c r="A843" s="13"/>
      <c r="B843" s="13"/>
      <c r="C843" s="13"/>
      <c r="D843" s="13"/>
      <c r="E843" s="13"/>
      <c r="F843" s="13"/>
      <c r="G843" s="13"/>
    </row>
    <row r="844" ht="15.75" customHeight="1">
      <c r="A844" s="13"/>
      <c r="B844" s="13"/>
      <c r="C844" s="13"/>
      <c r="D844" s="13"/>
      <c r="E844" s="13"/>
      <c r="F844" s="13"/>
      <c r="G844" s="13"/>
    </row>
    <row r="845" ht="15.75" customHeight="1">
      <c r="A845" s="13"/>
      <c r="B845" s="13"/>
      <c r="C845" s="13"/>
      <c r="D845" s="13"/>
      <c r="E845" s="13"/>
      <c r="F845" s="13"/>
      <c r="G845" s="13"/>
    </row>
    <row r="846" ht="15.75" customHeight="1">
      <c r="A846" s="13"/>
      <c r="B846" s="13"/>
      <c r="C846" s="13"/>
      <c r="D846" s="13"/>
      <c r="E846" s="13"/>
      <c r="F846" s="13"/>
      <c r="G846" s="13"/>
    </row>
    <row r="847" ht="15.75" customHeight="1">
      <c r="A847" s="13"/>
      <c r="B847" s="13"/>
      <c r="C847" s="13"/>
      <c r="D847" s="13"/>
      <c r="E847" s="13"/>
      <c r="F847" s="13"/>
      <c r="G847" s="13"/>
    </row>
    <row r="848" ht="15.75" customHeight="1">
      <c r="A848" s="13"/>
      <c r="B848" s="13"/>
      <c r="C848" s="13"/>
      <c r="D848" s="13"/>
      <c r="E848" s="13"/>
      <c r="F848" s="13"/>
      <c r="G848" s="13"/>
    </row>
    <row r="849" ht="15.75" customHeight="1">
      <c r="A849" s="13"/>
      <c r="B849" s="13"/>
      <c r="C849" s="13"/>
      <c r="D849" s="13"/>
      <c r="E849" s="13"/>
      <c r="F849" s="13"/>
      <c r="G849" s="13"/>
    </row>
    <row r="850" ht="15.75" customHeight="1">
      <c r="A850" s="13"/>
      <c r="B850" s="13"/>
      <c r="C850" s="13"/>
      <c r="D850" s="13"/>
      <c r="E850" s="13"/>
      <c r="F850" s="13"/>
      <c r="G850" s="13"/>
    </row>
    <row r="851" ht="15.75" customHeight="1">
      <c r="A851" s="13"/>
      <c r="B851" s="13"/>
      <c r="C851" s="13"/>
      <c r="D851" s="13"/>
      <c r="E851" s="13"/>
      <c r="F851" s="13"/>
      <c r="G851" s="13"/>
    </row>
    <row r="852" ht="15.75" customHeight="1">
      <c r="A852" s="13"/>
      <c r="B852" s="13"/>
      <c r="C852" s="13"/>
      <c r="D852" s="13"/>
      <c r="E852" s="13"/>
      <c r="F852" s="13"/>
      <c r="G852" s="13"/>
    </row>
    <row r="853" ht="15.75" customHeight="1">
      <c r="A853" s="13"/>
      <c r="B853" s="13"/>
      <c r="C853" s="13"/>
      <c r="D853" s="13"/>
      <c r="E853" s="13"/>
      <c r="F853" s="13"/>
      <c r="G853" s="13"/>
    </row>
    <row r="854" ht="15.75" customHeight="1">
      <c r="A854" s="13"/>
      <c r="B854" s="13"/>
      <c r="C854" s="13"/>
      <c r="D854" s="13"/>
      <c r="E854" s="13"/>
      <c r="F854" s="13"/>
      <c r="G854" s="13"/>
    </row>
    <row r="855" ht="15.75" customHeight="1">
      <c r="A855" s="13"/>
      <c r="B855" s="13"/>
      <c r="C855" s="13"/>
      <c r="D855" s="13"/>
      <c r="E855" s="13"/>
      <c r="F855" s="13"/>
      <c r="G855" s="13"/>
    </row>
    <row r="856" ht="15.75" customHeight="1">
      <c r="A856" s="13"/>
      <c r="B856" s="13"/>
      <c r="C856" s="13"/>
      <c r="D856" s="13"/>
      <c r="E856" s="13"/>
      <c r="F856" s="13"/>
      <c r="G856" s="13"/>
    </row>
    <row r="857" ht="15.75" customHeight="1">
      <c r="A857" s="13"/>
      <c r="B857" s="13"/>
      <c r="C857" s="13"/>
      <c r="D857" s="13"/>
      <c r="E857" s="13"/>
      <c r="F857" s="13"/>
      <c r="G857" s="13"/>
    </row>
    <row r="858" ht="15.75" customHeight="1">
      <c r="A858" s="13"/>
      <c r="B858" s="13"/>
      <c r="C858" s="13"/>
      <c r="D858" s="13"/>
      <c r="E858" s="13"/>
      <c r="F858" s="13"/>
      <c r="G858" s="13"/>
    </row>
    <row r="859" ht="15.75" customHeight="1">
      <c r="A859" s="13"/>
      <c r="B859" s="13"/>
      <c r="C859" s="13"/>
      <c r="D859" s="13"/>
      <c r="E859" s="13"/>
      <c r="F859" s="13"/>
      <c r="G859" s="13"/>
    </row>
    <row r="860" ht="15.75" customHeight="1">
      <c r="A860" s="13"/>
      <c r="B860" s="13"/>
      <c r="C860" s="13"/>
      <c r="D860" s="13"/>
      <c r="E860" s="13"/>
      <c r="F860" s="13"/>
      <c r="G860" s="13"/>
    </row>
    <row r="861" ht="15.75" customHeight="1">
      <c r="A861" s="13"/>
      <c r="B861" s="13"/>
      <c r="C861" s="13"/>
      <c r="D861" s="13"/>
      <c r="E861" s="13"/>
      <c r="F861" s="13"/>
      <c r="G861" s="13"/>
    </row>
    <row r="862" ht="15.75" customHeight="1">
      <c r="A862" s="13"/>
      <c r="B862" s="13"/>
      <c r="C862" s="13"/>
      <c r="D862" s="13"/>
      <c r="E862" s="13"/>
      <c r="F862" s="13"/>
      <c r="G862" s="13"/>
    </row>
    <row r="863" ht="15.75" customHeight="1">
      <c r="A863" s="13"/>
      <c r="B863" s="13"/>
      <c r="C863" s="13"/>
      <c r="D863" s="13"/>
      <c r="E863" s="13"/>
      <c r="F863" s="13"/>
      <c r="G863" s="13"/>
    </row>
    <row r="864" ht="15.75" customHeight="1">
      <c r="A864" s="13"/>
      <c r="B864" s="13"/>
      <c r="C864" s="13"/>
      <c r="D864" s="13"/>
      <c r="E864" s="13"/>
      <c r="F864" s="13"/>
      <c r="G864" s="13"/>
    </row>
    <row r="865" ht="15.75" customHeight="1">
      <c r="A865" s="13"/>
      <c r="B865" s="13"/>
      <c r="C865" s="13"/>
      <c r="D865" s="13"/>
      <c r="E865" s="13"/>
      <c r="F865" s="13"/>
      <c r="G865" s="13"/>
    </row>
    <row r="866" ht="15.75" customHeight="1">
      <c r="A866" s="13"/>
      <c r="B866" s="13"/>
      <c r="C866" s="13"/>
      <c r="D866" s="13"/>
      <c r="E866" s="13"/>
      <c r="F866" s="13"/>
      <c r="G866" s="13"/>
    </row>
    <row r="867" ht="15.75" customHeight="1">
      <c r="A867" s="13"/>
      <c r="B867" s="13"/>
      <c r="C867" s="13"/>
      <c r="D867" s="13"/>
      <c r="E867" s="13"/>
      <c r="F867" s="13"/>
      <c r="G867" s="13"/>
    </row>
    <row r="868" ht="15.75" customHeight="1">
      <c r="A868" s="13"/>
      <c r="B868" s="13"/>
      <c r="C868" s="13"/>
      <c r="D868" s="13"/>
      <c r="E868" s="13"/>
      <c r="F868" s="13"/>
      <c r="G868" s="13"/>
    </row>
    <row r="869" ht="15.75" customHeight="1">
      <c r="A869" s="13"/>
      <c r="B869" s="13"/>
      <c r="C869" s="13"/>
      <c r="D869" s="13"/>
      <c r="E869" s="13"/>
      <c r="F869" s="13"/>
      <c r="G869" s="13"/>
    </row>
    <row r="870" ht="15.75" customHeight="1">
      <c r="A870" s="13"/>
      <c r="B870" s="13"/>
      <c r="C870" s="13"/>
      <c r="D870" s="13"/>
      <c r="E870" s="13"/>
      <c r="F870" s="13"/>
      <c r="G870" s="13"/>
    </row>
    <row r="871" ht="15.75" customHeight="1">
      <c r="A871" s="13"/>
      <c r="B871" s="13"/>
      <c r="C871" s="13"/>
      <c r="D871" s="13"/>
      <c r="E871" s="13"/>
      <c r="F871" s="13"/>
      <c r="G871" s="13"/>
    </row>
    <row r="872" ht="15.75" customHeight="1">
      <c r="A872" s="13"/>
      <c r="B872" s="13"/>
      <c r="C872" s="13"/>
      <c r="D872" s="13"/>
      <c r="E872" s="13"/>
      <c r="F872" s="13"/>
      <c r="G872" s="13"/>
    </row>
    <row r="873" ht="15.75" customHeight="1">
      <c r="A873" s="13"/>
      <c r="B873" s="13"/>
      <c r="C873" s="13"/>
      <c r="D873" s="13"/>
      <c r="E873" s="13"/>
      <c r="F873" s="13"/>
      <c r="G873" s="13"/>
    </row>
    <row r="874" ht="15.75" customHeight="1">
      <c r="A874" s="13"/>
      <c r="B874" s="13"/>
      <c r="C874" s="13"/>
      <c r="D874" s="13"/>
      <c r="E874" s="13"/>
      <c r="F874" s="13"/>
      <c r="G874" s="13"/>
    </row>
    <row r="875" ht="15.75" customHeight="1">
      <c r="A875" s="13"/>
      <c r="B875" s="13"/>
      <c r="C875" s="13"/>
      <c r="D875" s="13"/>
      <c r="E875" s="13"/>
      <c r="F875" s="13"/>
      <c r="G875" s="13"/>
    </row>
    <row r="876" ht="15.75" customHeight="1">
      <c r="A876" s="13"/>
      <c r="B876" s="13"/>
      <c r="C876" s="13"/>
      <c r="D876" s="13"/>
      <c r="E876" s="13"/>
      <c r="F876" s="13"/>
      <c r="G876" s="13"/>
    </row>
    <row r="877" ht="15.75" customHeight="1">
      <c r="A877" s="13"/>
      <c r="B877" s="13"/>
      <c r="C877" s="13"/>
      <c r="D877" s="13"/>
      <c r="E877" s="13"/>
      <c r="F877" s="13"/>
      <c r="G877" s="13"/>
    </row>
    <row r="878" ht="15.75" customHeight="1">
      <c r="A878" s="13"/>
      <c r="B878" s="13"/>
      <c r="C878" s="13"/>
      <c r="D878" s="13"/>
      <c r="E878" s="13"/>
      <c r="F878" s="13"/>
      <c r="G878" s="13"/>
    </row>
    <row r="879" ht="15.75" customHeight="1">
      <c r="A879" s="13"/>
      <c r="B879" s="13"/>
      <c r="C879" s="13"/>
      <c r="D879" s="13"/>
      <c r="E879" s="13"/>
      <c r="F879" s="13"/>
      <c r="G879" s="13"/>
    </row>
    <row r="880" ht="15.75" customHeight="1">
      <c r="A880" s="13"/>
      <c r="B880" s="13"/>
      <c r="C880" s="13"/>
      <c r="D880" s="13"/>
      <c r="E880" s="13"/>
      <c r="F880" s="13"/>
      <c r="G880" s="13"/>
    </row>
    <row r="881" ht="15.75" customHeight="1">
      <c r="A881" s="13"/>
      <c r="B881" s="13"/>
      <c r="C881" s="13"/>
      <c r="D881" s="13"/>
      <c r="E881" s="13"/>
      <c r="F881" s="13"/>
      <c r="G881" s="13"/>
    </row>
    <row r="882" ht="15.75" customHeight="1">
      <c r="A882" s="13"/>
      <c r="B882" s="13"/>
      <c r="C882" s="13"/>
      <c r="D882" s="13"/>
      <c r="E882" s="13"/>
      <c r="F882" s="13"/>
      <c r="G882" s="13"/>
    </row>
    <row r="883" ht="15.75" customHeight="1">
      <c r="A883" s="13"/>
      <c r="B883" s="13"/>
      <c r="C883" s="13"/>
      <c r="D883" s="13"/>
      <c r="E883" s="13"/>
      <c r="F883" s="13"/>
      <c r="G883" s="13"/>
    </row>
    <row r="884" ht="15.75" customHeight="1">
      <c r="A884" s="13"/>
      <c r="B884" s="13"/>
      <c r="C884" s="13"/>
      <c r="D884" s="13"/>
      <c r="E884" s="13"/>
      <c r="F884" s="13"/>
      <c r="G884" s="13"/>
    </row>
    <row r="885" ht="15.75" customHeight="1">
      <c r="A885" s="13"/>
      <c r="B885" s="13"/>
      <c r="C885" s="13"/>
      <c r="D885" s="13"/>
      <c r="E885" s="13"/>
      <c r="F885" s="13"/>
      <c r="G885" s="13"/>
    </row>
    <row r="886" ht="15.75" customHeight="1">
      <c r="A886" s="13"/>
      <c r="B886" s="13"/>
      <c r="C886" s="13"/>
      <c r="D886" s="13"/>
      <c r="E886" s="13"/>
      <c r="F886" s="13"/>
      <c r="G886" s="13"/>
    </row>
    <row r="887" ht="15.75" customHeight="1">
      <c r="A887" s="13"/>
      <c r="B887" s="13"/>
      <c r="C887" s="13"/>
      <c r="D887" s="13"/>
      <c r="E887" s="13"/>
      <c r="F887" s="13"/>
      <c r="G887" s="13"/>
    </row>
    <row r="888" ht="15.75" customHeight="1">
      <c r="A888" s="13"/>
      <c r="B888" s="13"/>
      <c r="C888" s="13"/>
      <c r="D888" s="13"/>
      <c r="E888" s="13"/>
      <c r="F888" s="13"/>
      <c r="G888" s="13"/>
    </row>
    <row r="889" ht="15.75" customHeight="1">
      <c r="A889" s="13"/>
      <c r="B889" s="13"/>
      <c r="C889" s="13"/>
      <c r="D889" s="13"/>
      <c r="E889" s="13"/>
      <c r="F889" s="13"/>
      <c r="G889" s="13"/>
    </row>
    <row r="890" ht="15.75" customHeight="1">
      <c r="A890" s="13"/>
      <c r="B890" s="13"/>
      <c r="C890" s="13"/>
      <c r="D890" s="13"/>
      <c r="E890" s="13"/>
      <c r="F890" s="13"/>
      <c r="G890" s="13"/>
    </row>
    <row r="891" ht="15.75" customHeight="1">
      <c r="A891" s="13"/>
      <c r="B891" s="13"/>
      <c r="C891" s="13"/>
      <c r="D891" s="13"/>
      <c r="E891" s="13"/>
      <c r="F891" s="13"/>
      <c r="G891" s="13"/>
    </row>
    <row r="892" ht="15.75" customHeight="1">
      <c r="A892" s="13"/>
      <c r="B892" s="13"/>
      <c r="C892" s="13"/>
      <c r="D892" s="13"/>
      <c r="E892" s="13"/>
      <c r="F892" s="13"/>
      <c r="G892" s="13"/>
    </row>
    <row r="893" ht="15.75" customHeight="1">
      <c r="A893" s="13"/>
      <c r="B893" s="13"/>
      <c r="C893" s="13"/>
      <c r="D893" s="13"/>
      <c r="E893" s="13"/>
      <c r="F893" s="13"/>
      <c r="G893" s="13"/>
    </row>
    <row r="894" ht="15.75" customHeight="1">
      <c r="A894" s="13"/>
      <c r="B894" s="13"/>
      <c r="C894" s="13"/>
      <c r="D894" s="13"/>
      <c r="E894" s="13"/>
      <c r="F894" s="13"/>
      <c r="G894" s="13"/>
    </row>
    <row r="895" ht="15.75" customHeight="1">
      <c r="A895" s="13"/>
      <c r="B895" s="13"/>
      <c r="C895" s="13"/>
      <c r="D895" s="13"/>
      <c r="E895" s="13"/>
      <c r="F895" s="13"/>
      <c r="G895" s="13"/>
    </row>
    <row r="896" ht="15.75" customHeight="1">
      <c r="A896" s="13"/>
      <c r="B896" s="13"/>
      <c r="C896" s="13"/>
      <c r="D896" s="13"/>
      <c r="E896" s="13"/>
      <c r="F896" s="13"/>
      <c r="G896" s="13"/>
    </row>
    <row r="897" ht="15.75" customHeight="1">
      <c r="A897" s="13"/>
      <c r="B897" s="13"/>
      <c r="C897" s="13"/>
      <c r="D897" s="13"/>
      <c r="E897" s="13"/>
      <c r="F897" s="13"/>
      <c r="G897" s="13"/>
    </row>
    <row r="898" ht="15.75" customHeight="1">
      <c r="A898" s="13"/>
      <c r="B898" s="13"/>
      <c r="C898" s="13"/>
      <c r="D898" s="13"/>
      <c r="E898" s="13"/>
      <c r="F898" s="13"/>
      <c r="G898" s="13"/>
    </row>
    <row r="899" ht="15.75" customHeight="1">
      <c r="A899" s="13"/>
      <c r="B899" s="13"/>
      <c r="C899" s="13"/>
      <c r="D899" s="13"/>
      <c r="E899" s="13"/>
      <c r="F899" s="13"/>
      <c r="G899" s="13"/>
    </row>
    <row r="900" ht="15.75" customHeight="1">
      <c r="A900" s="13"/>
      <c r="B900" s="13"/>
      <c r="C900" s="13"/>
      <c r="D900" s="13"/>
      <c r="E900" s="13"/>
      <c r="F900" s="13"/>
      <c r="G900" s="13"/>
    </row>
    <row r="901" ht="15.75" customHeight="1">
      <c r="A901" s="13"/>
      <c r="B901" s="13"/>
      <c r="C901" s="13"/>
      <c r="D901" s="13"/>
      <c r="E901" s="13"/>
      <c r="F901" s="13"/>
      <c r="G901" s="13"/>
    </row>
    <row r="902" ht="15.75" customHeight="1">
      <c r="A902" s="13"/>
      <c r="B902" s="13"/>
      <c r="C902" s="13"/>
      <c r="D902" s="13"/>
      <c r="E902" s="13"/>
      <c r="F902" s="13"/>
      <c r="G902" s="13"/>
    </row>
    <row r="903" ht="15.75" customHeight="1">
      <c r="A903" s="13"/>
      <c r="B903" s="13"/>
      <c r="C903" s="13"/>
      <c r="D903" s="13"/>
      <c r="E903" s="13"/>
      <c r="F903" s="13"/>
      <c r="G903" s="13"/>
    </row>
    <row r="904" ht="15.75" customHeight="1">
      <c r="A904" s="13"/>
      <c r="B904" s="13"/>
      <c r="C904" s="13"/>
      <c r="D904" s="13"/>
      <c r="E904" s="13"/>
      <c r="F904" s="13"/>
      <c r="G904" s="13"/>
    </row>
    <row r="905" ht="15.75" customHeight="1">
      <c r="A905" s="13"/>
      <c r="B905" s="13"/>
      <c r="C905" s="13"/>
      <c r="D905" s="13"/>
      <c r="E905" s="13"/>
      <c r="F905" s="13"/>
      <c r="G905" s="13"/>
    </row>
    <row r="906" ht="15.75" customHeight="1">
      <c r="A906" s="13"/>
      <c r="B906" s="13"/>
      <c r="C906" s="13"/>
      <c r="D906" s="13"/>
      <c r="E906" s="13"/>
      <c r="F906" s="13"/>
      <c r="G906" s="13"/>
    </row>
    <row r="907" ht="15.75" customHeight="1">
      <c r="A907" s="13"/>
      <c r="B907" s="13"/>
      <c r="C907" s="13"/>
      <c r="D907" s="13"/>
      <c r="E907" s="13"/>
      <c r="F907" s="13"/>
      <c r="G907" s="13"/>
    </row>
    <row r="908" ht="15.75" customHeight="1">
      <c r="A908" s="13"/>
      <c r="B908" s="13"/>
      <c r="C908" s="13"/>
      <c r="D908" s="13"/>
      <c r="E908" s="13"/>
      <c r="F908" s="13"/>
      <c r="G908" s="13"/>
    </row>
    <row r="909" ht="15.75" customHeight="1">
      <c r="A909" s="13"/>
      <c r="B909" s="13"/>
      <c r="C909" s="13"/>
      <c r="D909" s="13"/>
      <c r="E909" s="13"/>
      <c r="F909" s="13"/>
      <c r="G909" s="13"/>
    </row>
    <row r="910" ht="15.75" customHeight="1">
      <c r="A910" s="13"/>
      <c r="B910" s="13"/>
      <c r="C910" s="13"/>
      <c r="D910" s="13"/>
      <c r="E910" s="13"/>
      <c r="F910" s="13"/>
      <c r="G910" s="13"/>
    </row>
    <row r="911" ht="15.75" customHeight="1">
      <c r="A911" s="13"/>
      <c r="B911" s="13"/>
      <c r="C911" s="13"/>
      <c r="D911" s="13"/>
      <c r="E911" s="13"/>
      <c r="F911" s="13"/>
      <c r="G911" s="13"/>
    </row>
    <row r="912" ht="15.75" customHeight="1">
      <c r="A912" s="13"/>
      <c r="B912" s="13"/>
      <c r="C912" s="13"/>
      <c r="D912" s="13"/>
      <c r="E912" s="13"/>
      <c r="F912" s="13"/>
      <c r="G912" s="13"/>
    </row>
    <row r="913" ht="15.75" customHeight="1">
      <c r="A913" s="13"/>
      <c r="B913" s="13"/>
      <c r="C913" s="13"/>
      <c r="D913" s="13"/>
      <c r="E913" s="13"/>
      <c r="F913" s="13"/>
      <c r="G913" s="13"/>
    </row>
    <row r="914" ht="15.75" customHeight="1">
      <c r="A914" s="13"/>
      <c r="B914" s="13"/>
      <c r="C914" s="13"/>
      <c r="D914" s="13"/>
      <c r="E914" s="13"/>
      <c r="F914" s="13"/>
      <c r="G914" s="13"/>
    </row>
    <row r="915" ht="15.75" customHeight="1">
      <c r="A915" s="13"/>
      <c r="B915" s="13"/>
      <c r="C915" s="13"/>
      <c r="D915" s="13"/>
      <c r="E915" s="13"/>
      <c r="F915" s="13"/>
      <c r="G915" s="13"/>
    </row>
    <row r="916" ht="15.75" customHeight="1">
      <c r="A916" s="13"/>
      <c r="B916" s="13"/>
      <c r="C916" s="13"/>
      <c r="D916" s="13"/>
      <c r="E916" s="13"/>
      <c r="F916" s="13"/>
      <c r="G916" s="13"/>
    </row>
    <row r="917" ht="15.75" customHeight="1">
      <c r="A917" s="13"/>
      <c r="B917" s="13"/>
      <c r="C917" s="13"/>
      <c r="D917" s="13"/>
      <c r="E917" s="13"/>
      <c r="F917" s="13"/>
      <c r="G917" s="13"/>
    </row>
    <row r="918" ht="15.75" customHeight="1">
      <c r="A918" s="13"/>
      <c r="B918" s="13"/>
      <c r="C918" s="13"/>
      <c r="D918" s="13"/>
      <c r="E918" s="13"/>
      <c r="F918" s="13"/>
      <c r="G918" s="13"/>
    </row>
    <row r="919" ht="15.75" customHeight="1">
      <c r="A919" s="13"/>
      <c r="B919" s="13"/>
      <c r="C919" s="13"/>
      <c r="D919" s="13"/>
      <c r="E919" s="13"/>
      <c r="F919" s="13"/>
      <c r="G919" s="13"/>
    </row>
    <row r="920" ht="15.75" customHeight="1">
      <c r="A920" s="13"/>
      <c r="B920" s="13"/>
      <c r="C920" s="13"/>
      <c r="D920" s="13"/>
      <c r="E920" s="13"/>
      <c r="F920" s="13"/>
      <c r="G920" s="13"/>
    </row>
    <row r="921" ht="15.75" customHeight="1">
      <c r="A921" s="13"/>
      <c r="B921" s="13"/>
      <c r="C921" s="13"/>
      <c r="D921" s="13"/>
      <c r="E921" s="13"/>
      <c r="F921" s="13"/>
      <c r="G921" s="13"/>
    </row>
    <row r="922" ht="15.75" customHeight="1">
      <c r="A922" s="13"/>
      <c r="B922" s="13"/>
      <c r="C922" s="13"/>
      <c r="D922" s="13"/>
      <c r="E922" s="13"/>
      <c r="F922" s="13"/>
      <c r="G922" s="13"/>
    </row>
    <row r="923" ht="15.75" customHeight="1">
      <c r="A923" s="13"/>
      <c r="B923" s="13"/>
      <c r="C923" s="13"/>
      <c r="D923" s="13"/>
      <c r="E923" s="13"/>
      <c r="F923" s="13"/>
      <c r="G923" s="13"/>
    </row>
    <row r="924" ht="15.75" customHeight="1">
      <c r="A924" s="13"/>
      <c r="B924" s="13"/>
      <c r="C924" s="13"/>
      <c r="D924" s="13"/>
      <c r="E924" s="13"/>
      <c r="F924" s="13"/>
      <c r="G924" s="13"/>
    </row>
    <row r="925" ht="15.75" customHeight="1">
      <c r="A925" s="13"/>
      <c r="B925" s="13"/>
      <c r="C925" s="13"/>
      <c r="D925" s="13"/>
      <c r="E925" s="13"/>
      <c r="F925" s="13"/>
      <c r="G925" s="13"/>
    </row>
    <row r="926" ht="15.75" customHeight="1">
      <c r="A926" s="13"/>
      <c r="B926" s="13"/>
      <c r="C926" s="13"/>
      <c r="D926" s="13"/>
      <c r="E926" s="13"/>
      <c r="F926" s="13"/>
      <c r="G926" s="13"/>
    </row>
    <row r="927" ht="15.75" customHeight="1">
      <c r="A927" s="13"/>
      <c r="B927" s="13"/>
      <c r="C927" s="13"/>
      <c r="D927" s="13"/>
      <c r="E927" s="13"/>
      <c r="F927" s="13"/>
      <c r="G927" s="13"/>
    </row>
    <row r="928" ht="15.75" customHeight="1">
      <c r="A928" s="13"/>
      <c r="B928" s="13"/>
      <c r="C928" s="13"/>
      <c r="D928" s="13"/>
      <c r="E928" s="13"/>
      <c r="F928" s="13"/>
      <c r="G928" s="13"/>
    </row>
    <row r="929" ht="15.75" customHeight="1">
      <c r="A929" s="13"/>
      <c r="B929" s="13"/>
      <c r="C929" s="13"/>
      <c r="D929" s="13"/>
      <c r="E929" s="13"/>
      <c r="F929" s="13"/>
      <c r="G929" s="13"/>
    </row>
    <row r="930" ht="15.75" customHeight="1">
      <c r="A930" s="13"/>
      <c r="B930" s="13"/>
      <c r="C930" s="13"/>
      <c r="D930" s="13"/>
      <c r="E930" s="13"/>
      <c r="F930" s="13"/>
      <c r="G930" s="13"/>
    </row>
    <row r="931" ht="15.75" customHeight="1">
      <c r="A931" s="13"/>
      <c r="B931" s="13"/>
      <c r="C931" s="13"/>
      <c r="D931" s="13"/>
      <c r="E931" s="13"/>
      <c r="F931" s="13"/>
      <c r="G931" s="13"/>
    </row>
    <row r="932" ht="15.75" customHeight="1">
      <c r="A932" s="13"/>
      <c r="B932" s="13"/>
      <c r="C932" s="13"/>
      <c r="D932" s="13"/>
      <c r="E932" s="13"/>
      <c r="F932" s="13"/>
      <c r="G932" s="13"/>
    </row>
    <row r="933" ht="15.75" customHeight="1">
      <c r="A933" s="13"/>
      <c r="B933" s="13"/>
      <c r="C933" s="13"/>
      <c r="D933" s="13"/>
      <c r="E933" s="13"/>
      <c r="F933" s="13"/>
      <c r="G933" s="13"/>
    </row>
    <row r="934" ht="15.75" customHeight="1">
      <c r="A934" s="13"/>
      <c r="B934" s="13"/>
      <c r="C934" s="13"/>
      <c r="D934" s="13"/>
      <c r="E934" s="13"/>
      <c r="F934" s="13"/>
      <c r="G934" s="13"/>
    </row>
    <row r="935" ht="15.75" customHeight="1">
      <c r="A935" s="13"/>
      <c r="B935" s="13"/>
      <c r="C935" s="13"/>
      <c r="D935" s="13"/>
      <c r="E935" s="13"/>
      <c r="F935" s="13"/>
      <c r="G935" s="13"/>
    </row>
    <row r="936" ht="15.75" customHeight="1">
      <c r="A936" s="13"/>
      <c r="B936" s="13"/>
      <c r="C936" s="13"/>
      <c r="D936" s="13"/>
      <c r="E936" s="13"/>
      <c r="F936" s="13"/>
      <c r="G936" s="13"/>
    </row>
    <row r="937" ht="15.75" customHeight="1">
      <c r="A937" s="13"/>
      <c r="B937" s="13"/>
      <c r="C937" s="13"/>
      <c r="D937" s="13"/>
      <c r="E937" s="13"/>
      <c r="F937" s="13"/>
      <c r="G937" s="13"/>
    </row>
    <row r="938" ht="15.75" customHeight="1">
      <c r="A938" s="13"/>
      <c r="B938" s="13"/>
      <c r="C938" s="13"/>
      <c r="D938" s="13"/>
      <c r="E938" s="13"/>
      <c r="F938" s="13"/>
      <c r="G938" s="13"/>
    </row>
    <row r="939" ht="15.75" customHeight="1">
      <c r="A939" s="13"/>
      <c r="B939" s="13"/>
      <c r="C939" s="13"/>
      <c r="D939" s="13"/>
      <c r="E939" s="13"/>
      <c r="F939" s="13"/>
      <c r="G939" s="13"/>
    </row>
    <row r="940" ht="15.75" customHeight="1">
      <c r="A940" s="13"/>
      <c r="B940" s="13"/>
      <c r="C940" s="13"/>
      <c r="D940" s="13"/>
      <c r="E940" s="13"/>
      <c r="F940" s="13"/>
      <c r="G940" s="13"/>
    </row>
    <row r="941" ht="15.75" customHeight="1">
      <c r="A941" s="13"/>
      <c r="B941" s="13"/>
      <c r="C941" s="13"/>
      <c r="D941" s="13"/>
      <c r="E941" s="13"/>
      <c r="F941" s="13"/>
      <c r="G941" s="13"/>
    </row>
    <row r="942" ht="15.75" customHeight="1">
      <c r="A942" s="13"/>
      <c r="B942" s="13"/>
      <c r="C942" s="13"/>
      <c r="D942" s="13"/>
      <c r="E942" s="13"/>
      <c r="F942" s="13"/>
      <c r="G942" s="13"/>
    </row>
    <row r="943" ht="15.75" customHeight="1">
      <c r="A943" s="13"/>
      <c r="B943" s="13"/>
      <c r="C943" s="13"/>
      <c r="D943" s="13"/>
      <c r="E943" s="13"/>
      <c r="F943" s="13"/>
      <c r="G943" s="13"/>
    </row>
    <row r="944" ht="15.75" customHeight="1">
      <c r="A944" s="13"/>
      <c r="B944" s="13"/>
      <c r="C944" s="13"/>
      <c r="D944" s="13"/>
      <c r="E944" s="13"/>
      <c r="F944" s="13"/>
      <c r="G944" s="13"/>
    </row>
    <row r="945" ht="15.75" customHeight="1">
      <c r="A945" s="13"/>
      <c r="B945" s="13"/>
      <c r="C945" s="13"/>
      <c r="D945" s="13"/>
      <c r="E945" s="13"/>
      <c r="F945" s="13"/>
      <c r="G945" s="13"/>
    </row>
    <row r="946" ht="15.75" customHeight="1">
      <c r="A946" s="13"/>
      <c r="B946" s="13"/>
      <c r="C946" s="13"/>
      <c r="D946" s="13"/>
      <c r="E946" s="13"/>
      <c r="F946" s="13"/>
      <c r="G946" s="13"/>
    </row>
    <row r="947" ht="15.75" customHeight="1">
      <c r="A947" s="13"/>
      <c r="B947" s="13"/>
      <c r="C947" s="13"/>
      <c r="D947" s="13"/>
      <c r="E947" s="13"/>
      <c r="F947" s="13"/>
      <c r="G947" s="13"/>
    </row>
    <row r="948" ht="15.75" customHeight="1">
      <c r="A948" s="13"/>
      <c r="B948" s="13"/>
      <c r="C948" s="13"/>
      <c r="D948" s="13"/>
      <c r="E948" s="13"/>
      <c r="F948" s="13"/>
      <c r="G948" s="13"/>
    </row>
    <row r="949" ht="15.75" customHeight="1">
      <c r="A949" s="13"/>
      <c r="B949" s="13"/>
      <c r="C949" s="13"/>
      <c r="D949" s="13"/>
      <c r="E949" s="13"/>
      <c r="F949" s="13"/>
      <c r="G949" s="13"/>
    </row>
    <row r="950" ht="15.75" customHeight="1">
      <c r="A950" s="13"/>
      <c r="B950" s="13"/>
      <c r="C950" s="13"/>
      <c r="D950" s="13"/>
      <c r="E950" s="13"/>
      <c r="F950" s="13"/>
      <c r="G950" s="13"/>
    </row>
    <row r="951" ht="15.75" customHeight="1">
      <c r="A951" s="13"/>
      <c r="B951" s="13"/>
      <c r="C951" s="13"/>
      <c r="D951" s="13"/>
      <c r="E951" s="13"/>
      <c r="F951" s="13"/>
      <c r="G951" s="13"/>
    </row>
    <row r="952" ht="15.75" customHeight="1">
      <c r="A952" s="13"/>
      <c r="B952" s="13"/>
      <c r="C952" s="13"/>
      <c r="D952" s="13"/>
      <c r="E952" s="13"/>
      <c r="F952" s="13"/>
      <c r="G952" s="13"/>
    </row>
    <row r="953" ht="15.75" customHeight="1">
      <c r="A953" s="13"/>
      <c r="B953" s="13"/>
      <c r="C953" s="13"/>
      <c r="D953" s="13"/>
      <c r="E953" s="13"/>
      <c r="F953" s="13"/>
      <c r="G953" s="13"/>
    </row>
    <row r="954" ht="15.75" customHeight="1">
      <c r="A954" s="13"/>
      <c r="B954" s="13"/>
      <c r="C954" s="13"/>
      <c r="D954" s="13"/>
      <c r="E954" s="13"/>
      <c r="F954" s="13"/>
      <c r="G954" s="13"/>
    </row>
    <row r="955" ht="15.75" customHeight="1">
      <c r="A955" s="13"/>
      <c r="B955" s="13"/>
      <c r="C955" s="13"/>
      <c r="D955" s="13"/>
      <c r="E955" s="13"/>
      <c r="F955" s="13"/>
      <c r="G955" s="13"/>
    </row>
    <row r="956" ht="15.75" customHeight="1">
      <c r="A956" s="13"/>
      <c r="B956" s="13"/>
      <c r="C956" s="13"/>
      <c r="D956" s="13"/>
      <c r="E956" s="13"/>
      <c r="F956" s="13"/>
      <c r="G956" s="13"/>
    </row>
    <row r="957" ht="15.75" customHeight="1">
      <c r="A957" s="13"/>
      <c r="B957" s="13"/>
      <c r="C957" s="13"/>
      <c r="D957" s="13"/>
      <c r="E957" s="13"/>
      <c r="F957" s="13"/>
      <c r="G957" s="13"/>
    </row>
    <row r="958" ht="15.75" customHeight="1">
      <c r="A958" s="13"/>
      <c r="B958" s="13"/>
      <c r="C958" s="13"/>
      <c r="D958" s="13"/>
      <c r="E958" s="13"/>
      <c r="F958" s="13"/>
      <c r="G958" s="13"/>
    </row>
    <row r="959" ht="15.75" customHeight="1">
      <c r="A959" s="13"/>
      <c r="B959" s="13"/>
      <c r="C959" s="13"/>
      <c r="D959" s="13"/>
      <c r="E959" s="13"/>
      <c r="F959" s="13"/>
      <c r="G959" s="13"/>
    </row>
    <row r="960" ht="15.75" customHeight="1">
      <c r="A960" s="13"/>
      <c r="B960" s="13"/>
      <c r="C960" s="13"/>
      <c r="D960" s="13"/>
      <c r="E960" s="13"/>
      <c r="F960" s="13"/>
      <c r="G960" s="13"/>
    </row>
    <row r="961" ht="15.75" customHeight="1">
      <c r="A961" s="13"/>
      <c r="B961" s="13"/>
      <c r="C961" s="13"/>
      <c r="D961" s="13"/>
      <c r="E961" s="13"/>
      <c r="F961" s="13"/>
      <c r="G961" s="13"/>
    </row>
    <row r="962" ht="15.75" customHeight="1">
      <c r="A962" s="13"/>
      <c r="B962" s="13"/>
      <c r="C962" s="13"/>
      <c r="D962" s="13"/>
      <c r="E962" s="13"/>
      <c r="F962" s="13"/>
      <c r="G962" s="13"/>
    </row>
    <row r="963" ht="15.75" customHeight="1">
      <c r="A963" s="13"/>
      <c r="B963" s="13"/>
      <c r="C963" s="13"/>
      <c r="D963" s="13"/>
      <c r="E963" s="13"/>
      <c r="F963" s="13"/>
      <c r="G963" s="13"/>
    </row>
    <row r="964" ht="15.75" customHeight="1">
      <c r="A964" s="13"/>
      <c r="B964" s="13"/>
      <c r="C964" s="13"/>
      <c r="D964" s="13"/>
      <c r="E964" s="13"/>
      <c r="F964" s="13"/>
      <c r="G964" s="13"/>
    </row>
    <row r="965" ht="15.75" customHeight="1">
      <c r="A965" s="13"/>
      <c r="B965" s="13"/>
      <c r="C965" s="13"/>
      <c r="D965" s="13"/>
      <c r="E965" s="13"/>
      <c r="F965" s="13"/>
      <c r="G965" s="13"/>
    </row>
    <row r="966" ht="15.75" customHeight="1">
      <c r="A966" s="13"/>
      <c r="B966" s="13"/>
      <c r="C966" s="13"/>
      <c r="D966" s="13"/>
      <c r="E966" s="13"/>
      <c r="F966" s="13"/>
      <c r="G966" s="13"/>
    </row>
    <row r="967" ht="15.75" customHeight="1">
      <c r="A967" s="13"/>
      <c r="B967" s="13"/>
      <c r="C967" s="13"/>
      <c r="D967" s="13"/>
      <c r="E967" s="13"/>
      <c r="F967" s="13"/>
      <c r="G967" s="13"/>
    </row>
    <row r="968" ht="15.75" customHeight="1">
      <c r="A968" s="13"/>
      <c r="B968" s="13"/>
      <c r="C968" s="13"/>
      <c r="D968" s="13"/>
      <c r="E968" s="13"/>
      <c r="F968" s="13"/>
      <c r="G968" s="13"/>
    </row>
    <row r="969" ht="15.75" customHeight="1">
      <c r="A969" s="13"/>
      <c r="B969" s="13"/>
      <c r="C969" s="13"/>
      <c r="D969" s="13"/>
      <c r="E969" s="13"/>
      <c r="F969" s="13"/>
      <c r="G969" s="13"/>
    </row>
    <row r="970" ht="15.75" customHeight="1">
      <c r="A970" s="13"/>
      <c r="B970" s="13"/>
      <c r="C970" s="13"/>
      <c r="D970" s="13"/>
      <c r="E970" s="13"/>
      <c r="F970" s="13"/>
      <c r="G970" s="13"/>
    </row>
    <row r="971" ht="15.75" customHeight="1">
      <c r="A971" s="13"/>
      <c r="B971" s="13"/>
      <c r="C971" s="13"/>
      <c r="D971" s="13"/>
      <c r="E971" s="13"/>
      <c r="F971" s="13"/>
      <c r="G971" s="13"/>
    </row>
    <row r="972" ht="15.75" customHeight="1">
      <c r="A972" s="13"/>
      <c r="B972" s="13"/>
      <c r="C972" s="13"/>
      <c r="D972" s="13"/>
      <c r="E972" s="13"/>
      <c r="F972" s="13"/>
      <c r="G972" s="13"/>
    </row>
    <row r="973" ht="15.75" customHeight="1">
      <c r="A973" s="13"/>
      <c r="B973" s="13"/>
      <c r="C973" s="13"/>
      <c r="D973" s="13"/>
      <c r="E973" s="13"/>
      <c r="F973" s="13"/>
      <c r="G973" s="13"/>
    </row>
    <row r="974" ht="15.75" customHeight="1">
      <c r="A974" s="13"/>
      <c r="B974" s="13"/>
      <c r="C974" s="13"/>
      <c r="D974" s="13"/>
      <c r="E974" s="13"/>
      <c r="F974" s="13"/>
      <c r="G974" s="13"/>
    </row>
    <row r="975" ht="15.75" customHeight="1">
      <c r="A975" s="13"/>
      <c r="B975" s="13"/>
      <c r="C975" s="13"/>
      <c r="D975" s="13"/>
      <c r="E975" s="13"/>
      <c r="F975" s="13"/>
      <c r="G975" s="13"/>
    </row>
    <row r="976" ht="15.75" customHeight="1">
      <c r="A976" s="13"/>
      <c r="B976" s="13"/>
      <c r="C976" s="13"/>
      <c r="D976" s="13"/>
      <c r="E976" s="13"/>
      <c r="F976" s="13"/>
      <c r="G976" s="13"/>
    </row>
    <row r="977" ht="15.75" customHeight="1">
      <c r="A977" s="13"/>
      <c r="B977" s="13"/>
      <c r="C977" s="13"/>
      <c r="D977" s="13"/>
      <c r="E977" s="13"/>
      <c r="F977" s="13"/>
      <c r="G977" s="13"/>
    </row>
    <row r="978" ht="15.75" customHeight="1">
      <c r="A978" s="13"/>
      <c r="B978" s="13"/>
      <c r="C978" s="13"/>
      <c r="D978" s="13"/>
      <c r="E978" s="13"/>
      <c r="F978" s="13"/>
      <c r="G978" s="13"/>
    </row>
    <row r="979" ht="15.75" customHeight="1">
      <c r="A979" s="13"/>
      <c r="B979" s="13"/>
      <c r="C979" s="13"/>
      <c r="D979" s="13"/>
      <c r="E979" s="13"/>
      <c r="F979" s="13"/>
      <c r="G979" s="13"/>
    </row>
    <row r="980" ht="15.75" customHeight="1">
      <c r="A980" s="13"/>
      <c r="B980" s="13"/>
      <c r="C980" s="13"/>
      <c r="D980" s="13"/>
      <c r="E980" s="13"/>
      <c r="F980" s="13"/>
      <c r="G980" s="13"/>
    </row>
    <row r="981" ht="15.75" customHeight="1">
      <c r="A981" s="13"/>
      <c r="B981" s="13"/>
      <c r="C981" s="13"/>
      <c r="D981" s="13"/>
      <c r="E981" s="13"/>
      <c r="F981" s="13"/>
      <c r="G981" s="13"/>
    </row>
    <row r="982" ht="15.75" customHeight="1">
      <c r="A982" s="13"/>
      <c r="B982" s="13"/>
      <c r="C982" s="13"/>
      <c r="D982" s="13"/>
      <c r="E982" s="13"/>
      <c r="F982" s="13"/>
      <c r="G982" s="13"/>
    </row>
    <row r="983" ht="15.75" customHeight="1">
      <c r="A983" s="13"/>
      <c r="B983" s="13"/>
      <c r="C983" s="13"/>
      <c r="D983" s="13"/>
      <c r="E983" s="13"/>
      <c r="F983" s="13"/>
      <c r="G983" s="13"/>
    </row>
    <row r="984" ht="15.75" customHeight="1">
      <c r="A984" s="13"/>
      <c r="B984" s="13"/>
      <c r="C984" s="13"/>
      <c r="D984" s="13"/>
      <c r="E984" s="13"/>
      <c r="F984" s="13"/>
      <c r="G984" s="13"/>
    </row>
    <row r="985" ht="15.75" customHeight="1">
      <c r="A985" s="13"/>
      <c r="B985" s="13"/>
      <c r="C985" s="13"/>
      <c r="D985" s="13"/>
      <c r="E985" s="13"/>
      <c r="F985" s="13"/>
      <c r="G985" s="13"/>
    </row>
    <row r="986" ht="15.75" customHeight="1">
      <c r="A986" s="13"/>
      <c r="B986" s="13"/>
      <c r="C986" s="13"/>
      <c r="D986" s="13"/>
      <c r="E986" s="13"/>
      <c r="F986" s="13"/>
      <c r="G986" s="13"/>
    </row>
    <row r="987" ht="15.75" customHeight="1">
      <c r="A987" s="13"/>
      <c r="B987" s="13"/>
      <c r="C987" s="13"/>
      <c r="D987" s="13"/>
      <c r="E987" s="13"/>
      <c r="F987" s="13"/>
      <c r="G987" s="13"/>
    </row>
    <row r="988" ht="15.75" customHeight="1">
      <c r="A988" s="13"/>
      <c r="B988" s="13"/>
      <c r="C988" s="13"/>
      <c r="D988" s="13"/>
      <c r="E988" s="13"/>
      <c r="F988" s="13"/>
      <c r="G988" s="13"/>
    </row>
    <row r="989" ht="15.75" customHeight="1">
      <c r="A989" s="13"/>
      <c r="B989" s="13"/>
      <c r="C989" s="13"/>
      <c r="D989" s="13"/>
      <c r="E989" s="13"/>
      <c r="F989" s="13"/>
      <c r="G989" s="13"/>
    </row>
    <row r="990" ht="15.75" customHeight="1">
      <c r="A990" s="13"/>
      <c r="B990" s="13"/>
      <c r="C990" s="13"/>
      <c r="D990" s="13"/>
      <c r="E990" s="13"/>
      <c r="F990" s="13"/>
      <c r="G990" s="13"/>
    </row>
    <row r="991" ht="15.75" customHeight="1">
      <c r="A991" s="13"/>
      <c r="B991" s="13"/>
      <c r="C991" s="13"/>
      <c r="D991" s="13"/>
      <c r="E991" s="13"/>
      <c r="F991" s="13"/>
      <c r="G991" s="13"/>
    </row>
    <row r="992" ht="15.75" customHeight="1">
      <c r="A992" s="13"/>
      <c r="B992" s="13"/>
      <c r="C992" s="13"/>
      <c r="D992" s="13"/>
      <c r="E992" s="13"/>
      <c r="F992" s="13"/>
      <c r="G992" s="13"/>
    </row>
    <row r="993" ht="15.75" customHeight="1">
      <c r="A993" s="13"/>
      <c r="B993" s="13"/>
      <c r="C993" s="13"/>
      <c r="D993" s="13"/>
      <c r="E993" s="13"/>
      <c r="F993" s="13"/>
      <c r="G993" s="13"/>
    </row>
    <row r="994" ht="15.75" customHeight="1">
      <c r="A994" s="13"/>
      <c r="B994" s="13"/>
      <c r="C994" s="13"/>
      <c r="D994" s="13"/>
      <c r="E994" s="13"/>
      <c r="F994" s="13"/>
      <c r="G994" s="13"/>
    </row>
    <row r="995" ht="15.75" customHeight="1">
      <c r="A995" s="13"/>
      <c r="B995" s="13"/>
      <c r="C995" s="13"/>
      <c r="D995" s="13"/>
      <c r="E995" s="13"/>
      <c r="F995" s="13"/>
      <c r="G995" s="13"/>
    </row>
    <row r="996" ht="15.75" customHeight="1">
      <c r="A996" s="13"/>
      <c r="B996" s="13"/>
      <c r="C996" s="13"/>
      <c r="D996" s="13"/>
      <c r="E996" s="13"/>
      <c r="F996" s="13"/>
      <c r="G996" s="13"/>
    </row>
    <row r="997" ht="15.75" customHeight="1">
      <c r="A997" s="13"/>
      <c r="B997" s="13"/>
      <c r="C997" s="13"/>
      <c r="D997" s="13"/>
      <c r="E997" s="13"/>
      <c r="F997" s="13"/>
      <c r="G997" s="13"/>
    </row>
    <row r="998" ht="15.75" customHeight="1">
      <c r="A998" s="13"/>
      <c r="B998" s="13"/>
      <c r="C998" s="13"/>
      <c r="D998" s="13"/>
      <c r="E998" s="13"/>
      <c r="F998" s="13"/>
      <c r="G998" s="13"/>
    </row>
    <row r="999" ht="15.75" customHeight="1">
      <c r="A999" s="13"/>
      <c r="B999" s="13"/>
      <c r="C999" s="13"/>
      <c r="D999" s="13"/>
      <c r="E999" s="13"/>
      <c r="F999" s="13"/>
      <c r="G999" s="13"/>
    </row>
    <row r="1000" ht="15.75" customHeight="1">
      <c r="A1000" s="13"/>
      <c r="B1000" s="13"/>
      <c r="C1000" s="13"/>
      <c r="D1000" s="13"/>
      <c r="E1000" s="13"/>
      <c r="F1000" s="13"/>
      <c r="G1000" s="13"/>
    </row>
  </sheetData>
  <autoFilter ref="$A$4:$G$57"/>
  <mergeCells count="2">
    <mergeCell ref="A1:G1"/>
    <mergeCell ref="A2:G2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32"/>
    <hyperlink r:id="rId25" ref="E33"/>
    <hyperlink r:id="rId26" ref="E34"/>
    <hyperlink r:id="rId27" ref="E36"/>
    <hyperlink r:id="rId28" ref="E37"/>
    <hyperlink r:id="rId29" ref="E38"/>
    <hyperlink r:id="rId30" ref="E39"/>
    <hyperlink r:id="rId31" ref="E40"/>
    <hyperlink r:id="rId32" ref="E41"/>
    <hyperlink r:id="rId33" ref="E42"/>
    <hyperlink r:id="rId34" ref="E43"/>
    <hyperlink r:id="rId35" ref="E44"/>
    <hyperlink r:id="rId36" ref="E45"/>
    <hyperlink r:id="rId37" ref="E46"/>
    <hyperlink r:id="rId38" ref="E47"/>
    <hyperlink r:id="rId39" ref="E48"/>
    <hyperlink r:id="rId40" ref="E49"/>
    <hyperlink r:id="rId41" ref="E50"/>
    <hyperlink r:id="rId42" ref="E51"/>
    <hyperlink r:id="rId43" ref="E52"/>
    <hyperlink r:id="rId44" ref="E53"/>
    <hyperlink r:id="rId45" ref="E54"/>
    <hyperlink r:id="rId46" ref="E55"/>
    <hyperlink r:id="rId47" ref="E56"/>
    <hyperlink r:id="rId48" ref="E57"/>
  </hyperlinks>
  <printOptions/>
  <pageMargins bottom="1.0" footer="0.0" header="0.0" left="0.75" right="0.75" top="1.0"/>
  <pageSetup paperSize="9" orientation="portrait"/>
  <drawing r:id="rId49"/>
</worksheet>
</file>